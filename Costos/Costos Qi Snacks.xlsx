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" sheetId="1" state="visible" r:id="rId3"/>
    <sheet name="Insumos" sheetId="2" state="visible" r:id="rId4"/>
    <sheet name="Compras" sheetId="3" state="visible" r:id="rId5"/>
    <sheet name="Recetas" sheetId="4" state="visible" r:id="rId6"/>
    <sheet name="Costo por Receta" sheetId="5" state="visible" r:id="rId7"/>
    <sheet name="Precios" sheetId="6" state="visible" r:id="rId8"/>
    <sheet name="Combos" sheetId="7" state="visible" r:id="rId9"/>
    <sheet name="Configuración" sheetId="8" state="visible" r:id="rId10"/>
  </sheets>
  <definedNames>
    <definedName function="false" hidden="false" name="CFG_Indirectos" vbProcedure="false">Configuración!$B$7</definedName>
    <definedName function="false" hidden="false" name="CFG_Margen" vbProcedure="false">Configuración!$B$6</definedName>
    <definedName function="false" hidden="false" name="CFG_Metodo" vbProcedure="false">Configuración!$B$5</definedName>
    <definedName function="false" hidden="false" name="CFG_Redondeo" vbProcedure="false">Configuración!$B$8</definedName>
    <definedName function="false" hidden="false" name="InsBase" vbProcedure="false">Insumos!$C$5:$C$250</definedName>
    <definedName function="false" hidden="false" name="InsCosto" vbProcedure="false">Insumos!$G$5:$G$250</definedName>
    <definedName function="false" hidden="false" name="ListaInsumos" vbProcedure="false">OFFSET(Insumos!$A$5,0,0,MAX(1,COUNTIF(Insumos!$A$5:$A$250,"?*")),1)</definedName>
    <definedName function="false" hidden="false" name="ListaProductos" vbProcedure="false">OFFSET(Precios!$C$5,0,0,MAX(1,COUNTIF(Precios!$C$5:$C$150,"?*")),1)</definedName>
    <definedName function="false" hidden="false" name="ListaRecetas" vbProcedure="false">OFFSET('Costo por Receta'!$A$5,0,0,MAX(1,COUNTIF('Costo por Receta'!$A$5:$A$120,"?*")),1)</definedName>
    <definedName function="false" hidden="false" name="ProdCosto" vbProcedure="false">Precios!$L$5:$L$150</definedName>
    <definedName function="false" hidden="false" name="ProdPrecio" vbProcedure="false">Precios!$O$5:$O$150</definedName>
    <definedName function="false" hidden="false" name="RecCostoU" vbProcedure="false">'Costo por Receta'!$E$5:$E$120</definedName>
    <definedName function="false" hidden="false" name="RecEstado" vbProcedure="false">'Costo por Receta'!$H$5:$H$120</definedName>
    <definedName function="false" hidden="false" name="Unidades" vbProcedure="false">OFFSET(Configuración!$A$14,0,0,MAX(1,COUNTIF(Configuración!$A$14:$A$30,"?*")),1)</definedName>
    <definedName function="false" hidden="false" name="UnidadesBase" vbProcedure="false">Configuración!$C$14:$C$30</definedName>
    <definedName function="false" hidden="false" name="UnidadesFactor" vbProcedure="false">Configuración!$B$14:$B$30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La unidad en la que vas a anotar las cantidades: g (sólidos), ml (líquidos) o unidad (bolsas, etiquetas, frascos).</t>
        </r>
      </text>
    </comment>
    <comment ref="G4" authorId="0">
      <text>
        <r>
          <rPr>
            <sz val="10"/>
            <rFont val="Arial"/>
            <family val="2"/>
          </rPr>
          <t xml:space="preserve">Depende del método elegido en Configuración (Último precio o Promedio).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Ej.: si con la tanda salen 500 g de galletas ya horneadas, poné 500 y unidad g. Si sale 1 pan, poné 1 y unidad 'unidad'.</t>
        </r>
      </text>
    </comment>
    <comment ref="B8" authorId="0">
      <text>
        <r>
          <rPr>
            <sz val="10"/>
            <rFont val="Arial"/>
            <family val="2"/>
          </rPr>
          <t xml:space="preserve">EJEMPLO: reemplazar por datos reales (gramos que salen de la tanda ya horneada).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% de gastos indirectos (Configuración) sobre ingredientes + packaging.</t>
        </r>
      </text>
    </comment>
    <comment ref="M4" authorId="0">
      <text>
        <r>
          <rPr>
            <sz val="10"/>
            <rFont val="Arial"/>
            <family val="2"/>
          </rPr>
          <t xml:space="preserve">Por defecto toma el margen de Configuración. Podés escribir otro % para este producto.</t>
        </r>
      </text>
    </comment>
    <comment ref="O4" authorId="0">
      <text>
        <r>
          <rPr>
            <sz val="10"/>
            <rFont val="Arial"/>
            <family val="2"/>
          </rPr>
          <t xml:space="preserve">Precios cargados desde la web de Qi Snacks (catálogo actual).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Costos que no son productos de la hoja Precios: el juguete de la promo del recreo, una caja, una cinta, etc.</t>
        </r>
      </text>
    </comment>
  </commentList>
</comments>
</file>

<file path=xl/sharedStrings.xml><?xml version="1.0" encoding="utf-8"?>
<sst xmlns="http://schemas.openxmlformats.org/spreadsheetml/2006/main" count="808" uniqueCount="228">
  <si>
    <t xml:space="preserve">Qi Snacks · Calculadora de costos y precios</t>
  </si>
  <si>
    <t xml:space="preserve">Compras → Recetas → Producto terminado → Precio de venta</t>
  </si>
  <si>
    <t xml:space="preserve">Paso a paso</t>
  </si>
  <si>
    <t xml:space="preserve">1. Insumos</t>
  </si>
  <si>
    <t xml:space="preserve">Lista de todo lo que comprás: ingredientes, bolsas, etiquetas y productos de reventa. Ya están cargados los ingredientes de la web. Para cada uno indicá la unidad base: g (sólidos), ml (líquidos) o unidad.</t>
  </si>
  <si>
    <t xml:space="preserve">2. Compras</t>
  </si>
  <si>
    <t xml:space="preserve">Cada vez que comprás algo, agregá una fila: fecha, insumo, cantidad, unidad (kg, g, l, ml, unidad…) y precio total pagado. La planilla convierte todo y calcula el costo por gramo / ml / unidad.</t>
  </si>
  <si>
    <t xml:space="preserve">3. Recetas</t>
  </si>
  <si>
    <t xml:space="preserve">Para cada receta, una fila por ingrediente con la cantidad que usás en UNA tanda. Ya están cargados los ingredientes de cada producto: solo falta completar las cantidades (columna amarilla).</t>
  </si>
  <si>
    <t xml:space="preserve">4. Costo por Receta</t>
  </si>
  <si>
    <t xml:space="preserve">Pesá el producto terminado que sale de cada tanda (después del horno) y cargalo como rendimiento. Así se obtiene el costo real por gramo.</t>
  </si>
  <si>
    <t xml:space="preserve">5. Precios</t>
  </si>
  <si>
    <t xml:space="preserve">Cada producto y presentación (individual / familiar). Elegís receta, gramos por paquete, envase y etiqueta. Te muestra el COSTO TOTAL, el PRECIO SUGERIDO y el margen real con el precio que cobrás hoy.</t>
  </si>
  <si>
    <t xml:space="preserve">6. Combos</t>
  </si>
  <si>
    <t xml:space="preserve">Combo Degustación y Promo del Recreo: suma los costos de los productos que llevan, más extras (juguete, caja), y muestra el margen y el descuento frente a comprarlos sueltos.</t>
  </si>
  <si>
    <t xml:space="preserve">Configuración</t>
  </si>
  <si>
    <t xml:space="preserve">Margen deseado, % de gastos indirectos (gas, luz, tu tiempo), método de precio (último o promedio) y redondeo. Cambiar un valor actualiza todo.</t>
  </si>
  <si>
    <t xml:space="preserve">Colores</t>
  </si>
  <si>
    <t xml:space="preserve">Texto azul / fondo amarillo</t>
  </si>
  <si>
    <t xml:space="preserve">Celdas para completar o modificar.</t>
  </si>
  <si>
    <t xml:space="preserve">Texto negro / fondo gris</t>
  </si>
  <si>
    <t xml:space="preserve">Fórmulas: se calculan solas, no hace falta tocarlas.</t>
  </si>
  <si>
    <t xml:space="preserve">Texto verde</t>
  </si>
  <si>
    <t xml:space="preserve">Fórmula que trae un dato de otra hoja.</t>
  </si>
  <si>
    <t xml:space="preserve">Fondo naranja claro</t>
  </si>
  <si>
    <t xml:space="preserve">DATOS DE EJEMPLO (Galletas Marineras y sus compras). Reemplazalos por tus datos reales.</t>
  </si>
  <si>
    <t xml:space="preserve">Cómo se calcula</t>
  </si>
  <si>
    <t xml:space="preserve">Costo por gramo de insumo</t>
  </si>
  <si>
    <t xml:space="preserve">Precio total pagado ÷ cantidad comprada (pasada a g, ml o unidades).</t>
  </si>
  <si>
    <t xml:space="preserve">Costo de la receta</t>
  </si>
  <si>
    <t xml:space="preserve">Suma de (cantidad de cada ingrediente × su costo por gramo).</t>
  </si>
  <si>
    <t xml:space="preserve">Costo por gramo terminado</t>
  </si>
  <si>
    <t xml:space="preserve">Costo de la receta ÷ gramos de producto terminado que rinde la tanda.</t>
  </si>
  <si>
    <t xml:space="preserve">Costo del paquete</t>
  </si>
  <si>
    <t xml:space="preserve">Gramos del paquete × costo por gramo terminado + envase + etiqueta + % gastos indirectos.</t>
  </si>
  <si>
    <t xml:space="preserve">Precio sugerido</t>
  </si>
  <si>
    <t xml:space="preserve">Costo del paquete ÷ (1 − margen). Con 60% de margen, el precio es 2,5 veces el costo.</t>
  </si>
  <si>
    <t xml:space="preserve">Columnas Control / Estado</t>
  </si>
  <si>
    <t xml:space="preserve">Avisan qué falta ("Falta cantidad", "Insumo sin compras", "Falta rendimiento", "Unidad incompatible"…). Cuando todo dice OK, el costo de ese producto está completo.</t>
  </si>
  <si>
    <t xml:space="preserve">Agregar cosas nuevas</t>
  </si>
  <si>
    <t xml:space="preserve">Insumo nuevo → hoja Insumos. Receta nueva → nombre en Costo por Receta y sus ingredientes en Recetas. Producto o presentación nueva → hoja Precios. Escribilo en la primera fila vacía, sin dejar filas en blanco en el medio: así aparece solo en las listas desplegables.</t>
  </si>
  <si>
    <t xml:space="preserve">Insumos: ingredientes, packaging y reventa</t>
  </si>
  <si>
    <t xml:space="preserve">Lista maestra. Cargá acá cada cosa que comprás (una sola vez). Los costos se calculan solos desde la hoja Compras.</t>
  </si>
  <si>
    <t xml:space="preserve">Insumo</t>
  </si>
  <si>
    <t xml:space="preserve">Tipo</t>
  </si>
  <si>
    <t xml:space="preserve">Unidad base</t>
  </si>
  <si>
    <t xml:space="preserve">Fecha última compra</t>
  </si>
  <si>
    <t xml:space="preserve">Costo último
($ por unidad base)</t>
  </si>
  <si>
    <t xml:space="preserve">Costo promedio
($ por unidad base)</t>
  </si>
  <si>
    <t xml:space="preserve">Costo que se usa
($ por unidad base)</t>
  </si>
  <si>
    <t xml:space="preserve">Costo por kg / litro / unidad</t>
  </si>
  <si>
    <t xml:space="preserve">Estado</t>
  </si>
  <si>
    <t xml:space="preserve">Aceite de oliva</t>
  </si>
  <si>
    <t xml:space="preserve">Ingrediente</t>
  </si>
  <si>
    <t xml:space="preserve">ml</t>
  </si>
  <si>
    <t xml:space="preserve">Ajo en polvo</t>
  </si>
  <si>
    <t xml:space="preserve">g</t>
  </si>
  <si>
    <t xml:space="preserve">Almidón de maíz</t>
  </si>
  <si>
    <t xml:space="preserve">Almidón de mandioca</t>
  </si>
  <si>
    <t xml:space="preserve">Azúcar de coco</t>
  </si>
  <si>
    <t xml:space="preserve">Batata</t>
  </si>
  <si>
    <t xml:space="preserve">Cebolla en polvo</t>
  </si>
  <si>
    <t xml:space="preserve">Chocolate 70% sin azúcar</t>
  </si>
  <si>
    <t xml:space="preserve">Cúrcuma</t>
  </si>
  <si>
    <t xml:space="preserve">Extracto de vainilla</t>
  </si>
  <si>
    <t xml:space="preserve">Garbanzos</t>
  </si>
  <si>
    <t xml:space="preserve">Goma xántica</t>
  </si>
  <si>
    <t xml:space="preserve">Harina de arroz</t>
  </si>
  <si>
    <t xml:space="preserve">Harina de garbanzos</t>
  </si>
  <si>
    <t xml:space="preserve">Harina de lino</t>
  </si>
  <si>
    <t xml:space="preserve">Harina de sorgo</t>
  </si>
  <si>
    <t xml:space="preserve">Lentejas turcas</t>
  </si>
  <si>
    <t xml:space="preserve">Levadura</t>
  </si>
  <si>
    <t xml:space="preserve">Levadura nutricional</t>
  </si>
  <si>
    <t xml:space="preserve">Mijo</t>
  </si>
  <si>
    <t xml:space="preserve">Naranja</t>
  </si>
  <si>
    <t xml:space="preserve">Nuez moscada</t>
  </si>
  <si>
    <t xml:space="preserve">Orégano</t>
  </si>
  <si>
    <t xml:space="preserve">Papa</t>
  </si>
  <si>
    <t xml:space="preserve">Pimentón</t>
  </si>
  <si>
    <t xml:space="preserve">Pimienta negra</t>
  </si>
  <si>
    <t xml:space="preserve">Polvo de hornear</t>
  </si>
  <si>
    <t xml:space="preserve">Polvo leudante</t>
  </si>
  <si>
    <t xml:space="preserve">Provenzal seco</t>
  </si>
  <si>
    <t xml:space="preserve">Remolacha</t>
  </si>
  <si>
    <t xml:space="preserve">Romero</t>
  </si>
  <si>
    <t xml:space="preserve">Sal marina</t>
  </si>
  <si>
    <t xml:space="preserve">Semillas (mix)</t>
  </si>
  <si>
    <t xml:space="preserve">Semillas de lino</t>
  </si>
  <si>
    <t xml:space="preserve">Trigo sarraceno</t>
  </si>
  <si>
    <t xml:space="preserve">Zanahoria</t>
  </si>
  <si>
    <t xml:space="preserve">Bolsa individual</t>
  </si>
  <si>
    <t xml:space="preserve">Packaging</t>
  </si>
  <si>
    <t xml:space="preserve">unidad</t>
  </si>
  <si>
    <t xml:space="preserve">Bolsa familiar</t>
  </si>
  <si>
    <t xml:space="preserve">Bolsa para pan</t>
  </si>
  <si>
    <t xml:space="preserve">Envase azúcar de coco 200 g</t>
  </si>
  <si>
    <t xml:space="preserve">Etiqueta</t>
  </si>
  <si>
    <t xml:space="preserve">Mermelada Lo Artesanal 200 g</t>
  </si>
  <si>
    <t xml:space="preserve">Reventa</t>
  </si>
  <si>
    <t xml:space="preserve">Berenjenas Húngaras 150 g</t>
  </si>
  <si>
    <t xml:space="preserve">Aceitunas Condimentadas 300 g</t>
  </si>
  <si>
    <t xml:space="preserve">Berenjenas en Escabeche 200 g</t>
  </si>
  <si>
    <t xml:space="preserve">Berenjenas y Pera 200 g</t>
  </si>
  <si>
    <t xml:space="preserve">Compras de insumos</t>
  </si>
  <si>
    <t xml:space="preserve">Una fila por compra. Anotá la cantidad tal como la comprás (ej.: 1 kg, 500 g, 1 l, 100 unidades) y el precio total pagado.</t>
  </si>
  <si>
    <t xml:space="preserve">Fecha</t>
  </si>
  <si>
    <t xml:space="preserve">Proveedor</t>
  </si>
  <si>
    <t xml:space="preserve">Cantidad comprada</t>
  </si>
  <si>
    <t xml:space="preserve">Unidad</t>
  </si>
  <si>
    <t xml:space="preserve">Precio total pagado ($)</t>
  </si>
  <si>
    <t xml:space="preserve">Cantidad en unidad base</t>
  </si>
  <si>
    <t xml:space="preserve">Costo por unidad base ($)</t>
  </si>
  <si>
    <t xml:space="preserve">Control</t>
  </si>
  <si>
    <t xml:space="preserve">Notas</t>
  </si>
  <si>
    <t xml:space="preserve">Dietética (ejemplo)</t>
  </si>
  <si>
    <t xml:space="preserve">kg</t>
  </si>
  <si>
    <t xml:space="preserve">EJEMPLO: reemplazar por datos reales</t>
  </si>
  <si>
    <t xml:space="preserve">Mayorista (ejemplo)</t>
  </si>
  <si>
    <t xml:space="preserve">l</t>
  </si>
  <si>
    <t xml:space="preserve">Packaging (ejemplo)</t>
  </si>
  <si>
    <t xml:space="preserve">Imprenta (ejemplo)</t>
  </si>
  <si>
    <t xml:space="preserve">Recetas (ingredientes por tanda)</t>
  </si>
  <si>
    <t xml:space="preserve">Una fila por ingrediente. Anotá la cantidad que usás en UNA tanda de la receta. El rendimiento de la tanda se carga en la hoja Costo por Receta.</t>
  </si>
  <si>
    <t xml:space="preserve">Receta</t>
  </si>
  <si>
    <t xml:space="preserve">Cantidad</t>
  </si>
  <si>
    <t xml:space="preserve">Costo en la receta ($)</t>
  </si>
  <si>
    <t xml:space="preserve">Cookies Chips de Chocolate</t>
  </si>
  <si>
    <t xml:space="preserve">Pan de Molde con Trigo Sarraceno</t>
  </si>
  <si>
    <t xml:space="preserve">Tablitas de Trigo Sarraceno y Semillas</t>
  </si>
  <si>
    <t xml:space="preserve">Galletas Marineras</t>
  </si>
  <si>
    <t xml:space="preserve">Crakers de Mijo y Cebolla</t>
  </si>
  <si>
    <t xml:space="preserve">Palitos de Batata y Romero</t>
  </si>
  <si>
    <t xml:space="preserve">Garbancitos Crocantes</t>
  </si>
  <si>
    <t xml:space="preserve">Triangulitos de Lentejas Turcas</t>
  </si>
  <si>
    <t xml:space="preserve">Papas al Orégano</t>
  </si>
  <si>
    <t xml:space="preserve">Grisines a la Provenzal</t>
  </si>
  <si>
    <t xml:space="preserve">Rueditas de Naranja y Chocolate</t>
  </si>
  <si>
    <t xml:space="preserve">Bastoncitos de Zanahoria y Remolacha</t>
  </si>
  <si>
    <t xml:space="preserve">Azúcar de coco fraccionada</t>
  </si>
  <si>
    <t xml:space="preserve">Mermelada (reventa)</t>
  </si>
  <si>
    <t xml:space="preserve">Berenjenas Húngaras (reventa)</t>
  </si>
  <si>
    <t xml:space="preserve">Aceitunas Condimentadas (reventa)</t>
  </si>
  <si>
    <t xml:space="preserve">Berenjenas en Escabeche (reventa)</t>
  </si>
  <si>
    <t xml:space="preserve">Berenjenas y Pera (reventa)</t>
  </si>
  <si>
    <t xml:space="preserve">Costo por receta</t>
  </si>
  <si>
    <t xml:space="preserve">Cargá cuánto producto terminado sale de cada tanda (pesalo DESPUÉS de hornear/deshidratar: pierde agua). Así se obtiene el costo por gramo real.</t>
  </si>
  <si>
    <t xml:space="preserve">Rendimiento de la tanda
(producto terminado)</t>
  </si>
  <si>
    <t xml:space="preserve">Unidad del rendimiento</t>
  </si>
  <si>
    <t xml:space="preserve">Costo total de ingredientes ($)</t>
  </si>
  <si>
    <t xml:space="preserve">Costo por gramo / unidad ($)</t>
  </si>
  <si>
    <t xml:space="preserve">Costo por kg ($)</t>
  </si>
  <si>
    <t xml:space="preserve">Ingredientes cargados</t>
  </si>
  <si>
    <t xml:space="preserve">Costo y precio por producto</t>
  </si>
  <si>
    <t xml:space="preserve">Cada fila es un producto en una presentación. Costo total = ingredientes + packaging + gastos indirectos. Precio sugerido = Costo total ÷ (1 − margen).</t>
  </si>
  <si>
    <t xml:space="preserve">Producto</t>
  </si>
  <si>
    <t xml:space="preserve">Presentación</t>
  </si>
  <si>
    <t xml:space="preserve">Clave (para combos)</t>
  </si>
  <si>
    <t xml:space="preserve">Cantidad por paquete
(g o unidades)</t>
  </si>
  <si>
    <t xml:space="preserve">Costo ingredientes ($)</t>
  </si>
  <si>
    <t xml:space="preserve">Envase</t>
  </si>
  <si>
    <t xml:space="preserve">Costo envase ($)</t>
  </si>
  <si>
    <t xml:space="preserve">Etiqueta / otro</t>
  </si>
  <si>
    <t xml:space="preserve">Costo etiqueta ($)</t>
  </si>
  <si>
    <t xml:space="preserve">Gastos indirectos ($)</t>
  </si>
  <si>
    <t xml:space="preserve">COSTO TOTAL ($)</t>
  </si>
  <si>
    <t xml:space="preserve">Margen deseado</t>
  </si>
  <si>
    <t xml:space="preserve">PRECIO SUGERIDO ($)</t>
  </si>
  <si>
    <t xml:space="preserve">Precio actual de venta ($)</t>
  </si>
  <si>
    <t xml:space="preserve">Ganancia por paquete ($)</t>
  </si>
  <si>
    <t xml:space="preserve">Margen real</t>
  </si>
  <si>
    <t xml:space="preserve">Individual 70 g</t>
  </si>
  <si>
    <t xml:space="preserve">Familiar 210 g</t>
  </si>
  <si>
    <t xml:space="preserve">Pan entero</t>
  </si>
  <si>
    <t xml:space="preserve">Individual 50 g</t>
  </si>
  <si>
    <t xml:space="preserve">Familiar 150 g</t>
  </si>
  <si>
    <t xml:space="preserve">Individual 75 g</t>
  </si>
  <si>
    <t xml:space="preserve">Familiar 225 g</t>
  </si>
  <si>
    <t xml:space="preserve">Mermeladas Artesanales</t>
  </si>
  <si>
    <t xml:space="preserve">200 g (cualquier sabor)</t>
  </si>
  <si>
    <t xml:space="preserve">Conservas de Lo Artesanal</t>
  </si>
  <si>
    <t xml:space="preserve">Azúcar de Coco</t>
  </si>
  <si>
    <t xml:space="preserve">200 g</t>
  </si>
  <si>
    <t xml:space="preserve">Combos y promos</t>
  </si>
  <si>
    <t xml:space="preserve">A la izquierda, qué productos lleva cada combo. A la derecha, el resumen: costo, precio y cuánto descuento estás haciendo.</t>
  </si>
  <si>
    <t xml:space="preserve">Combo</t>
  </si>
  <si>
    <t xml:space="preserve">Producto (de la hoja Precios)</t>
  </si>
  <si>
    <t xml:space="preserve">Costo unitario ($)</t>
  </si>
  <si>
    <t xml:space="preserve">Costo ($)</t>
  </si>
  <si>
    <t xml:space="preserve">Precio suelto ($)</t>
  </si>
  <si>
    <t xml:space="preserve">Costo productos ($)</t>
  </si>
  <si>
    <t xml:space="preserve">Extras: juguete, caja, etc. ($)</t>
  </si>
  <si>
    <t xml:space="preserve">Precio del combo ($)</t>
  </si>
  <si>
    <t xml:space="preserve">Ganancia ($)</t>
  </si>
  <si>
    <t xml:space="preserve">Precio si se compra suelto ($)</t>
  </si>
  <si>
    <t xml:space="preserve">Descuento vs. suelto</t>
  </si>
  <si>
    <t xml:space="preserve">Combo Degustación</t>
  </si>
  <si>
    <t xml:space="preserve">Cookies Chips de Chocolate - Individual 70 g</t>
  </si>
  <si>
    <t xml:space="preserve">Bastoncitos de Zanahoria y Remolacha - Individual 50 g</t>
  </si>
  <si>
    <t xml:space="preserve">Recreos Saludables (5 snacks + juguete)</t>
  </si>
  <si>
    <t xml:space="preserve">Rueditas de Naranja y Chocolate - Individual 75 g</t>
  </si>
  <si>
    <t xml:space="preserve">Tablitas de Trigo Sarraceno y Semillas - Individual 70 g</t>
  </si>
  <si>
    <t xml:space="preserve">Galletas Marineras - Individual 70 g</t>
  </si>
  <si>
    <t xml:space="preserve">Crakers de Mijo y Cebolla - Individual 50 g</t>
  </si>
  <si>
    <t xml:space="preserve">Palitos de Batata y Romero - Individual 50 g</t>
  </si>
  <si>
    <t xml:space="preserve">Triangulitos de Lentejas Turcas - Individual 50 g</t>
  </si>
  <si>
    <t xml:space="preserve">Papas al Orégano - Individual 50 g</t>
  </si>
  <si>
    <t xml:space="preserve">Garbancitos Crocantes - Individual 50 g</t>
  </si>
  <si>
    <t xml:space="preserve">Grisines a la Provenzal - Individual 50 g</t>
  </si>
  <si>
    <t xml:space="preserve">Configuración general</t>
  </si>
  <si>
    <t xml:space="preserve">Parámetros que usan todas las hojas. Cambiá las celdas amarillas.</t>
  </si>
  <si>
    <t xml:space="preserve">Parámetro</t>
  </si>
  <si>
    <t xml:space="preserve">Valor</t>
  </si>
  <si>
    <t xml:space="preserve">Explicación</t>
  </si>
  <si>
    <t xml:space="preserve">Método para valuar insumos</t>
  </si>
  <si>
    <t xml:space="preserve">Último precio</t>
  </si>
  <si>
    <t xml:space="preserve">"Último precio" usa la compra más reciente de cada insumo (recomendado con inflación). "Promedio" usa el promedio ponderado de todas las compras.</t>
  </si>
  <si>
    <t xml:space="preserve">Margen de ganancia deseado (sobre precio de venta)</t>
  </si>
  <si>
    <t xml:space="preserve">Supuesto inicial: 60% (equivale a vender a 2,5 veces el costo). Ajustalo a tu criterio. Se puede cambiar producto por producto en la hoja Precios.</t>
  </si>
  <si>
    <t xml:space="preserve">Gastos indirectos (% sobre costo directo)</t>
  </si>
  <si>
    <t xml:space="preserve">Supuesto inicial: 25%. Cubre gas, luz, horas de trabajo, limpieza, envíos, comisiones, etc. Se suma al costo de ingredientes + packaging.</t>
  </si>
  <si>
    <t xml:space="preserve">Redondear precio sugerido hacia arriba a múltiplos de $</t>
  </si>
  <si>
    <t xml:space="preserve">Ej.: 100 redondea $1.672 a $1.700. Poné 0 para no redondear.</t>
  </si>
  <si>
    <t xml:space="preserve">Tabla de unidades</t>
  </si>
  <si>
    <t xml:space="preserve">Convierte la unidad en que comprás o anotás la receta a la unidad base (g, ml o unidad). Podés agregar filas.</t>
  </si>
  <si>
    <t xml:space="preserve">Equivale a (cantidad)</t>
  </si>
  <si>
    <t xml:space="preserve">cc</t>
  </si>
  <si>
    <t xml:space="preserve">docena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</si>
</sst>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\$#,##0.0000;&quot;($&quot;#,##0.0000\);\-"/>
    <numFmt numFmtId="167" formatCode="\$#,##0.00;&quot;($&quot;#,##0.00\);\-"/>
    <numFmt numFmtId="168" formatCode="#,##0.##;\-#,##0.##;\-"/>
    <numFmt numFmtId="169" formatCode="\$#,##0;&quot;($&quot;#,##0\);\-"/>
    <numFmt numFmtId="170" formatCode="0"/>
    <numFmt numFmtId="171" formatCode="0.0%;\(0.0%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D2E"/>
      <name val="Arial"/>
      <family val="0"/>
      <charset val="1"/>
    </font>
    <font>
      <i val="true"/>
      <sz val="11"/>
      <color rgb="FFF37027"/>
      <name val="Arial"/>
      <family val="0"/>
      <charset val="1"/>
    </font>
    <font>
      <b val="true"/>
      <sz val="12"/>
      <color rgb="FF1F4D2E"/>
      <name val="Arial"/>
      <family val="0"/>
      <charset val="1"/>
    </font>
    <font>
      <b val="true"/>
      <sz val="10"/>
      <color rgb="FF1F4D2E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4D2E"/>
      <name val="Arial"/>
      <family val="0"/>
      <charset val="1"/>
    </font>
    <font>
      <i val="true"/>
      <sz val="10"/>
      <color rgb="FF6B7E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7F3DF"/>
        <bgColor rgb="FFD8EFD3"/>
      </patternFill>
    </fill>
    <fill>
      <patternFill patternType="solid">
        <fgColor rgb="FFFFF6D5"/>
        <bgColor rgb="FFFDEBDD"/>
      </patternFill>
    </fill>
    <fill>
      <patternFill patternType="solid">
        <fgColor rgb="FFF4F6F3"/>
        <bgColor rgb="FFE7F3DF"/>
      </patternFill>
    </fill>
    <fill>
      <patternFill patternType="solid">
        <fgColor rgb="FFFDEBDD"/>
        <bgColor rgb="FFFFE7D6"/>
      </patternFill>
    </fill>
    <fill>
      <patternFill patternType="solid">
        <fgColor rgb="FF1F4D2E"/>
        <bgColor rgb="FF333300"/>
      </patternFill>
    </fill>
    <fill>
      <patternFill patternType="solid">
        <fgColor rgb="FFF37027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D0"/>
      </left>
      <right style="thin">
        <color rgb="FFD5DDD0"/>
      </right>
      <top style="thin">
        <color rgb="FFD5DDD0"/>
      </top>
      <bottom style="thin">
        <color rgb="FFD5D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3"/>
        </patternFill>
      </fill>
    </dxf>
    <dxf>
      <fill>
        <patternFill>
          <bgColor rgb="FFD8EFD3"/>
        </patternFill>
      </fill>
    </dxf>
    <dxf>
      <fill>
        <patternFill>
          <bgColor rgb="FFFFE7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E7D6"/>
      <rgbColor rgb="FF6B7E6D"/>
      <rgbColor rgb="FF9999FF"/>
      <rgbColor rgb="FF993366"/>
      <rgbColor rgb="FFFFF6D5"/>
      <rgbColor rgb="FFE7F3DF"/>
      <rgbColor rgb="FF660066"/>
      <rgbColor rgb="FFFF8080"/>
      <rgbColor rgb="FF0066CC"/>
      <rgbColor rgb="FFD5DD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3"/>
      <rgbColor rgb="FFD8EFD3"/>
      <rgbColor rgb="FFFDEBDD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37027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7027"/>
    <pageSetUpPr fitToPage="false"/>
  </sheetPr>
  <dimension ref="B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3.75" hidden="false" customHeight="true" outlineLevel="0" collapsed="false">
      <c r="B5" s="4" t="s">
        <v>3</v>
      </c>
      <c r="C5" s="5" t="s">
        <v>4</v>
      </c>
    </row>
    <row r="6" customFormat="false" ht="33.75" hidden="false" customHeight="true" outlineLevel="0" collapsed="false">
      <c r="B6" s="4" t="s">
        <v>5</v>
      </c>
      <c r="C6" s="5" t="s">
        <v>6</v>
      </c>
    </row>
    <row r="7" customFormat="false" ht="33.75" hidden="false" customHeight="true" outlineLevel="0" collapsed="false">
      <c r="B7" s="4" t="s">
        <v>7</v>
      </c>
      <c r="C7" s="5" t="s">
        <v>8</v>
      </c>
    </row>
    <row r="8" customFormat="false" ht="33.75" hidden="false" customHeight="true" outlineLevel="0" collapsed="false">
      <c r="B8" s="4" t="s">
        <v>9</v>
      </c>
      <c r="C8" s="5" t="s">
        <v>10</v>
      </c>
    </row>
    <row r="9" customFormat="false" ht="33.75" hidden="false" customHeight="true" outlineLevel="0" collapsed="false">
      <c r="B9" s="4" t="s">
        <v>11</v>
      </c>
      <c r="C9" s="5" t="s">
        <v>12</v>
      </c>
    </row>
    <row r="10" customFormat="false" ht="33.75" hidden="false" customHeight="true" outlineLevel="0" collapsed="false">
      <c r="B10" s="4" t="s">
        <v>13</v>
      </c>
      <c r="C10" s="5" t="s">
        <v>14</v>
      </c>
    </row>
    <row r="11" customFormat="false" ht="33.75" hidden="false" customHeight="tru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6" t="s">
        <v>18</v>
      </c>
      <c r="C14" s="7" t="s">
        <v>19</v>
      </c>
    </row>
    <row r="15" customFormat="false" ht="15" hidden="false" customHeight="false" outlineLevel="0" collapsed="false">
      <c r="B15" s="8" t="s">
        <v>20</v>
      </c>
      <c r="C15" s="7" t="s">
        <v>21</v>
      </c>
    </row>
    <row r="16" customFormat="false" ht="15" hidden="false" customHeight="false" outlineLevel="0" collapsed="false">
      <c r="B16" s="9" t="s">
        <v>22</v>
      </c>
      <c r="C16" s="7" t="s">
        <v>23</v>
      </c>
    </row>
    <row r="17" customFormat="false" ht="15" hidden="false" customHeight="false" outlineLevel="0" collapsed="false">
      <c r="B17" s="10" t="s">
        <v>24</v>
      </c>
      <c r="C17" s="7" t="s">
        <v>25</v>
      </c>
    </row>
    <row r="19" customFormat="false" ht="15" hidden="false" customHeight="false" outlineLevel="0" collapsed="false">
      <c r="B19" s="3" t="s">
        <v>26</v>
      </c>
    </row>
    <row r="20" customFormat="false" ht="15" hidden="false" customHeight="false" outlineLevel="0" collapsed="false">
      <c r="B20" s="11" t="s">
        <v>27</v>
      </c>
      <c r="C20" s="5" t="s">
        <v>28</v>
      </c>
    </row>
    <row r="21" customFormat="false" ht="15" hidden="false" customHeight="false" outlineLevel="0" collapsed="false">
      <c r="B21" s="11" t="s">
        <v>29</v>
      </c>
      <c r="C21" s="5" t="s">
        <v>30</v>
      </c>
    </row>
    <row r="22" customFormat="false" ht="15" hidden="false" customHeight="false" outlineLevel="0" collapsed="false">
      <c r="B22" s="11" t="s">
        <v>31</v>
      </c>
      <c r="C22" s="5" t="s">
        <v>32</v>
      </c>
    </row>
    <row r="23" customFormat="false" ht="15" hidden="false" customHeight="false" outlineLevel="0" collapsed="false">
      <c r="B23" s="11" t="s">
        <v>33</v>
      </c>
      <c r="C23" s="5" t="s">
        <v>34</v>
      </c>
    </row>
    <row r="24" customFormat="false" ht="15" hidden="false" customHeight="false" outlineLevel="0" collapsed="false">
      <c r="B24" s="11" t="s">
        <v>35</v>
      </c>
      <c r="C24" s="5" t="s">
        <v>36</v>
      </c>
    </row>
    <row r="26" customFormat="false" ht="30" hidden="false" customHeight="true" outlineLevel="0" collapsed="false">
      <c r="B26" s="11" t="s">
        <v>37</v>
      </c>
      <c r="C26" s="5" t="s">
        <v>38</v>
      </c>
    </row>
    <row r="27" customFormat="false" ht="30" hidden="false" customHeight="true" outlineLevel="0" collapsed="false">
      <c r="B27" s="11" t="s">
        <v>39</v>
      </c>
      <c r="C27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D2E"/>
    <pageSetUpPr fitToPage="false"/>
  </sheetPr>
  <dimension ref="A1:I2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7" min="5" style="0" width="17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2" t="s">
        <v>41</v>
      </c>
    </row>
    <row r="2" customFormat="false" ht="15" hidden="false" customHeight="false" outlineLevel="0" collapsed="false">
      <c r="A2" s="13" t="s">
        <v>42</v>
      </c>
    </row>
    <row r="4" customFormat="false" ht="42" hidden="false" customHeight="true" outlineLevel="0" collapsed="false">
      <c r="A4" s="14" t="s">
        <v>43</v>
      </c>
      <c r="B4" s="14" t="s">
        <v>44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49</v>
      </c>
      <c r="H4" s="14" t="s">
        <v>50</v>
      </c>
      <c r="I4" s="14" t="s">
        <v>51</v>
      </c>
    </row>
    <row r="5" customFormat="false" ht="15" hidden="false" customHeight="false" outlineLevel="0" collapsed="false">
      <c r="A5" s="15" t="s">
        <v>52</v>
      </c>
      <c r="B5" s="15" t="s">
        <v>53</v>
      </c>
      <c r="C5" s="15" t="s">
        <v>54</v>
      </c>
      <c r="D5" s="16" t="n">
        <f aca="false">IF(A5="","",IF(COUNTIFS(Compras!$B$5:$B$2000,A5,Compras!$H$5:$H$2000,"&gt;0")=0,"",_xlfn.MAXIFS(Compras!$A$5:$A$2000,Compras!$B$5:$B$2000,A5,Compras!$H$5:$H$2000,"&gt;0")))</f>
        <v>46280</v>
      </c>
      <c r="E5" s="17" t="n">
        <f aca="false">IF(D5="","",SUMIFS(Compras!$H$5:$H$2000,Compras!$B$5:$B$2000,A5,Compras!$A$5:$A$2000,D5,Compras!$H$5:$H$2000,"&gt;0")/COUNTIFS(Compras!$B$5:$B$2000,A5,Compras!$A$5:$A$2000,D5,Compras!$H$5:$H$2000,"&gt;0"))</f>
        <v>18</v>
      </c>
      <c r="F5" s="17" t="n">
        <f aca="false">IF(D5="","",SUMIFS(Compras!$F$5:$F$2000,Compras!$B$5:$B$2000,A5,Compras!$H$5:$H$2000,"&gt;0")/SUMIFS(Compras!$G$5:$G$2000,Compras!$B$5:$B$2000,A5,Compras!$H$5:$H$2000,"&gt;0"))</f>
        <v>17.25</v>
      </c>
      <c r="G5" s="18" t="n">
        <f aca="false">IF(D5="","",IF(CFG_Metodo="Promedio",F5,E5))</f>
        <v>18</v>
      </c>
      <c r="H5" s="19" t="n">
        <f aca="false">IF(G5="","",IF(C5="unidad",G5,G5*1000))</f>
        <v>18000</v>
      </c>
      <c r="I5" s="20" t="str">
        <f aca="false">IF(A5="","",IF(C5="","Falta unidad base",IF(D5="","Sin compras cargadas","OK")))</f>
        <v>OK</v>
      </c>
    </row>
    <row r="6" customFormat="false" ht="15" hidden="false" customHeight="false" outlineLevel="0" collapsed="false">
      <c r="A6" s="15" t="s">
        <v>55</v>
      </c>
      <c r="B6" s="15" t="s">
        <v>53</v>
      </c>
      <c r="C6" s="15" t="s">
        <v>56</v>
      </c>
      <c r="D6" s="16" t="str">
        <f aca="false">IF(A6="","",IF(COUNTIFS(Compras!$B$5:$B$2000,A6,Compras!$H$5:$H$2000,"&gt;0")=0,"",_xlfn.MAXIFS(Compras!$A$5:$A$2000,Compras!$B$5:$B$2000,A6,Compras!$H$5:$H$2000,"&gt;0")))</f>
        <v/>
      </c>
      <c r="E6" s="17" t="str">
        <f aca="false">IF(D6="","",SUMIFS(Compras!$H$5:$H$2000,Compras!$B$5:$B$2000,A6,Compras!$A$5:$A$2000,D6,Compras!$H$5:$H$2000,"&gt;0")/COUNTIFS(Compras!$B$5:$B$2000,A6,Compras!$A$5:$A$2000,D6,Compras!$H$5:$H$2000,"&gt;0"))</f>
        <v/>
      </c>
      <c r="F6" s="17" t="str">
        <f aca="false">IF(D6="","",SUMIFS(Compras!$F$5:$F$2000,Compras!$B$5:$B$2000,A6,Compras!$H$5:$H$2000,"&gt;0")/SUMIFS(Compras!$G$5:$G$2000,Compras!$B$5:$B$2000,A6,Compras!$H$5:$H$2000,"&gt;0"))</f>
        <v/>
      </c>
      <c r="G6" s="18" t="str">
        <f aca="false">IF(D6="","",IF(CFG_Metodo="Promedio",F6,E6))</f>
        <v/>
      </c>
      <c r="H6" s="19" t="str">
        <f aca="false">IF(G6="","",IF(C6="unidad",G6,G6*1000))</f>
        <v/>
      </c>
      <c r="I6" s="20" t="str">
        <f aca="false">IF(A6="","",IF(C6="","Falta unidad base",IF(D6="","Sin compras cargadas","OK")))</f>
        <v>Sin compras cargadas</v>
      </c>
    </row>
    <row r="7" customFormat="false" ht="15" hidden="false" customHeight="false" outlineLevel="0" collapsed="false">
      <c r="A7" s="15" t="s">
        <v>57</v>
      </c>
      <c r="B7" s="15" t="s">
        <v>53</v>
      </c>
      <c r="C7" s="15" t="s">
        <v>56</v>
      </c>
      <c r="D7" s="16" t="n">
        <f aca="false">IF(A7="","",IF(COUNTIFS(Compras!$B$5:$B$2000,A7,Compras!$H$5:$H$2000,"&gt;0")=0,"",_xlfn.MAXIFS(Compras!$A$5:$A$2000,Compras!$B$5:$B$2000,A7,Compras!$H$5:$H$2000,"&gt;0")))</f>
        <v>46267</v>
      </c>
      <c r="E7" s="17" t="n">
        <f aca="false">IF(D7="","",SUMIFS(Compras!$H$5:$H$2000,Compras!$B$5:$B$2000,A7,Compras!$A$5:$A$2000,D7,Compras!$H$5:$H$2000,"&gt;0")/COUNTIFS(Compras!$B$5:$B$2000,A7,Compras!$A$5:$A$2000,D7,Compras!$H$5:$H$2000,"&gt;0"))</f>
        <v>3</v>
      </c>
      <c r="F7" s="17" t="n">
        <f aca="false">IF(D7="","",SUMIFS(Compras!$F$5:$F$2000,Compras!$B$5:$B$2000,A7,Compras!$H$5:$H$2000,"&gt;0")/SUMIFS(Compras!$G$5:$G$2000,Compras!$B$5:$B$2000,A7,Compras!$H$5:$H$2000,"&gt;0"))</f>
        <v>3</v>
      </c>
      <c r="G7" s="18" t="n">
        <f aca="false">IF(D7="","",IF(CFG_Metodo="Promedio",F7,E7))</f>
        <v>3</v>
      </c>
      <c r="H7" s="19" t="n">
        <f aca="false">IF(G7="","",IF(C7="unidad",G7,G7*1000))</f>
        <v>3000</v>
      </c>
      <c r="I7" s="20" t="str">
        <f aca="false">IF(A7="","",IF(C7="","Falta unidad base",IF(D7="","Sin compras cargadas","OK")))</f>
        <v>OK</v>
      </c>
    </row>
    <row r="8" customFormat="false" ht="15" hidden="false" customHeight="false" outlineLevel="0" collapsed="false">
      <c r="A8" s="15" t="s">
        <v>58</v>
      </c>
      <c r="B8" s="15" t="s">
        <v>53</v>
      </c>
      <c r="C8" s="15" t="s">
        <v>56</v>
      </c>
      <c r="D8" s="16" t="n">
        <f aca="false">IF(A8="","",IF(COUNTIFS(Compras!$B$5:$B$2000,A8,Compras!$H$5:$H$2000,"&gt;0")=0,"",_xlfn.MAXIFS(Compras!$A$5:$A$2000,Compras!$B$5:$B$2000,A8,Compras!$H$5:$H$2000,"&gt;0")))</f>
        <v>46267</v>
      </c>
      <c r="E8" s="17" t="n">
        <f aca="false">IF(D8="","",SUMIFS(Compras!$H$5:$H$2000,Compras!$B$5:$B$2000,A8,Compras!$A$5:$A$2000,D8,Compras!$H$5:$H$2000,"&gt;0")/COUNTIFS(Compras!$B$5:$B$2000,A8,Compras!$A$5:$A$2000,D8,Compras!$H$5:$H$2000,"&gt;0"))</f>
        <v>3.5</v>
      </c>
      <c r="F8" s="17" t="n">
        <f aca="false">IF(D8="","",SUMIFS(Compras!$F$5:$F$2000,Compras!$B$5:$B$2000,A8,Compras!$H$5:$H$2000,"&gt;0")/SUMIFS(Compras!$G$5:$G$2000,Compras!$B$5:$B$2000,A8,Compras!$H$5:$H$2000,"&gt;0"))</f>
        <v>3.5</v>
      </c>
      <c r="G8" s="18" t="n">
        <f aca="false">IF(D8="","",IF(CFG_Metodo="Promedio",F8,E8))</f>
        <v>3.5</v>
      </c>
      <c r="H8" s="19" t="n">
        <f aca="false">IF(G8="","",IF(C8="unidad",G8,G8*1000))</f>
        <v>3500</v>
      </c>
      <c r="I8" s="20" t="str">
        <f aca="false">IF(A8="","",IF(C8="","Falta unidad base",IF(D8="","Sin compras cargadas","OK")))</f>
        <v>OK</v>
      </c>
    </row>
    <row r="9" customFormat="false" ht="15" hidden="false" customHeight="false" outlineLevel="0" collapsed="false">
      <c r="A9" s="15" t="s">
        <v>59</v>
      </c>
      <c r="B9" s="15" t="s">
        <v>53</v>
      </c>
      <c r="C9" s="15" t="s">
        <v>56</v>
      </c>
      <c r="D9" s="16" t="str">
        <f aca="false">IF(A9="","",IF(COUNTIFS(Compras!$B$5:$B$2000,A9,Compras!$H$5:$H$2000,"&gt;0")=0,"",_xlfn.MAXIFS(Compras!$A$5:$A$2000,Compras!$B$5:$B$2000,A9,Compras!$H$5:$H$2000,"&gt;0")))</f>
        <v/>
      </c>
      <c r="E9" s="17" t="str">
        <f aca="false">IF(D9="","",SUMIFS(Compras!$H$5:$H$2000,Compras!$B$5:$B$2000,A9,Compras!$A$5:$A$2000,D9,Compras!$H$5:$H$2000,"&gt;0")/COUNTIFS(Compras!$B$5:$B$2000,A9,Compras!$A$5:$A$2000,D9,Compras!$H$5:$H$2000,"&gt;0"))</f>
        <v/>
      </c>
      <c r="F9" s="17" t="str">
        <f aca="false">IF(D9="","",SUMIFS(Compras!$F$5:$F$2000,Compras!$B$5:$B$2000,A9,Compras!$H$5:$H$2000,"&gt;0")/SUMIFS(Compras!$G$5:$G$2000,Compras!$B$5:$B$2000,A9,Compras!$H$5:$H$2000,"&gt;0"))</f>
        <v/>
      </c>
      <c r="G9" s="18" t="str">
        <f aca="false">IF(D9="","",IF(CFG_Metodo="Promedio",F9,E9))</f>
        <v/>
      </c>
      <c r="H9" s="19" t="str">
        <f aca="false">IF(G9="","",IF(C9="unidad",G9,G9*1000))</f>
        <v/>
      </c>
      <c r="I9" s="20" t="str">
        <f aca="false">IF(A9="","",IF(C9="","Falta unidad base",IF(D9="","Sin compras cargadas","OK")))</f>
        <v>Sin compras cargadas</v>
      </c>
    </row>
    <row r="10" customFormat="false" ht="15" hidden="false" customHeight="false" outlineLevel="0" collapsed="false">
      <c r="A10" s="15" t="s">
        <v>60</v>
      </c>
      <c r="B10" s="15" t="s">
        <v>53</v>
      </c>
      <c r="C10" s="15" t="s">
        <v>56</v>
      </c>
      <c r="D10" s="16" t="str">
        <f aca="false">IF(A10="","",IF(COUNTIFS(Compras!$B$5:$B$2000,A10,Compras!$H$5:$H$2000,"&gt;0")=0,"",_xlfn.MAXIFS(Compras!$A$5:$A$2000,Compras!$B$5:$B$2000,A10,Compras!$H$5:$H$2000,"&gt;0")))</f>
        <v/>
      </c>
      <c r="E10" s="17" t="str">
        <f aca="false">IF(D10="","",SUMIFS(Compras!$H$5:$H$2000,Compras!$B$5:$B$2000,A10,Compras!$A$5:$A$2000,D10,Compras!$H$5:$H$2000,"&gt;0")/COUNTIFS(Compras!$B$5:$B$2000,A10,Compras!$A$5:$A$2000,D10,Compras!$H$5:$H$2000,"&gt;0"))</f>
        <v/>
      </c>
      <c r="F10" s="17" t="str">
        <f aca="false">IF(D10="","",SUMIFS(Compras!$F$5:$F$2000,Compras!$B$5:$B$2000,A10,Compras!$H$5:$H$2000,"&gt;0")/SUMIFS(Compras!$G$5:$G$2000,Compras!$B$5:$B$2000,A10,Compras!$H$5:$H$2000,"&gt;0"))</f>
        <v/>
      </c>
      <c r="G10" s="18" t="str">
        <f aca="false">IF(D10="","",IF(CFG_Metodo="Promedio",F10,E10))</f>
        <v/>
      </c>
      <c r="H10" s="19" t="str">
        <f aca="false">IF(G10="","",IF(C10="unidad",G10,G10*1000))</f>
        <v/>
      </c>
      <c r="I10" s="20" t="str">
        <f aca="false">IF(A10="","",IF(C10="","Falta unidad base",IF(D10="","Sin compras cargadas","OK")))</f>
        <v>Sin compras cargadas</v>
      </c>
    </row>
    <row r="11" customFormat="false" ht="15" hidden="false" customHeight="false" outlineLevel="0" collapsed="false">
      <c r="A11" s="15" t="s">
        <v>61</v>
      </c>
      <c r="B11" s="15" t="s">
        <v>53</v>
      </c>
      <c r="C11" s="15" t="s">
        <v>56</v>
      </c>
      <c r="D11" s="16" t="str">
        <f aca="false">IF(A11="","",IF(COUNTIFS(Compras!$B$5:$B$2000,A11,Compras!$H$5:$H$2000,"&gt;0")=0,"",_xlfn.MAXIFS(Compras!$A$5:$A$2000,Compras!$B$5:$B$2000,A11,Compras!$H$5:$H$2000,"&gt;0")))</f>
        <v/>
      </c>
      <c r="E11" s="17" t="str">
        <f aca="false">IF(D11="","",SUMIFS(Compras!$H$5:$H$2000,Compras!$B$5:$B$2000,A11,Compras!$A$5:$A$2000,D11,Compras!$H$5:$H$2000,"&gt;0")/COUNTIFS(Compras!$B$5:$B$2000,A11,Compras!$A$5:$A$2000,D11,Compras!$H$5:$H$2000,"&gt;0"))</f>
        <v/>
      </c>
      <c r="F11" s="17" t="str">
        <f aca="false">IF(D11="","",SUMIFS(Compras!$F$5:$F$2000,Compras!$B$5:$B$2000,A11,Compras!$H$5:$H$2000,"&gt;0")/SUMIFS(Compras!$G$5:$G$2000,Compras!$B$5:$B$2000,A11,Compras!$H$5:$H$2000,"&gt;0"))</f>
        <v/>
      </c>
      <c r="G11" s="18" t="str">
        <f aca="false">IF(D11="","",IF(CFG_Metodo="Promedio",F11,E11))</f>
        <v/>
      </c>
      <c r="H11" s="19" t="str">
        <f aca="false">IF(G11="","",IF(C11="unidad",G11,G11*1000))</f>
        <v/>
      </c>
      <c r="I11" s="20" t="str">
        <f aca="false">IF(A11="","",IF(C11="","Falta unidad base",IF(D11="","Sin compras cargadas","OK")))</f>
        <v>Sin compras cargadas</v>
      </c>
    </row>
    <row r="12" customFormat="false" ht="15" hidden="false" customHeight="false" outlineLevel="0" collapsed="false">
      <c r="A12" s="15" t="s">
        <v>62</v>
      </c>
      <c r="B12" s="15" t="s">
        <v>53</v>
      </c>
      <c r="C12" s="15" t="s">
        <v>56</v>
      </c>
      <c r="D12" s="16" t="str">
        <f aca="false">IF(A12="","",IF(COUNTIFS(Compras!$B$5:$B$2000,A12,Compras!$H$5:$H$2000,"&gt;0")=0,"",_xlfn.MAXIFS(Compras!$A$5:$A$2000,Compras!$B$5:$B$2000,A12,Compras!$H$5:$H$2000,"&gt;0")))</f>
        <v/>
      </c>
      <c r="E12" s="17" t="str">
        <f aca="false">IF(D12="","",SUMIFS(Compras!$H$5:$H$2000,Compras!$B$5:$B$2000,A12,Compras!$A$5:$A$2000,D12,Compras!$H$5:$H$2000,"&gt;0")/COUNTIFS(Compras!$B$5:$B$2000,A12,Compras!$A$5:$A$2000,D12,Compras!$H$5:$H$2000,"&gt;0"))</f>
        <v/>
      </c>
      <c r="F12" s="17" t="str">
        <f aca="false">IF(D12="","",SUMIFS(Compras!$F$5:$F$2000,Compras!$B$5:$B$2000,A12,Compras!$H$5:$H$2000,"&gt;0")/SUMIFS(Compras!$G$5:$G$2000,Compras!$B$5:$B$2000,A12,Compras!$H$5:$H$2000,"&gt;0"))</f>
        <v/>
      </c>
      <c r="G12" s="18" t="str">
        <f aca="false">IF(D12="","",IF(CFG_Metodo="Promedio",F12,E12))</f>
        <v/>
      </c>
      <c r="H12" s="19" t="str">
        <f aca="false">IF(G12="","",IF(C12="unidad",G12,G12*1000))</f>
        <v/>
      </c>
      <c r="I12" s="20" t="str">
        <f aca="false">IF(A12="","",IF(C12="","Falta unidad base",IF(D12="","Sin compras cargadas","OK")))</f>
        <v>Sin compras cargadas</v>
      </c>
    </row>
    <row r="13" customFormat="false" ht="15" hidden="false" customHeight="false" outlineLevel="0" collapsed="false">
      <c r="A13" s="15" t="s">
        <v>63</v>
      </c>
      <c r="B13" s="15" t="s">
        <v>53</v>
      </c>
      <c r="C13" s="15" t="s">
        <v>56</v>
      </c>
      <c r="D13" s="16" t="str">
        <f aca="false">IF(A13="","",IF(COUNTIFS(Compras!$B$5:$B$2000,A13,Compras!$H$5:$H$2000,"&gt;0")=0,"",_xlfn.MAXIFS(Compras!$A$5:$A$2000,Compras!$B$5:$B$2000,A13,Compras!$H$5:$H$2000,"&gt;0")))</f>
        <v/>
      </c>
      <c r="E13" s="17" t="str">
        <f aca="false">IF(D13="","",SUMIFS(Compras!$H$5:$H$2000,Compras!$B$5:$B$2000,A13,Compras!$A$5:$A$2000,D13,Compras!$H$5:$H$2000,"&gt;0")/COUNTIFS(Compras!$B$5:$B$2000,A13,Compras!$A$5:$A$2000,D13,Compras!$H$5:$H$2000,"&gt;0"))</f>
        <v/>
      </c>
      <c r="F13" s="17" t="str">
        <f aca="false">IF(D13="","",SUMIFS(Compras!$F$5:$F$2000,Compras!$B$5:$B$2000,A13,Compras!$H$5:$H$2000,"&gt;0")/SUMIFS(Compras!$G$5:$G$2000,Compras!$B$5:$B$2000,A13,Compras!$H$5:$H$2000,"&gt;0"))</f>
        <v/>
      </c>
      <c r="G13" s="18" t="str">
        <f aca="false">IF(D13="","",IF(CFG_Metodo="Promedio",F13,E13))</f>
        <v/>
      </c>
      <c r="H13" s="19" t="str">
        <f aca="false">IF(G13="","",IF(C13="unidad",G13,G13*1000))</f>
        <v/>
      </c>
      <c r="I13" s="20" t="str">
        <f aca="false">IF(A13="","",IF(C13="","Falta unidad base",IF(D13="","Sin compras cargadas","OK")))</f>
        <v>Sin compras cargadas</v>
      </c>
    </row>
    <row r="14" customFormat="false" ht="15" hidden="false" customHeight="false" outlineLevel="0" collapsed="false">
      <c r="A14" s="15" t="s">
        <v>64</v>
      </c>
      <c r="B14" s="15" t="s">
        <v>53</v>
      </c>
      <c r="C14" s="15" t="s">
        <v>54</v>
      </c>
      <c r="D14" s="16" t="str">
        <f aca="false">IF(A14="","",IF(COUNTIFS(Compras!$B$5:$B$2000,A14,Compras!$H$5:$H$2000,"&gt;0")=0,"",_xlfn.MAXIFS(Compras!$A$5:$A$2000,Compras!$B$5:$B$2000,A14,Compras!$H$5:$H$2000,"&gt;0")))</f>
        <v/>
      </c>
      <c r="E14" s="17" t="str">
        <f aca="false">IF(D14="","",SUMIFS(Compras!$H$5:$H$2000,Compras!$B$5:$B$2000,A14,Compras!$A$5:$A$2000,D14,Compras!$H$5:$H$2000,"&gt;0")/COUNTIFS(Compras!$B$5:$B$2000,A14,Compras!$A$5:$A$2000,D14,Compras!$H$5:$H$2000,"&gt;0"))</f>
        <v/>
      </c>
      <c r="F14" s="17" t="str">
        <f aca="false">IF(D14="","",SUMIFS(Compras!$F$5:$F$2000,Compras!$B$5:$B$2000,A14,Compras!$H$5:$H$2000,"&gt;0")/SUMIFS(Compras!$G$5:$G$2000,Compras!$B$5:$B$2000,A14,Compras!$H$5:$H$2000,"&gt;0"))</f>
        <v/>
      </c>
      <c r="G14" s="18" t="str">
        <f aca="false">IF(D14="","",IF(CFG_Metodo="Promedio",F14,E14))</f>
        <v/>
      </c>
      <c r="H14" s="19" t="str">
        <f aca="false">IF(G14="","",IF(C14="unidad",G14,G14*1000))</f>
        <v/>
      </c>
      <c r="I14" s="20" t="str">
        <f aca="false">IF(A14="","",IF(C14="","Falta unidad base",IF(D14="","Sin compras cargadas","OK")))</f>
        <v>Sin compras cargadas</v>
      </c>
    </row>
    <row r="15" customFormat="false" ht="15" hidden="false" customHeight="false" outlineLevel="0" collapsed="false">
      <c r="A15" s="15" t="s">
        <v>65</v>
      </c>
      <c r="B15" s="15" t="s">
        <v>53</v>
      </c>
      <c r="C15" s="15" t="s">
        <v>56</v>
      </c>
      <c r="D15" s="16" t="str">
        <f aca="false">IF(A15="","",IF(COUNTIFS(Compras!$B$5:$B$2000,A15,Compras!$H$5:$H$2000,"&gt;0")=0,"",_xlfn.MAXIFS(Compras!$A$5:$A$2000,Compras!$B$5:$B$2000,A15,Compras!$H$5:$H$2000,"&gt;0")))</f>
        <v/>
      </c>
      <c r="E15" s="17" t="str">
        <f aca="false">IF(D15="","",SUMIFS(Compras!$H$5:$H$2000,Compras!$B$5:$B$2000,A15,Compras!$A$5:$A$2000,D15,Compras!$H$5:$H$2000,"&gt;0")/COUNTIFS(Compras!$B$5:$B$2000,A15,Compras!$A$5:$A$2000,D15,Compras!$H$5:$H$2000,"&gt;0"))</f>
        <v/>
      </c>
      <c r="F15" s="17" t="str">
        <f aca="false">IF(D15="","",SUMIFS(Compras!$F$5:$F$2000,Compras!$B$5:$B$2000,A15,Compras!$H$5:$H$2000,"&gt;0")/SUMIFS(Compras!$G$5:$G$2000,Compras!$B$5:$B$2000,A15,Compras!$H$5:$H$2000,"&gt;0"))</f>
        <v/>
      </c>
      <c r="G15" s="18" t="str">
        <f aca="false">IF(D15="","",IF(CFG_Metodo="Promedio",F15,E15))</f>
        <v/>
      </c>
      <c r="H15" s="19" t="str">
        <f aca="false">IF(G15="","",IF(C15="unidad",G15,G15*1000))</f>
        <v/>
      </c>
      <c r="I15" s="20" t="str">
        <f aca="false">IF(A15="","",IF(C15="","Falta unidad base",IF(D15="","Sin compras cargadas","OK")))</f>
        <v>Sin compras cargadas</v>
      </c>
    </row>
    <row r="16" customFormat="false" ht="15" hidden="false" customHeight="false" outlineLevel="0" collapsed="false">
      <c r="A16" s="15" t="s">
        <v>66</v>
      </c>
      <c r="B16" s="15" t="s">
        <v>53</v>
      </c>
      <c r="C16" s="15" t="s">
        <v>56</v>
      </c>
      <c r="D16" s="16" t="n">
        <f aca="false">IF(A16="","",IF(COUNTIFS(Compras!$B$5:$B$2000,A16,Compras!$H$5:$H$2000,"&gt;0")=0,"",_xlfn.MAXIFS(Compras!$A$5:$A$2000,Compras!$B$5:$B$2000,A16,Compras!$H$5:$H$2000,"&gt;0")))</f>
        <v>46267</v>
      </c>
      <c r="E16" s="17" t="n">
        <f aca="false">IF(D16="","",SUMIFS(Compras!$H$5:$H$2000,Compras!$B$5:$B$2000,A16,Compras!$A$5:$A$2000,D16,Compras!$H$5:$H$2000,"&gt;0")/COUNTIFS(Compras!$B$5:$B$2000,A16,Compras!$A$5:$A$2000,D16,Compras!$H$5:$H$2000,"&gt;0"))</f>
        <v>60</v>
      </c>
      <c r="F16" s="17" t="n">
        <f aca="false">IF(D16="","",SUMIFS(Compras!$F$5:$F$2000,Compras!$B$5:$B$2000,A16,Compras!$H$5:$H$2000,"&gt;0")/SUMIFS(Compras!$G$5:$G$2000,Compras!$B$5:$B$2000,A16,Compras!$H$5:$H$2000,"&gt;0"))</f>
        <v>60</v>
      </c>
      <c r="G16" s="18" t="n">
        <f aca="false">IF(D16="","",IF(CFG_Metodo="Promedio",F16,E16))</f>
        <v>60</v>
      </c>
      <c r="H16" s="19" t="n">
        <f aca="false">IF(G16="","",IF(C16="unidad",G16,G16*1000))</f>
        <v>60000</v>
      </c>
      <c r="I16" s="20" t="str">
        <f aca="false">IF(A16="","",IF(C16="","Falta unidad base",IF(D16="","Sin compras cargadas","OK")))</f>
        <v>OK</v>
      </c>
    </row>
    <row r="17" customFormat="false" ht="15" hidden="false" customHeight="false" outlineLevel="0" collapsed="false">
      <c r="A17" s="15" t="s">
        <v>67</v>
      </c>
      <c r="B17" s="15" t="s">
        <v>53</v>
      </c>
      <c r="C17" s="15" t="s">
        <v>56</v>
      </c>
      <c r="D17" s="16" t="n">
        <f aca="false">IF(A17="","",IF(COUNTIFS(Compras!$B$5:$B$2000,A17,Compras!$H$5:$H$2000,"&gt;0")=0,"",_xlfn.MAXIFS(Compras!$A$5:$A$2000,Compras!$B$5:$B$2000,A17,Compras!$H$5:$H$2000,"&gt;0")))</f>
        <v>46267</v>
      </c>
      <c r="E17" s="17" t="n">
        <f aca="false">IF(D17="","",SUMIFS(Compras!$H$5:$H$2000,Compras!$B$5:$B$2000,A17,Compras!$A$5:$A$2000,D17,Compras!$H$5:$H$2000,"&gt;0")/COUNTIFS(Compras!$B$5:$B$2000,A17,Compras!$A$5:$A$2000,D17,Compras!$H$5:$H$2000,"&gt;0"))</f>
        <v>2.8</v>
      </c>
      <c r="F17" s="17" t="n">
        <f aca="false">IF(D17="","",SUMIFS(Compras!$F$5:$F$2000,Compras!$B$5:$B$2000,A17,Compras!$H$5:$H$2000,"&gt;0")/SUMIFS(Compras!$G$5:$G$2000,Compras!$B$5:$B$2000,A17,Compras!$H$5:$H$2000,"&gt;0"))</f>
        <v>2.8</v>
      </c>
      <c r="G17" s="18" t="n">
        <f aca="false">IF(D17="","",IF(CFG_Metodo="Promedio",F17,E17))</f>
        <v>2.8</v>
      </c>
      <c r="H17" s="19" t="n">
        <f aca="false">IF(G17="","",IF(C17="unidad",G17,G17*1000))</f>
        <v>2800</v>
      </c>
      <c r="I17" s="20" t="str">
        <f aca="false">IF(A17="","",IF(C17="","Falta unidad base",IF(D17="","Sin compras cargadas","OK")))</f>
        <v>OK</v>
      </c>
    </row>
    <row r="18" customFormat="false" ht="15" hidden="false" customHeight="false" outlineLevel="0" collapsed="false">
      <c r="A18" s="15" t="s">
        <v>68</v>
      </c>
      <c r="B18" s="15" t="s">
        <v>53</v>
      </c>
      <c r="C18" s="15" t="s">
        <v>56</v>
      </c>
      <c r="D18" s="16" t="str">
        <f aca="false">IF(A18="","",IF(COUNTIFS(Compras!$B$5:$B$2000,A18,Compras!$H$5:$H$2000,"&gt;0")=0,"",_xlfn.MAXIFS(Compras!$A$5:$A$2000,Compras!$B$5:$B$2000,A18,Compras!$H$5:$H$2000,"&gt;0")))</f>
        <v/>
      </c>
      <c r="E18" s="17" t="str">
        <f aca="false">IF(D18="","",SUMIFS(Compras!$H$5:$H$2000,Compras!$B$5:$B$2000,A18,Compras!$A$5:$A$2000,D18,Compras!$H$5:$H$2000,"&gt;0")/COUNTIFS(Compras!$B$5:$B$2000,A18,Compras!$A$5:$A$2000,D18,Compras!$H$5:$H$2000,"&gt;0"))</f>
        <v/>
      </c>
      <c r="F18" s="17" t="str">
        <f aca="false">IF(D18="","",SUMIFS(Compras!$F$5:$F$2000,Compras!$B$5:$B$2000,A18,Compras!$H$5:$H$2000,"&gt;0")/SUMIFS(Compras!$G$5:$G$2000,Compras!$B$5:$B$2000,A18,Compras!$H$5:$H$2000,"&gt;0"))</f>
        <v/>
      </c>
      <c r="G18" s="18" t="str">
        <f aca="false">IF(D18="","",IF(CFG_Metodo="Promedio",F18,E18))</f>
        <v/>
      </c>
      <c r="H18" s="19" t="str">
        <f aca="false">IF(G18="","",IF(C18="unidad",G18,G18*1000))</f>
        <v/>
      </c>
      <c r="I18" s="20" t="str">
        <f aca="false">IF(A18="","",IF(C18="","Falta unidad base",IF(D18="","Sin compras cargadas","OK")))</f>
        <v>Sin compras cargadas</v>
      </c>
    </row>
    <row r="19" customFormat="false" ht="15" hidden="false" customHeight="false" outlineLevel="0" collapsed="false">
      <c r="A19" s="15" t="s">
        <v>69</v>
      </c>
      <c r="B19" s="15" t="s">
        <v>53</v>
      </c>
      <c r="C19" s="15" t="s">
        <v>56</v>
      </c>
      <c r="D19" s="16" t="str">
        <f aca="false">IF(A19="","",IF(COUNTIFS(Compras!$B$5:$B$2000,A19,Compras!$H$5:$H$2000,"&gt;0")=0,"",_xlfn.MAXIFS(Compras!$A$5:$A$2000,Compras!$B$5:$B$2000,A19,Compras!$H$5:$H$2000,"&gt;0")))</f>
        <v/>
      </c>
      <c r="E19" s="17" t="str">
        <f aca="false">IF(D19="","",SUMIFS(Compras!$H$5:$H$2000,Compras!$B$5:$B$2000,A19,Compras!$A$5:$A$2000,D19,Compras!$H$5:$H$2000,"&gt;0")/COUNTIFS(Compras!$B$5:$B$2000,A19,Compras!$A$5:$A$2000,D19,Compras!$H$5:$H$2000,"&gt;0"))</f>
        <v/>
      </c>
      <c r="F19" s="17" t="str">
        <f aca="false">IF(D19="","",SUMIFS(Compras!$F$5:$F$2000,Compras!$B$5:$B$2000,A19,Compras!$H$5:$H$2000,"&gt;0")/SUMIFS(Compras!$G$5:$G$2000,Compras!$B$5:$B$2000,A19,Compras!$H$5:$H$2000,"&gt;0"))</f>
        <v/>
      </c>
      <c r="G19" s="18" t="str">
        <f aca="false">IF(D19="","",IF(CFG_Metodo="Promedio",F19,E19))</f>
        <v/>
      </c>
      <c r="H19" s="19" t="str">
        <f aca="false">IF(G19="","",IF(C19="unidad",G19,G19*1000))</f>
        <v/>
      </c>
      <c r="I19" s="20" t="str">
        <f aca="false">IF(A19="","",IF(C19="","Falta unidad base",IF(D19="","Sin compras cargadas","OK")))</f>
        <v>Sin compras cargadas</v>
      </c>
    </row>
    <row r="20" customFormat="false" ht="15" hidden="false" customHeight="false" outlineLevel="0" collapsed="false">
      <c r="A20" s="15" t="s">
        <v>70</v>
      </c>
      <c r="B20" s="15" t="s">
        <v>53</v>
      </c>
      <c r="C20" s="15" t="s">
        <v>56</v>
      </c>
      <c r="D20" s="16" t="str">
        <f aca="false">IF(A20="","",IF(COUNTIFS(Compras!$B$5:$B$2000,A20,Compras!$H$5:$H$2000,"&gt;0")=0,"",_xlfn.MAXIFS(Compras!$A$5:$A$2000,Compras!$B$5:$B$2000,A20,Compras!$H$5:$H$2000,"&gt;0")))</f>
        <v/>
      </c>
      <c r="E20" s="17" t="str">
        <f aca="false">IF(D20="","",SUMIFS(Compras!$H$5:$H$2000,Compras!$B$5:$B$2000,A20,Compras!$A$5:$A$2000,D20,Compras!$H$5:$H$2000,"&gt;0")/COUNTIFS(Compras!$B$5:$B$2000,A20,Compras!$A$5:$A$2000,D20,Compras!$H$5:$H$2000,"&gt;0"))</f>
        <v/>
      </c>
      <c r="F20" s="17" t="str">
        <f aca="false">IF(D20="","",SUMIFS(Compras!$F$5:$F$2000,Compras!$B$5:$B$2000,A20,Compras!$H$5:$H$2000,"&gt;0")/SUMIFS(Compras!$G$5:$G$2000,Compras!$B$5:$B$2000,A20,Compras!$H$5:$H$2000,"&gt;0"))</f>
        <v/>
      </c>
      <c r="G20" s="18" t="str">
        <f aca="false">IF(D20="","",IF(CFG_Metodo="Promedio",F20,E20))</f>
        <v/>
      </c>
      <c r="H20" s="19" t="str">
        <f aca="false">IF(G20="","",IF(C20="unidad",G20,G20*1000))</f>
        <v/>
      </c>
      <c r="I20" s="20" t="str">
        <f aca="false">IF(A20="","",IF(C20="","Falta unidad base",IF(D20="","Sin compras cargadas","OK")))</f>
        <v>Sin compras cargadas</v>
      </c>
    </row>
    <row r="21" customFormat="false" ht="15" hidden="false" customHeight="false" outlineLevel="0" collapsed="false">
      <c r="A21" s="15" t="s">
        <v>71</v>
      </c>
      <c r="B21" s="15" t="s">
        <v>53</v>
      </c>
      <c r="C21" s="15" t="s">
        <v>56</v>
      </c>
      <c r="D21" s="16" t="str">
        <f aca="false">IF(A21="","",IF(COUNTIFS(Compras!$B$5:$B$2000,A21,Compras!$H$5:$H$2000,"&gt;0")=0,"",_xlfn.MAXIFS(Compras!$A$5:$A$2000,Compras!$B$5:$B$2000,A21,Compras!$H$5:$H$2000,"&gt;0")))</f>
        <v/>
      </c>
      <c r="E21" s="17" t="str">
        <f aca="false">IF(D21="","",SUMIFS(Compras!$H$5:$H$2000,Compras!$B$5:$B$2000,A21,Compras!$A$5:$A$2000,D21,Compras!$H$5:$H$2000,"&gt;0")/COUNTIFS(Compras!$B$5:$B$2000,A21,Compras!$A$5:$A$2000,D21,Compras!$H$5:$H$2000,"&gt;0"))</f>
        <v/>
      </c>
      <c r="F21" s="17" t="str">
        <f aca="false">IF(D21="","",SUMIFS(Compras!$F$5:$F$2000,Compras!$B$5:$B$2000,A21,Compras!$H$5:$H$2000,"&gt;0")/SUMIFS(Compras!$G$5:$G$2000,Compras!$B$5:$B$2000,A21,Compras!$H$5:$H$2000,"&gt;0"))</f>
        <v/>
      </c>
      <c r="G21" s="18" t="str">
        <f aca="false">IF(D21="","",IF(CFG_Metodo="Promedio",F21,E21))</f>
        <v/>
      </c>
      <c r="H21" s="19" t="str">
        <f aca="false">IF(G21="","",IF(C21="unidad",G21,G21*1000))</f>
        <v/>
      </c>
      <c r="I21" s="20" t="str">
        <f aca="false">IF(A21="","",IF(C21="","Falta unidad base",IF(D21="","Sin compras cargadas","OK")))</f>
        <v>Sin compras cargadas</v>
      </c>
    </row>
    <row r="22" customFormat="false" ht="15" hidden="false" customHeight="false" outlineLevel="0" collapsed="false">
      <c r="A22" s="15" t="s">
        <v>72</v>
      </c>
      <c r="B22" s="15" t="s">
        <v>53</v>
      </c>
      <c r="C22" s="15" t="s">
        <v>56</v>
      </c>
      <c r="D22" s="16" t="str">
        <f aca="false">IF(A22="","",IF(COUNTIFS(Compras!$B$5:$B$2000,A22,Compras!$H$5:$H$2000,"&gt;0")=0,"",_xlfn.MAXIFS(Compras!$A$5:$A$2000,Compras!$B$5:$B$2000,A22,Compras!$H$5:$H$2000,"&gt;0")))</f>
        <v/>
      </c>
      <c r="E22" s="17" t="str">
        <f aca="false">IF(D22="","",SUMIFS(Compras!$H$5:$H$2000,Compras!$B$5:$B$2000,A22,Compras!$A$5:$A$2000,D22,Compras!$H$5:$H$2000,"&gt;0")/COUNTIFS(Compras!$B$5:$B$2000,A22,Compras!$A$5:$A$2000,D22,Compras!$H$5:$H$2000,"&gt;0"))</f>
        <v/>
      </c>
      <c r="F22" s="17" t="str">
        <f aca="false">IF(D22="","",SUMIFS(Compras!$F$5:$F$2000,Compras!$B$5:$B$2000,A22,Compras!$H$5:$H$2000,"&gt;0")/SUMIFS(Compras!$G$5:$G$2000,Compras!$B$5:$B$2000,A22,Compras!$H$5:$H$2000,"&gt;0"))</f>
        <v/>
      </c>
      <c r="G22" s="18" t="str">
        <f aca="false">IF(D22="","",IF(CFG_Metodo="Promedio",F22,E22))</f>
        <v/>
      </c>
      <c r="H22" s="19" t="str">
        <f aca="false">IF(G22="","",IF(C22="unidad",G22,G22*1000))</f>
        <v/>
      </c>
      <c r="I22" s="20" t="str">
        <f aca="false">IF(A22="","",IF(C22="","Falta unidad base",IF(D22="","Sin compras cargadas","OK")))</f>
        <v>Sin compras cargadas</v>
      </c>
    </row>
    <row r="23" customFormat="false" ht="15" hidden="false" customHeight="false" outlineLevel="0" collapsed="false">
      <c r="A23" s="15" t="s">
        <v>73</v>
      </c>
      <c r="B23" s="15" t="s">
        <v>53</v>
      </c>
      <c r="C23" s="15" t="s">
        <v>56</v>
      </c>
      <c r="D23" s="16" t="str">
        <f aca="false">IF(A23="","",IF(COUNTIFS(Compras!$B$5:$B$2000,A23,Compras!$H$5:$H$2000,"&gt;0")=0,"",_xlfn.MAXIFS(Compras!$A$5:$A$2000,Compras!$B$5:$B$2000,A23,Compras!$H$5:$H$2000,"&gt;0")))</f>
        <v/>
      </c>
      <c r="E23" s="17" t="str">
        <f aca="false">IF(D23="","",SUMIFS(Compras!$H$5:$H$2000,Compras!$B$5:$B$2000,A23,Compras!$A$5:$A$2000,D23,Compras!$H$5:$H$2000,"&gt;0")/COUNTIFS(Compras!$B$5:$B$2000,A23,Compras!$A$5:$A$2000,D23,Compras!$H$5:$H$2000,"&gt;0"))</f>
        <v/>
      </c>
      <c r="F23" s="17" t="str">
        <f aca="false">IF(D23="","",SUMIFS(Compras!$F$5:$F$2000,Compras!$B$5:$B$2000,A23,Compras!$H$5:$H$2000,"&gt;0")/SUMIFS(Compras!$G$5:$G$2000,Compras!$B$5:$B$2000,A23,Compras!$H$5:$H$2000,"&gt;0"))</f>
        <v/>
      </c>
      <c r="G23" s="18" t="str">
        <f aca="false">IF(D23="","",IF(CFG_Metodo="Promedio",F23,E23))</f>
        <v/>
      </c>
      <c r="H23" s="19" t="str">
        <f aca="false">IF(G23="","",IF(C23="unidad",G23,G23*1000))</f>
        <v/>
      </c>
      <c r="I23" s="20" t="str">
        <f aca="false">IF(A23="","",IF(C23="","Falta unidad base",IF(D23="","Sin compras cargadas","OK")))</f>
        <v>Sin compras cargadas</v>
      </c>
    </row>
    <row r="24" customFormat="false" ht="15" hidden="false" customHeight="false" outlineLevel="0" collapsed="false">
      <c r="A24" s="15" t="s">
        <v>74</v>
      </c>
      <c r="B24" s="15" t="s">
        <v>53</v>
      </c>
      <c r="C24" s="15" t="s">
        <v>56</v>
      </c>
      <c r="D24" s="16" t="str">
        <f aca="false">IF(A24="","",IF(COUNTIFS(Compras!$B$5:$B$2000,A24,Compras!$H$5:$H$2000,"&gt;0")=0,"",_xlfn.MAXIFS(Compras!$A$5:$A$2000,Compras!$B$5:$B$2000,A24,Compras!$H$5:$H$2000,"&gt;0")))</f>
        <v/>
      </c>
      <c r="E24" s="17" t="str">
        <f aca="false">IF(D24="","",SUMIFS(Compras!$H$5:$H$2000,Compras!$B$5:$B$2000,A24,Compras!$A$5:$A$2000,D24,Compras!$H$5:$H$2000,"&gt;0")/COUNTIFS(Compras!$B$5:$B$2000,A24,Compras!$A$5:$A$2000,D24,Compras!$H$5:$H$2000,"&gt;0"))</f>
        <v/>
      </c>
      <c r="F24" s="17" t="str">
        <f aca="false">IF(D24="","",SUMIFS(Compras!$F$5:$F$2000,Compras!$B$5:$B$2000,A24,Compras!$H$5:$H$2000,"&gt;0")/SUMIFS(Compras!$G$5:$G$2000,Compras!$B$5:$B$2000,A24,Compras!$H$5:$H$2000,"&gt;0"))</f>
        <v/>
      </c>
      <c r="G24" s="18" t="str">
        <f aca="false">IF(D24="","",IF(CFG_Metodo="Promedio",F24,E24))</f>
        <v/>
      </c>
      <c r="H24" s="19" t="str">
        <f aca="false">IF(G24="","",IF(C24="unidad",G24,G24*1000))</f>
        <v/>
      </c>
      <c r="I24" s="20" t="str">
        <f aca="false">IF(A24="","",IF(C24="","Falta unidad base",IF(D24="","Sin compras cargadas","OK")))</f>
        <v>Sin compras cargadas</v>
      </c>
    </row>
    <row r="25" customFormat="false" ht="15" hidden="false" customHeight="false" outlineLevel="0" collapsed="false">
      <c r="A25" s="15" t="s">
        <v>75</v>
      </c>
      <c r="B25" s="15" t="s">
        <v>53</v>
      </c>
      <c r="C25" s="15" t="s">
        <v>56</v>
      </c>
      <c r="D25" s="16" t="str">
        <f aca="false">IF(A25="","",IF(COUNTIFS(Compras!$B$5:$B$2000,A25,Compras!$H$5:$H$2000,"&gt;0")=0,"",_xlfn.MAXIFS(Compras!$A$5:$A$2000,Compras!$B$5:$B$2000,A25,Compras!$H$5:$H$2000,"&gt;0")))</f>
        <v/>
      </c>
      <c r="E25" s="17" t="str">
        <f aca="false">IF(D25="","",SUMIFS(Compras!$H$5:$H$2000,Compras!$B$5:$B$2000,A25,Compras!$A$5:$A$2000,D25,Compras!$H$5:$H$2000,"&gt;0")/COUNTIFS(Compras!$B$5:$B$2000,A25,Compras!$A$5:$A$2000,D25,Compras!$H$5:$H$2000,"&gt;0"))</f>
        <v/>
      </c>
      <c r="F25" s="17" t="str">
        <f aca="false">IF(D25="","",SUMIFS(Compras!$F$5:$F$2000,Compras!$B$5:$B$2000,A25,Compras!$H$5:$H$2000,"&gt;0")/SUMIFS(Compras!$G$5:$G$2000,Compras!$B$5:$B$2000,A25,Compras!$H$5:$H$2000,"&gt;0"))</f>
        <v/>
      </c>
      <c r="G25" s="18" t="str">
        <f aca="false">IF(D25="","",IF(CFG_Metodo="Promedio",F25,E25))</f>
        <v/>
      </c>
      <c r="H25" s="19" t="str">
        <f aca="false">IF(G25="","",IF(C25="unidad",G25,G25*1000))</f>
        <v/>
      </c>
      <c r="I25" s="20" t="str">
        <f aca="false">IF(A25="","",IF(C25="","Falta unidad base",IF(D25="","Sin compras cargadas","OK")))</f>
        <v>Sin compras cargadas</v>
      </c>
    </row>
    <row r="26" customFormat="false" ht="15" hidden="false" customHeight="false" outlineLevel="0" collapsed="false">
      <c r="A26" s="15" t="s">
        <v>76</v>
      </c>
      <c r="B26" s="15" t="s">
        <v>53</v>
      </c>
      <c r="C26" s="15" t="s">
        <v>56</v>
      </c>
      <c r="D26" s="16" t="str">
        <f aca="false">IF(A26="","",IF(COUNTIFS(Compras!$B$5:$B$2000,A26,Compras!$H$5:$H$2000,"&gt;0")=0,"",_xlfn.MAXIFS(Compras!$A$5:$A$2000,Compras!$B$5:$B$2000,A26,Compras!$H$5:$H$2000,"&gt;0")))</f>
        <v/>
      </c>
      <c r="E26" s="17" t="str">
        <f aca="false">IF(D26="","",SUMIFS(Compras!$H$5:$H$2000,Compras!$B$5:$B$2000,A26,Compras!$A$5:$A$2000,D26,Compras!$H$5:$H$2000,"&gt;0")/COUNTIFS(Compras!$B$5:$B$2000,A26,Compras!$A$5:$A$2000,D26,Compras!$H$5:$H$2000,"&gt;0"))</f>
        <v/>
      </c>
      <c r="F26" s="17" t="str">
        <f aca="false">IF(D26="","",SUMIFS(Compras!$F$5:$F$2000,Compras!$B$5:$B$2000,A26,Compras!$H$5:$H$2000,"&gt;0")/SUMIFS(Compras!$G$5:$G$2000,Compras!$B$5:$B$2000,A26,Compras!$H$5:$H$2000,"&gt;0"))</f>
        <v/>
      </c>
      <c r="G26" s="18" t="str">
        <f aca="false">IF(D26="","",IF(CFG_Metodo="Promedio",F26,E26))</f>
        <v/>
      </c>
      <c r="H26" s="19" t="str">
        <f aca="false">IF(G26="","",IF(C26="unidad",G26,G26*1000))</f>
        <v/>
      </c>
      <c r="I26" s="20" t="str">
        <f aca="false">IF(A26="","",IF(C26="","Falta unidad base",IF(D26="","Sin compras cargadas","OK")))</f>
        <v>Sin compras cargadas</v>
      </c>
    </row>
    <row r="27" customFormat="false" ht="15" hidden="false" customHeight="false" outlineLevel="0" collapsed="false">
      <c r="A27" s="15" t="s">
        <v>77</v>
      </c>
      <c r="B27" s="15" t="s">
        <v>53</v>
      </c>
      <c r="C27" s="15" t="s">
        <v>56</v>
      </c>
      <c r="D27" s="16" t="str">
        <f aca="false">IF(A27="","",IF(COUNTIFS(Compras!$B$5:$B$2000,A27,Compras!$H$5:$H$2000,"&gt;0")=0,"",_xlfn.MAXIFS(Compras!$A$5:$A$2000,Compras!$B$5:$B$2000,A27,Compras!$H$5:$H$2000,"&gt;0")))</f>
        <v/>
      </c>
      <c r="E27" s="17" t="str">
        <f aca="false">IF(D27="","",SUMIFS(Compras!$H$5:$H$2000,Compras!$B$5:$B$2000,A27,Compras!$A$5:$A$2000,D27,Compras!$H$5:$H$2000,"&gt;0")/COUNTIFS(Compras!$B$5:$B$2000,A27,Compras!$A$5:$A$2000,D27,Compras!$H$5:$H$2000,"&gt;0"))</f>
        <v/>
      </c>
      <c r="F27" s="17" t="str">
        <f aca="false">IF(D27="","",SUMIFS(Compras!$F$5:$F$2000,Compras!$B$5:$B$2000,A27,Compras!$H$5:$H$2000,"&gt;0")/SUMIFS(Compras!$G$5:$G$2000,Compras!$B$5:$B$2000,A27,Compras!$H$5:$H$2000,"&gt;0"))</f>
        <v/>
      </c>
      <c r="G27" s="18" t="str">
        <f aca="false">IF(D27="","",IF(CFG_Metodo="Promedio",F27,E27))</f>
        <v/>
      </c>
      <c r="H27" s="19" t="str">
        <f aca="false">IF(G27="","",IF(C27="unidad",G27,G27*1000))</f>
        <v/>
      </c>
      <c r="I27" s="20" t="str">
        <f aca="false">IF(A27="","",IF(C27="","Falta unidad base",IF(D27="","Sin compras cargadas","OK")))</f>
        <v>Sin compras cargadas</v>
      </c>
    </row>
    <row r="28" customFormat="false" ht="15" hidden="false" customHeight="false" outlineLevel="0" collapsed="false">
      <c r="A28" s="15" t="s">
        <v>78</v>
      </c>
      <c r="B28" s="15" t="s">
        <v>53</v>
      </c>
      <c r="C28" s="15" t="s">
        <v>56</v>
      </c>
      <c r="D28" s="16" t="str">
        <f aca="false">IF(A28="","",IF(COUNTIFS(Compras!$B$5:$B$2000,A28,Compras!$H$5:$H$2000,"&gt;0")=0,"",_xlfn.MAXIFS(Compras!$A$5:$A$2000,Compras!$B$5:$B$2000,A28,Compras!$H$5:$H$2000,"&gt;0")))</f>
        <v/>
      </c>
      <c r="E28" s="17" t="str">
        <f aca="false">IF(D28="","",SUMIFS(Compras!$H$5:$H$2000,Compras!$B$5:$B$2000,A28,Compras!$A$5:$A$2000,D28,Compras!$H$5:$H$2000,"&gt;0")/COUNTIFS(Compras!$B$5:$B$2000,A28,Compras!$A$5:$A$2000,D28,Compras!$H$5:$H$2000,"&gt;0"))</f>
        <v/>
      </c>
      <c r="F28" s="17" t="str">
        <f aca="false">IF(D28="","",SUMIFS(Compras!$F$5:$F$2000,Compras!$B$5:$B$2000,A28,Compras!$H$5:$H$2000,"&gt;0")/SUMIFS(Compras!$G$5:$G$2000,Compras!$B$5:$B$2000,A28,Compras!$H$5:$H$2000,"&gt;0"))</f>
        <v/>
      </c>
      <c r="G28" s="18" t="str">
        <f aca="false">IF(D28="","",IF(CFG_Metodo="Promedio",F28,E28))</f>
        <v/>
      </c>
      <c r="H28" s="19" t="str">
        <f aca="false">IF(G28="","",IF(C28="unidad",G28,G28*1000))</f>
        <v/>
      </c>
      <c r="I28" s="20" t="str">
        <f aca="false">IF(A28="","",IF(C28="","Falta unidad base",IF(D28="","Sin compras cargadas","OK")))</f>
        <v>Sin compras cargadas</v>
      </c>
    </row>
    <row r="29" customFormat="false" ht="15" hidden="false" customHeight="false" outlineLevel="0" collapsed="false">
      <c r="A29" s="15" t="s">
        <v>79</v>
      </c>
      <c r="B29" s="15" t="s">
        <v>53</v>
      </c>
      <c r="C29" s="15" t="s">
        <v>56</v>
      </c>
      <c r="D29" s="16" t="str">
        <f aca="false">IF(A29="","",IF(COUNTIFS(Compras!$B$5:$B$2000,A29,Compras!$H$5:$H$2000,"&gt;0")=0,"",_xlfn.MAXIFS(Compras!$A$5:$A$2000,Compras!$B$5:$B$2000,A29,Compras!$H$5:$H$2000,"&gt;0")))</f>
        <v/>
      </c>
      <c r="E29" s="17" t="str">
        <f aca="false">IF(D29="","",SUMIFS(Compras!$H$5:$H$2000,Compras!$B$5:$B$2000,A29,Compras!$A$5:$A$2000,D29,Compras!$H$5:$H$2000,"&gt;0")/COUNTIFS(Compras!$B$5:$B$2000,A29,Compras!$A$5:$A$2000,D29,Compras!$H$5:$H$2000,"&gt;0"))</f>
        <v/>
      </c>
      <c r="F29" s="17" t="str">
        <f aca="false">IF(D29="","",SUMIFS(Compras!$F$5:$F$2000,Compras!$B$5:$B$2000,A29,Compras!$H$5:$H$2000,"&gt;0")/SUMIFS(Compras!$G$5:$G$2000,Compras!$B$5:$B$2000,A29,Compras!$H$5:$H$2000,"&gt;0"))</f>
        <v/>
      </c>
      <c r="G29" s="18" t="str">
        <f aca="false">IF(D29="","",IF(CFG_Metodo="Promedio",F29,E29))</f>
        <v/>
      </c>
      <c r="H29" s="19" t="str">
        <f aca="false">IF(G29="","",IF(C29="unidad",G29,G29*1000))</f>
        <v/>
      </c>
      <c r="I29" s="20" t="str">
        <f aca="false">IF(A29="","",IF(C29="","Falta unidad base",IF(D29="","Sin compras cargadas","OK")))</f>
        <v>Sin compras cargadas</v>
      </c>
    </row>
    <row r="30" customFormat="false" ht="15" hidden="false" customHeight="false" outlineLevel="0" collapsed="false">
      <c r="A30" s="15" t="s">
        <v>80</v>
      </c>
      <c r="B30" s="15" t="s">
        <v>53</v>
      </c>
      <c r="C30" s="15" t="s">
        <v>56</v>
      </c>
      <c r="D30" s="16" t="str">
        <f aca="false">IF(A30="","",IF(COUNTIFS(Compras!$B$5:$B$2000,A30,Compras!$H$5:$H$2000,"&gt;0")=0,"",_xlfn.MAXIFS(Compras!$A$5:$A$2000,Compras!$B$5:$B$2000,A30,Compras!$H$5:$H$2000,"&gt;0")))</f>
        <v/>
      </c>
      <c r="E30" s="17" t="str">
        <f aca="false">IF(D30="","",SUMIFS(Compras!$H$5:$H$2000,Compras!$B$5:$B$2000,A30,Compras!$A$5:$A$2000,D30,Compras!$H$5:$H$2000,"&gt;0")/COUNTIFS(Compras!$B$5:$B$2000,A30,Compras!$A$5:$A$2000,D30,Compras!$H$5:$H$2000,"&gt;0"))</f>
        <v/>
      </c>
      <c r="F30" s="17" t="str">
        <f aca="false">IF(D30="","",SUMIFS(Compras!$F$5:$F$2000,Compras!$B$5:$B$2000,A30,Compras!$H$5:$H$2000,"&gt;0")/SUMIFS(Compras!$G$5:$G$2000,Compras!$B$5:$B$2000,A30,Compras!$H$5:$H$2000,"&gt;0"))</f>
        <v/>
      </c>
      <c r="G30" s="18" t="str">
        <f aca="false">IF(D30="","",IF(CFG_Metodo="Promedio",F30,E30))</f>
        <v/>
      </c>
      <c r="H30" s="19" t="str">
        <f aca="false">IF(G30="","",IF(C30="unidad",G30,G30*1000))</f>
        <v/>
      </c>
      <c r="I30" s="20" t="str">
        <f aca="false">IF(A30="","",IF(C30="","Falta unidad base",IF(D30="","Sin compras cargadas","OK")))</f>
        <v>Sin compras cargadas</v>
      </c>
    </row>
    <row r="31" customFormat="false" ht="15" hidden="false" customHeight="false" outlineLevel="0" collapsed="false">
      <c r="A31" s="15" t="s">
        <v>81</v>
      </c>
      <c r="B31" s="15" t="s">
        <v>53</v>
      </c>
      <c r="C31" s="15" t="s">
        <v>56</v>
      </c>
      <c r="D31" s="16" t="str">
        <f aca="false">IF(A31="","",IF(COUNTIFS(Compras!$B$5:$B$2000,A31,Compras!$H$5:$H$2000,"&gt;0")=0,"",_xlfn.MAXIFS(Compras!$A$5:$A$2000,Compras!$B$5:$B$2000,A31,Compras!$H$5:$H$2000,"&gt;0")))</f>
        <v/>
      </c>
      <c r="E31" s="17" t="str">
        <f aca="false">IF(D31="","",SUMIFS(Compras!$H$5:$H$2000,Compras!$B$5:$B$2000,A31,Compras!$A$5:$A$2000,D31,Compras!$H$5:$H$2000,"&gt;0")/COUNTIFS(Compras!$B$5:$B$2000,A31,Compras!$A$5:$A$2000,D31,Compras!$H$5:$H$2000,"&gt;0"))</f>
        <v/>
      </c>
      <c r="F31" s="17" t="str">
        <f aca="false">IF(D31="","",SUMIFS(Compras!$F$5:$F$2000,Compras!$B$5:$B$2000,A31,Compras!$H$5:$H$2000,"&gt;0")/SUMIFS(Compras!$G$5:$G$2000,Compras!$B$5:$B$2000,A31,Compras!$H$5:$H$2000,"&gt;0"))</f>
        <v/>
      </c>
      <c r="G31" s="18" t="str">
        <f aca="false">IF(D31="","",IF(CFG_Metodo="Promedio",F31,E31))</f>
        <v/>
      </c>
      <c r="H31" s="19" t="str">
        <f aca="false">IF(G31="","",IF(C31="unidad",G31,G31*1000))</f>
        <v/>
      </c>
      <c r="I31" s="20" t="str">
        <f aca="false">IF(A31="","",IF(C31="","Falta unidad base",IF(D31="","Sin compras cargadas","OK")))</f>
        <v>Sin compras cargadas</v>
      </c>
    </row>
    <row r="32" customFormat="false" ht="15" hidden="false" customHeight="false" outlineLevel="0" collapsed="false">
      <c r="A32" s="15" t="s">
        <v>82</v>
      </c>
      <c r="B32" s="15" t="s">
        <v>53</v>
      </c>
      <c r="C32" s="15" t="s">
        <v>56</v>
      </c>
      <c r="D32" s="16" t="n">
        <f aca="false">IF(A32="","",IF(COUNTIFS(Compras!$B$5:$B$2000,A32,Compras!$H$5:$H$2000,"&gt;0")=0,"",_xlfn.MAXIFS(Compras!$A$5:$A$2000,Compras!$B$5:$B$2000,A32,Compras!$H$5:$H$2000,"&gt;0")))</f>
        <v>46267</v>
      </c>
      <c r="E32" s="17" t="n">
        <f aca="false">IF(D32="","",SUMIFS(Compras!$H$5:$H$2000,Compras!$B$5:$B$2000,A32,Compras!$A$5:$A$2000,D32,Compras!$H$5:$H$2000,"&gt;0")/COUNTIFS(Compras!$B$5:$B$2000,A32,Compras!$A$5:$A$2000,D32,Compras!$H$5:$H$2000,"&gt;0"))</f>
        <v>15</v>
      </c>
      <c r="F32" s="17" t="n">
        <f aca="false">IF(D32="","",SUMIFS(Compras!$F$5:$F$2000,Compras!$B$5:$B$2000,A32,Compras!$H$5:$H$2000,"&gt;0")/SUMIFS(Compras!$G$5:$G$2000,Compras!$B$5:$B$2000,A32,Compras!$H$5:$H$2000,"&gt;0"))</f>
        <v>15</v>
      </c>
      <c r="G32" s="18" t="n">
        <f aca="false">IF(D32="","",IF(CFG_Metodo="Promedio",F32,E32))</f>
        <v>15</v>
      </c>
      <c r="H32" s="19" t="n">
        <f aca="false">IF(G32="","",IF(C32="unidad",G32,G32*1000))</f>
        <v>15000</v>
      </c>
      <c r="I32" s="20" t="str">
        <f aca="false">IF(A32="","",IF(C32="","Falta unidad base",IF(D32="","Sin compras cargadas","OK")))</f>
        <v>OK</v>
      </c>
    </row>
    <row r="33" customFormat="false" ht="15" hidden="false" customHeight="false" outlineLevel="0" collapsed="false">
      <c r="A33" s="15" t="s">
        <v>83</v>
      </c>
      <c r="B33" s="15" t="s">
        <v>53</v>
      </c>
      <c r="C33" s="15" t="s">
        <v>56</v>
      </c>
      <c r="D33" s="16" t="str">
        <f aca="false">IF(A33="","",IF(COUNTIFS(Compras!$B$5:$B$2000,A33,Compras!$H$5:$H$2000,"&gt;0")=0,"",_xlfn.MAXIFS(Compras!$A$5:$A$2000,Compras!$B$5:$B$2000,A33,Compras!$H$5:$H$2000,"&gt;0")))</f>
        <v/>
      </c>
      <c r="E33" s="17" t="str">
        <f aca="false">IF(D33="","",SUMIFS(Compras!$H$5:$H$2000,Compras!$B$5:$B$2000,A33,Compras!$A$5:$A$2000,D33,Compras!$H$5:$H$2000,"&gt;0")/COUNTIFS(Compras!$B$5:$B$2000,A33,Compras!$A$5:$A$2000,D33,Compras!$H$5:$H$2000,"&gt;0"))</f>
        <v/>
      </c>
      <c r="F33" s="17" t="str">
        <f aca="false">IF(D33="","",SUMIFS(Compras!$F$5:$F$2000,Compras!$B$5:$B$2000,A33,Compras!$H$5:$H$2000,"&gt;0")/SUMIFS(Compras!$G$5:$G$2000,Compras!$B$5:$B$2000,A33,Compras!$H$5:$H$2000,"&gt;0"))</f>
        <v/>
      </c>
      <c r="G33" s="18" t="str">
        <f aca="false">IF(D33="","",IF(CFG_Metodo="Promedio",F33,E33))</f>
        <v/>
      </c>
      <c r="H33" s="19" t="str">
        <f aca="false">IF(G33="","",IF(C33="unidad",G33,G33*1000))</f>
        <v/>
      </c>
      <c r="I33" s="20" t="str">
        <f aca="false">IF(A33="","",IF(C33="","Falta unidad base",IF(D33="","Sin compras cargadas","OK")))</f>
        <v>Sin compras cargadas</v>
      </c>
    </row>
    <row r="34" customFormat="false" ht="15" hidden="false" customHeight="false" outlineLevel="0" collapsed="false">
      <c r="A34" s="15" t="s">
        <v>84</v>
      </c>
      <c r="B34" s="15" t="s">
        <v>53</v>
      </c>
      <c r="C34" s="15" t="s">
        <v>56</v>
      </c>
      <c r="D34" s="16" t="str">
        <f aca="false">IF(A34="","",IF(COUNTIFS(Compras!$B$5:$B$2000,A34,Compras!$H$5:$H$2000,"&gt;0")=0,"",_xlfn.MAXIFS(Compras!$A$5:$A$2000,Compras!$B$5:$B$2000,A34,Compras!$H$5:$H$2000,"&gt;0")))</f>
        <v/>
      </c>
      <c r="E34" s="17" t="str">
        <f aca="false">IF(D34="","",SUMIFS(Compras!$H$5:$H$2000,Compras!$B$5:$B$2000,A34,Compras!$A$5:$A$2000,D34,Compras!$H$5:$H$2000,"&gt;0")/COUNTIFS(Compras!$B$5:$B$2000,A34,Compras!$A$5:$A$2000,D34,Compras!$H$5:$H$2000,"&gt;0"))</f>
        <v/>
      </c>
      <c r="F34" s="17" t="str">
        <f aca="false">IF(D34="","",SUMIFS(Compras!$F$5:$F$2000,Compras!$B$5:$B$2000,A34,Compras!$H$5:$H$2000,"&gt;0")/SUMIFS(Compras!$G$5:$G$2000,Compras!$B$5:$B$2000,A34,Compras!$H$5:$H$2000,"&gt;0"))</f>
        <v/>
      </c>
      <c r="G34" s="18" t="str">
        <f aca="false">IF(D34="","",IF(CFG_Metodo="Promedio",F34,E34))</f>
        <v/>
      </c>
      <c r="H34" s="19" t="str">
        <f aca="false">IF(G34="","",IF(C34="unidad",G34,G34*1000))</f>
        <v/>
      </c>
      <c r="I34" s="20" t="str">
        <f aca="false">IF(A34="","",IF(C34="","Falta unidad base",IF(D34="","Sin compras cargadas","OK")))</f>
        <v>Sin compras cargadas</v>
      </c>
    </row>
    <row r="35" customFormat="false" ht="15" hidden="false" customHeight="false" outlineLevel="0" collapsed="false">
      <c r="A35" s="15" t="s">
        <v>85</v>
      </c>
      <c r="B35" s="15" t="s">
        <v>53</v>
      </c>
      <c r="C35" s="15" t="s">
        <v>56</v>
      </c>
      <c r="D35" s="16" t="str">
        <f aca="false">IF(A35="","",IF(COUNTIFS(Compras!$B$5:$B$2000,A35,Compras!$H$5:$H$2000,"&gt;0")=0,"",_xlfn.MAXIFS(Compras!$A$5:$A$2000,Compras!$B$5:$B$2000,A35,Compras!$H$5:$H$2000,"&gt;0")))</f>
        <v/>
      </c>
      <c r="E35" s="17" t="str">
        <f aca="false">IF(D35="","",SUMIFS(Compras!$H$5:$H$2000,Compras!$B$5:$B$2000,A35,Compras!$A$5:$A$2000,D35,Compras!$H$5:$H$2000,"&gt;0")/COUNTIFS(Compras!$B$5:$B$2000,A35,Compras!$A$5:$A$2000,D35,Compras!$H$5:$H$2000,"&gt;0"))</f>
        <v/>
      </c>
      <c r="F35" s="17" t="str">
        <f aca="false">IF(D35="","",SUMIFS(Compras!$F$5:$F$2000,Compras!$B$5:$B$2000,A35,Compras!$H$5:$H$2000,"&gt;0")/SUMIFS(Compras!$G$5:$G$2000,Compras!$B$5:$B$2000,A35,Compras!$H$5:$H$2000,"&gt;0"))</f>
        <v/>
      </c>
      <c r="G35" s="18" t="str">
        <f aca="false">IF(D35="","",IF(CFG_Metodo="Promedio",F35,E35))</f>
        <v/>
      </c>
      <c r="H35" s="19" t="str">
        <f aca="false">IF(G35="","",IF(C35="unidad",G35,G35*1000))</f>
        <v/>
      </c>
      <c r="I35" s="20" t="str">
        <f aca="false">IF(A35="","",IF(C35="","Falta unidad base",IF(D35="","Sin compras cargadas","OK")))</f>
        <v>Sin compras cargadas</v>
      </c>
    </row>
    <row r="36" customFormat="false" ht="15" hidden="false" customHeight="false" outlineLevel="0" collapsed="false">
      <c r="A36" s="15" t="s">
        <v>86</v>
      </c>
      <c r="B36" s="15" t="s">
        <v>53</v>
      </c>
      <c r="C36" s="15" t="s">
        <v>56</v>
      </c>
      <c r="D36" s="16" t="n">
        <f aca="false">IF(A36="","",IF(COUNTIFS(Compras!$B$5:$B$2000,A36,Compras!$H$5:$H$2000,"&gt;0")=0,"",_xlfn.MAXIFS(Compras!$A$5:$A$2000,Compras!$B$5:$B$2000,A36,Compras!$H$5:$H$2000,"&gt;0")))</f>
        <v>46267</v>
      </c>
      <c r="E36" s="17" t="n">
        <f aca="false">IF(D36="","",SUMIFS(Compras!$H$5:$H$2000,Compras!$B$5:$B$2000,A36,Compras!$A$5:$A$2000,D36,Compras!$H$5:$H$2000,"&gt;0")/COUNTIFS(Compras!$B$5:$B$2000,A36,Compras!$A$5:$A$2000,D36,Compras!$H$5:$H$2000,"&gt;0"))</f>
        <v>5</v>
      </c>
      <c r="F36" s="17" t="n">
        <f aca="false">IF(D36="","",SUMIFS(Compras!$F$5:$F$2000,Compras!$B$5:$B$2000,A36,Compras!$H$5:$H$2000,"&gt;0")/SUMIFS(Compras!$G$5:$G$2000,Compras!$B$5:$B$2000,A36,Compras!$H$5:$H$2000,"&gt;0"))</f>
        <v>5</v>
      </c>
      <c r="G36" s="18" t="n">
        <f aca="false">IF(D36="","",IF(CFG_Metodo="Promedio",F36,E36))</f>
        <v>5</v>
      </c>
      <c r="H36" s="19" t="n">
        <f aca="false">IF(G36="","",IF(C36="unidad",G36,G36*1000))</f>
        <v>5000</v>
      </c>
      <c r="I36" s="20" t="str">
        <f aca="false">IF(A36="","",IF(C36="","Falta unidad base",IF(D36="","Sin compras cargadas","OK")))</f>
        <v>OK</v>
      </c>
    </row>
    <row r="37" customFormat="false" ht="15" hidden="false" customHeight="false" outlineLevel="0" collapsed="false">
      <c r="A37" s="15" t="s">
        <v>87</v>
      </c>
      <c r="B37" s="15" t="s">
        <v>53</v>
      </c>
      <c r="C37" s="15" t="s">
        <v>56</v>
      </c>
      <c r="D37" s="16" t="str">
        <f aca="false">IF(A37="","",IF(COUNTIFS(Compras!$B$5:$B$2000,A37,Compras!$H$5:$H$2000,"&gt;0")=0,"",_xlfn.MAXIFS(Compras!$A$5:$A$2000,Compras!$B$5:$B$2000,A37,Compras!$H$5:$H$2000,"&gt;0")))</f>
        <v/>
      </c>
      <c r="E37" s="17" t="str">
        <f aca="false">IF(D37="","",SUMIFS(Compras!$H$5:$H$2000,Compras!$B$5:$B$2000,A37,Compras!$A$5:$A$2000,D37,Compras!$H$5:$H$2000,"&gt;0")/COUNTIFS(Compras!$B$5:$B$2000,A37,Compras!$A$5:$A$2000,D37,Compras!$H$5:$H$2000,"&gt;0"))</f>
        <v/>
      </c>
      <c r="F37" s="17" t="str">
        <f aca="false">IF(D37="","",SUMIFS(Compras!$F$5:$F$2000,Compras!$B$5:$B$2000,A37,Compras!$H$5:$H$2000,"&gt;0")/SUMIFS(Compras!$G$5:$G$2000,Compras!$B$5:$B$2000,A37,Compras!$H$5:$H$2000,"&gt;0"))</f>
        <v/>
      </c>
      <c r="G37" s="18" t="str">
        <f aca="false">IF(D37="","",IF(CFG_Metodo="Promedio",F37,E37))</f>
        <v/>
      </c>
      <c r="H37" s="19" t="str">
        <f aca="false">IF(G37="","",IF(C37="unidad",G37,G37*1000))</f>
        <v/>
      </c>
      <c r="I37" s="20" t="str">
        <f aca="false">IF(A37="","",IF(C37="","Falta unidad base",IF(D37="","Sin compras cargadas","OK")))</f>
        <v>Sin compras cargadas</v>
      </c>
    </row>
    <row r="38" customFormat="false" ht="15" hidden="false" customHeight="false" outlineLevel="0" collapsed="false">
      <c r="A38" s="15" t="s">
        <v>88</v>
      </c>
      <c r="B38" s="15" t="s">
        <v>53</v>
      </c>
      <c r="C38" s="15" t="s">
        <v>56</v>
      </c>
      <c r="D38" s="16" t="str">
        <f aca="false">IF(A38="","",IF(COUNTIFS(Compras!$B$5:$B$2000,A38,Compras!$H$5:$H$2000,"&gt;0")=0,"",_xlfn.MAXIFS(Compras!$A$5:$A$2000,Compras!$B$5:$B$2000,A38,Compras!$H$5:$H$2000,"&gt;0")))</f>
        <v/>
      </c>
      <c r="E38" s="17" t="str">
        <f aca="false">IF(D38="","",SUMIFS(Compras!$H$5:$H$2000,Compras!$B$5:$B$2000,A38,Compras!$A$5:$A$2000,D38,Compras!$H$5:$H$2000,"&gt;0")/COUNTIFS(Compras!$B$5:$B$2000,A38,Compras!$A$5:$A$2000,D38,Compras!$H$5:$H$2000,"&gt;0"))</f>
        <v/>
      </c>
      <c r="F38" s="17" t="str">
        <f aca="false">IF(D38="","",SUMIFS(Compras!$F$5:$F$2000,Compras!$B$5:$B$2000,A38,Compras!$H$5:$H$2000,"&gt;0")/SUMIFS(Compras!$G$5:$G$2000,Compras!$B$5:$B$2000,A38,Compras!$H$5:$H$2000,"&gt;0"))</f>
        <v/>
      </c>
      <c r="G38" s="18" t="str">
        <f aca="false">IF(D38="","",IF(CFG_Metodo="Promedio",F38,E38))</f>
        <v/>
      </c>
      <c r="H38" s="19" t="str">
        <f aca="false">IF(G38="","",IF(C38="unidad",G38,G38*1000))</f>
        <v/>
      </c>
      <c r="I38" s="20" t="str">
        <f aca="false">IF(A38="","",IF(C38="","Falta unidad base",IF(D38="","Sin compras cargadas","OK")))</f>
        <v>Sin compras cargadas</v>
      </c>
    </row>
    <row r="39" customFormat="false" ht="15" hidden="false" customHeight="false" outlineLevel="0" collapsed="false">
      <c r="A39" s="15" t="s">
        <v>89</v>
      </c>
      <c r="B39" s="15" t="s">
        <v>53</v>
      </c>
      <c r="C39" s="15" t="s">
        <v>56</v>
      </c>
      <c r="D39" s="16" t="str">
        <f aca="false">IF(A39="","",IF(COUNTIFS(Compras!$B$5:$B$2000,A39,Compras!$H$5:$H$2000,"&gt;0")=0,"",_xlfn.MAXIFS(Compras!$A$5:$A$2000,Compras!$B$5:$B$2000,A39,Compras!$H$5:$H$2000,"&gt;0")))</f>
        <v/>
      </c>
      <c r="E39" s="17" t="str">
        <f aca="false">IF(D39="","",SUMIFS(Compras!$H$5:$H$2000,Compras!$B$5:$B$2000,A39,Compras!$A$5:$A$2000,D39,Compras!$H$5:$H$2000,"&gt;0")/COUNTIFS(Compras!$B$5:$B$2000,A39,Compras!$A$5:$A$2000,D39,Compras!$H$5:$H$2000,"&gt;0"))</f>
        <v/>
      </c>
      <c r="F39" s="17" t="str">
        <f aca="false">IF(D39="","",SUMIFS(Compras!$F$5:$F$2000,Compras!$B$5:$B$2000,A39,Compras!$H$5:$H$2000,"&gt;0")/SUMIFS(Compras!$G$5:$G$2000,Compras!$B$5:$B$2000,A39,Compras!$H$5:$H$2000,"&gt;0"))</f>
        <v/>
      </c>
      <c r="G39" s="18" t="str">
        <f aca="false">IF(D39="","",IF(CFG_Metodo="Promedio",F39,E39))</f>
        <v/>
      </c>
      <c r="H39" s="19" t="str">
        <f aca="false">IF(G39="","",IF(C39="unidad",G39,G39*1000))</f>
        <v/>
      </c>
      <c r="I39" s="20" t="str">
        <f aca="false">IF(A39="","",IF(C39="","Falta unidad base",IF(D39="","Sin compras cargadas","OK")))</f>
        <v>Sin compras cargadas</v>
      </c>
    </row>
    <row r="40" customFormat="false" ht="15" hidden="false" customHeight="false" outlineLevel="0" collapsed="false">
      <c r="A40" s="15" t="s">
        <v>90</v>
      </c>
      <c r="B40" s="15" t="s">
        <v>53</v>
      </c>
      <c r="C40" s="15" t="s">
        <v>56</v>
      </c>
      <c r="D40" s="16" t="str">
        <f aca="false">IF(A40="","",IF(COUNTIFS(Compras!$B$5:$B$2000,A40,Compras!$H$5:$H$2000,"&gt;0")=0,"",_xlfn.MAXIFS(Compras!$A$5:$A$2000,Compras!$B$5:$B$2000,A40,Compras!$H$5:$H$2000,"&gt;0")))</f>
        <v/>
      </c>
      <c r="E40" s="17" t="str">
        <f aca="false">IF(D40="","",SUMIFS(Compras!$H$5:$H$2000,Compras!$B$5:$B$2000,A40,Compras!$A$5:$A$2000,D40,Compras!$H$5:$H$2000,"&gt;0")/COUNTIFS(Compras!$B$5:$B$2000,A40,Compras!$A$5:$A$2000,D40,Compras!$H$5:$H$2000,"&gt;0"))</f>
        <v/>
      </c>
      <c r="F40" s="17" t="str">
        <f aca="false">IF(D40="","",SUMIFS(Compras!$F$5:$F$2000,Compras!$B$5:$B$2000,A40,Compras!$H$5:$H$2000,"&gt;0")/SUMIFS(Compras!$G$5:$G$2000,Compras!$B$5:$B$2000,A40,Compras!$H$5:$H$2000,"&gt;0"))</f>
        <v/>
      </c>
      <c r="G40" s="18" t="str">
        <f aca="false">IF(D40="","",IF(CFG_Metodo="Promedio",F40,E40))</f>
        <v/>
      </c>
      <c r="H40" s="19" t="str">
        <f aca="false">IF(G40="","",IF(C40="unidad",G40,G40*1000))</f>
        <v/>
      </c>
      <c r="I40" s="20" t="str">
        <f aca="false">IF(A40="","",IF(C40="","Falta unidad base",IF(D40="","Sin compras cargadas","OK")))</f>
        <v>Sin compras cargadas</v>
      </c>
    </row>
    <row r="41" customFormat="false" ht="15" hidden="false" customHeight="false" outlineLevel="0" collapsed="false">
      <c r="A41" s="15" t="s">
        <v>91</v>
      </c>
      <c r="B41" s="15" t="s">
        <v>92</v>
      </c>
      <c r="C41" s="15" t="s">
        <v>93</v>
      </c>
      <c r="D41" s="16" t="n">
        <f aca="false">IF(A41="","",IF(COUNTIFS(Compras!$B$5:$B$2000,A41,Compras!$H$5:$H$2000,"&gt;0")=0,"",_xlfn.MAXIFS(Compras!$A$5:$A$2000,Compras!$B$5:$B$2000,A41,Compras!$H$5:$H$2000,"&gt;0")))</f>
        <v>46270</v>
      </c>
      <c r="E41" s="17" t="n">
        <f aca="false">IF(D41="","",SUMIFS(Compras!$H$5:$H$2000,Compras!$B$5:$B$2000,A41,Compras!$A$5:$A$2000,D41,Compras!$H$5:$H$2000,"&gt;0")/COUNTIFS(Compras!$B$5:$B$2000,A41,Compras!$A$5:$A$2000,D41,Compras!$H$5:$H$2000,"&gt;0"))</f>
        <v>80</v>
      </c>
      <c r="F41" s="17" t="n">
        <f aca="false">IF(D41="","",SUMIFS(Compras!$F$5:$F$2000,Compras!$B$5:$B$2000,A41,Compras!$H$5:$H$2000,"&gt;0")/SUMIFS(Compras!$G$5:$G$2000,Compras!$B$5:$B$2000,A41,Compras!$H$5:$H$2000,"&gt;0"))</f>
        <v>80</v>
      </c>
      <c r="G41" s="18" t="n">
        <f aca="false">IF(D41="","",IF(CFG_Metodo="Promedio",F41,E41))</f>
        <v>80</v>
      </c>
      <c r="H41" s="19" t="n">
        <f aca="false">IF(G41="","",IF(C41="unidad",G41,G41*1000))</f>
        <v>80</v>
      </c>
      <c r="I41" s="20" t="str">
        <f aca="false">IF(A41="","",IF(C41="","Falta unidad base",IF(D41="","Sin compras cargadas","OK")))</f>
        <v>OK</v>
      </c>
    </row>
    <row r="42" customFormat="false" ht="15" hidden="false" customHeight="false" outlineLevel="0" collapsed="false">
      <c r="A42" s="15" t="s">
        <v>94</v>
      </c>
      <c r="B42" s="15" t="s">
        <v>92</v>
      </c>
      <c r="C42" s="15" t="s">
        <v>93</v>
      </c>
      <c r="D42" s="16" t="n">
        <f aca="false">IF(A42="","",IF(COUNTIFS(Compras!$B$5:$B$2000,A42,Compras!$H$5:$H$2000,"&gt;0")=0,"",_xlfn.MAXIFS(Compras!$A$5:$A$2000,Compras!$B$5:$B$2000,A42,Compras!$H$5:$H$2000,"&gt;0")))</f>
        <v>46270</v>
      </c>
      <c r="E42" s="17" t="n">
        <f aca="false">IF(D42="","",SUMIFS(Compras!$H$5:$H$2000,Compras!$B$5:$B$2000,A42,Compras!$A$5:$A$2000,D42,Compras!$H$5:$H$2000,"&gt;0")/COUNTIFS(Compras!$B$5:$B$2000,A42,Compras!$A$5:$A$2000,D42,Compras!$H$5:$H$2000,"&gt;0"))</f>
        <v>120</v>
      </c>
      <c r="F42" s="17" t="n">
        <f aca="false">IF(D42="","",SUMIFS(Compras!$F$5:$F$2000,Compras!$B$5:$B$2000,A42,Compras!$H$5:$H$2000,"&gt;0")/SUMIFS(Compras!$G$5:$G$2000,Compras!$B$5:$B$2000,A42,Compras!$H$5:$H$2000,"&gt;0"))</f>
        <v>120</v>
      </c>
      <c r="G42" s="18" t="n">
        <f aca="false">IF(D42="","",IF(CFG_Metodo="Promedio",F42,E42))</f>
        <v>120</v>
      </c>
      <c r="H42" s="19" t="n">
        <f aca="false">IF(G42="","",IF(C42="unidad",G42,G42*1000))</f>
        <v>120</v>
      </c>
      <c r="I42" s="20" t="str">
        <f aca="false">IF(A42="","",IF(C42="","Falta unidad base",IF(D42="","Sin compras cargadas","OK")))</f>
        <v>OK</v>
      </c>
    </row>
    <row r="43" customFormat="false" ht="15" hidden="false" customHeight="false" outlineLevel="0" collapsed="false">
      <c r="A43" s="15" t="s">
        <v>95</v>
      </c>
      <c r="B43" s="15" t="s">
        <v>92</v>
      </c>
      <c r="C43" s="15" t="s">
        <v>93</v>
      </c>
      <c r="D43" s="16" t="str">
        <f aca="false">IF(A43="","",IF(COUNTIFS(Compras!$B$5:$B$2000,A43,Compras!$H$5:$H$2000,"&gt;0")=0,"",_xlfn.MAXIFS(Compras!$A$5:$A$2000,Compras!$B$5:$B$2000,A43,Compras!$H$5:$H$2000,"&gt;0")))</f>
        <v/>
      </c>
      <c r="E43" s="17" t="str">
        <f aca="false">IF(D43="","",SUMIFS(Compras!$H$5:$H$2000,Compras!$B$5:$B$2000,A43,Compras!$A$5:$A$2000,D43,Compras!$H$5:$H$2000,"&gt;0")/COUNTIFS(Compras!$B$5:$B$2000,A43,Compras!$A$5:$A$2000,D43,Compras!$H$5:$H$2000,"&gt;0"))</f>
        <v/>
      </c>
      <c r="F43" s="17" t="str">
        <f aca="false">IF(D43="","",SUMIFS(Compras!$F$5:$F$2000,Compras!$B$5:$B$2000,A43,Compras!$H$5:$H$2000,"&gt;0")/SUMIFS(Compras!$G$5:$G$2000,Compras!$B$5:$B$2000,A43,Compras!$H$5:$H$2000,"&gt;0"))</f>
        <v/>
      </c>
      <c r="G43" s="18" t="str">
        <f aca="false">IF(D43="","",IF(CFG_Metodo="Promedio",F43,E43))</f>
        <v/>
      </c>
      <c r="H43" s="19" t="str">
        <f aca="false">IF(G43="","",IF(C43="unidad",G43,G43*1000))</f>
        <v/>
      </c>
      <c r="I43" s="20" t="str">
        <f aca="false">IF(A43="","",IF(C43="","Falta unidad base",IF(D43="","Sin compras cargadas","OK")))</f>
        <v>Sin compras cargadas</v>
      </c>
    </row>
    <row r="44" customFormat="false" ht="15" hidden="false" customHeight="false" outlineLevel="0" collapsed="false">
      <c r="A44" s="15" t="s">
        <v>96</v>
      </c>
      <c r="B44" s="15" t="s">
        <v>92</v>
      </c>
      <c r="C44" s="15" t="s">
        <v>93</v>
      </c>
      <c r="D44" s="16" t="str">
        <f aca="false">IF(A44="","",IF(COUNTIFS(Compras!$B$5:$B$2000,A44,Compras!$H$5:$H$2000,"&gt;0")=0,"",_xlfn.MAXIFS(Compras!$A$5:$A$2000,Compras!$B$5:$B$2000,A44,Compras!$H$5:$H$2000,"&gt;0")))</f>
        <v/>
      </c>
      <c r="E44" s="17" t="str">
        <f aca="false">IF(D44="","",SUMIFS(Compras!$H$5:$H$2000,Compras!$B$5:$B$2000,A44,Compras!$A$5:$A$2000,D44,Compras!$H$5:$H$2000,"&gt;0")/COUNTIFS(Compras!$B$5:$B$2000,A44,Compras!$A$5:$A$2000,D44,Compras!$H$5:$H$2000,"&gt;0"))</f>
        <v/>
      </c>
      <c r="F44" s="17" t="str">
        <f aca="false">IF(D44="","",SUMIFS(Compras!$F$5:$F$2000,Compras!$B$5:$B$2000,A44,Compras!$H$5:$H$2000,"&gt;0")/SUMIFS(Compras!$G$5:$G$2000,Compras!$B$5:$B$2000,A44,Compras!$H$5:$H$2000,"&gt;0"))</f>
        <v/>
      </c>
      <c r="G44" s="18" t="str">
        <f aca="false">IF(D44="","",IF(CFG_Metodo="Promedio",F44,E44))</f>
        <v/>
      </c>
      <c r="H44" s="19" t="str">
        <f aca="false">IF(G44="","",IF(C44="unidad",G44,G44*1000))</f>
        <v/>
      </c>
      <c r="I44" s="20" t="str">
        <f aca="false">IF(A44="","",IF(C44="","Falta unidad base",IF(D44="","Sin compras cargadas","OK")))</f>
        <v>Sin compras cargadas</v>
      </c>
    </row>
    <row r="45" customFormat="false" ht="15" hidden="false" customHeight="false" outlineLevel="0" collapsed="false">
      <c r="A45" s="15" t="s">
        <v>97</v>
      </c>
      <c r="B45" s="15" t="s">
        <v>92</v>
      </c>
      <c r="C45" s="15" t="s">
        <v>93</v>
      </c>
      <c r="D45" s="16" t="n">
        <f aca="false">IF(A45="","",IF(COUNTIFS(Compras!$B$5:$B$2000,A45,Compras!$H$5:$H$2000,"&gt;0")=0,"",_xlfn.MAXIFS(Compras!$A$5:$A$2000,Compras!$B$5:$B$2000,A45,Compras!$H$5:$H$2000,"&gt;0")))</f>
        <v>46270</v>
      </c>
      <c r="E45" s="17" t="n">
        <f aca="false">IF(D45="","",SUMIFS(Compras!$H$5:$H$2000,Compras!$B$5:$B$2000,A45,Compras!$A$5:$A$2000,D45,Compras!$H$5:$H$2000,"&gt;0")/COUNTIFS(Compras!$B$5:$B$2000,A45,Compras!$A$5:$A$2000,D45,Compras!$H$5:$H$2000,"&gt;0"))</f>
        <v>50</v>
      </c>
      <c r="F45" s="17" t="n">
        <f aca="false">IF(D45="","",SUMIFS(Compras!$F$5:$F$2000,Compras!$B$5:$B$2000,A45,Compras!$H$5:$H$2000,"&gt;0")/SUMIFS(Compras!$G$5:$G$2000,Compras!$B$5:$B$2000,A45,Compras!$H$5:$H$2000,"&gt;0"))</f>
        <v>50</v>
      </c>
      <c r="G45" s="18" t="n">
        <f aca="false">IF(D45="","",IF(CFG_Metodo="Promedio",F45,E45))</f>
        <v>50</v>
      </c>
      <c r="H45" s="19" t="n">
        <f aca="false">IF(G45="","",IF(C45="unidad",G45,G45*1000))</f>
        <v>50</v>
      </c>
      <c r="I45" s="20" t="str">
        <f aca="false">IF(A45="","",IF(C45="","Falta unidad base",IF(D45="","Sin compras cargadas","OK")))</f>
        <v>OK</v>
      </c>
    </row>
    <row r="46" customFormat="false" ht="15" hidden="false" customHeight="false" outlineLevel="0" collapsed="false">
      <c r="A46" s="15" t="s">
        <v>98</v>
      </c>
      <c r="B46" s="15" t="s">
        <v>99</v>
      </c>
      <c r="C46" s="15" t="s">
        <v>93</v>
      </c>
      <c r="D46" s="16" t="str">
        <f aca="false">IF(A46="","",IF(COUNTIFS(Compras!$B$5:$B$2000,A46,Compras!$H$5:$H$2000,"&gt;0")=0,"",_xlfn.MAXIFS(Compras!$A$5:$A$2000,Compras!$B$5:$B$2000,A46,Compras!$H$5:$H$2000,"&gt;0")))</f>
        <v/>
      </c>
      <c r="E46" s="17" t="str">
        <f aca="false">IF(D46="","",SUMIFS(Compras!$H$5:$H$2000,Compras!$B$5:$B$2000,A46,Compras!$A$5:$A$2000,D46,Compras!$H$5:$H$2000,"&gt;0")/COUNTIFS(Compras!$B$5:$B$2000,A46,Compras!$A$5:$A$2000,D46,Compras!$H$5:$H$2000,"&gt;0"))</f>
        <v/>
      </c>
      <c r="F46" s="17" t="str">
        <f aca="false">IF(D46="","",SUMIFS(Compras!$F$5:$F$2000,Compras!$B$5:$B$2000,A46,Compras!$H$5:$H$2000,"&gt;0")/SUMIFS(Compras!$G$5:$G$2000,Compras!$B$5:$B$2000,A46,Compras!$H$5:$H$2000,"&gt;0"))</f>
        <v/>
      </c>
      <c r="G46" s="18" t="str">
        <f aca="false">IF(D46="","",IF(CFG_Metodo="Promedio",F46,E46))</f>
        <v/>
      </c>
      <c r="H46" s="19" t="str">
        <f aca="false">IF(G46="","",IF(C46="unidad",G46,G46*1000))</f>
        <v/>
      </c>
      <c r="I46" s="20" t="str">
        <f aca="false">IF(A46="","",IF(C46="","Falta unidad base",IF(D46="","Sin compras cargadas","OK")))</f>
        <v>Sin compras cargadas</v>
      </c>
    </row>
    <row r="47" customFormat="false" ht="15" hidden="false" customHeight="false" outlineLevel="0" collapsed="false">
      <c r="A47" s="15" t="s">
        <v>100</v>
      </c>
      <c r="B47" s="15" t="s">
        <v>99</v>
      </c>
      <c r="C47" s="15" t="s">
        <v>93</v>
      </c>
      <c r="D47" s="16" t="str">
        <f aca="false">IF(A47="","",IF(COUNTIFS(Compras!$B$5:$B$2000,A47,Compras!$H$5:$H$2000,"&gt;0")=0,"",_xlfn.MAXIFS(Compras!$A$5:$A$2000,Compras!$B$5:$B$2000,A47,Compras!$H$5:$H$2000,"&gt;0")))</f>
        <v/>
      </c>
      <c r="E47" s="17" t="str">
        <f aca="false">IF(D47="","",SUMIFS(Compras!$H$5:$H$2000,Compras!$B$5:$B$2000,A47,Compras!$A$5:$A$2000,D47,Compras!$H$5:$H$2000,"&gt;0")/COUNTIFS(Compras!$B$5:$B$2000,A47,Compras!$A$5:$A$2000,D47,Compras!$H$5:$H$2000,"&gt;0"))</f>
        <v/>
      </c>
      <c r="F47" s="17" t="str">
        <f aca="false">IF(D47="","",SUMIFS(Compras!$F$5:$F$2000,Compras!$B$5:$B$2000,A47,Compras!$H$5:$H$2000,"&gt;0")/SUMIFS(Compras!$G$5:$G$2000,Compras!$B$5:$B$2000,A47,Compras!$H$5:$H$2000,"&gt;0"))</f>
        <v/>
      </c>
      <c r="G47" s="18" t="str">
        <f aca="false">IF(D47="","",IF(CFG_Metodo="Promedio",F47,E47))</f>
        <v/>
      </c>
      <c r="H47" s="19" t="str">
        <f aca="false">IF(G47="","",IF(C47="unidad",G47,G47*1000))</f>
        <v/>
      </c>
      <c r="I47" s="20" t="str">
        <f aca="false">IF(A47="","",IF(C47="","Falta unidad base",IF(D47="","Sin compras cargadas","OK")))</f>
        <v>Sin compras cargadas</v>
      </c>
    </row>
    <row r="48" customFormat="false" ht="15" hidden="false" customHeight="false" outlineLevel="0" collapsed="false">
      <c r="A48" s="15" t="s">
        <v>101</v>
      </c>
      <c r="B48" s="15" t="s">
        <v>99</v>
      </c>
      <c r="C48" s="15" t="s">
        <v>93</v>
      </c>
      <c r="D48" s="16" t="str">
        <f aca="false">IF(A48="","",IF(COUNTIFS(Compras!$B$5:$B$2000,A48,Compras!$H$5:$H$2000,"&gt;0")=0,"",_xlfn.MAXIFS(Compras!$A$5:$A$2000,Compras!$B$5:$B$2000,A48,Compras!$H$5:$H$2000,"&gt;0")))</f>
        <v/>
      </c>
      <c r="E48" s="17" t="str">
        <f aca="false">IF(D48="","",SUMIFS(Compras!$H$5:$H$2000,Compras!$B$5:$B$2000,A48,Compras!$A$5:$A$2000,D48,Compras!$H$5:$H$2000,"&gt;0")/COUNTIFS(Compras!$B$5:$B$2000,A48,Compras!$A$5:$A$2000,D48,Compras!$H$5:$H$2000,"&gt;0"))</f>
        <v/>
      </c>
      <c r="F48" s="17" t="str">
        <f aca="false">IF(D48="","",SUMIFS(Compras!$F$5:$F$2000,Compras!$B$5:$B$2000,A48,Compras!$H$5:$H$2000,"&gt;0")/SUMIFS(Compras!$G$5:$G$2000,Compras!$B$5:$B$2000,A48,Compras!$H$5:$H$2000,"&gt;0"))</f>
        <v/>
      </c>
      <c r="G48" s="18" t="str">
        <f aca="false">IF(D48="","",IF(CFG_Metodo="Promedio",F48,E48))</f>
        <v/>
      </c>
      <c r="H48" s="19" t="str">
        <f aca="false">IF(G48="","",IF(C48="unidad",G48,G48*1000))</f>
        <v/>
      </c>
      <c r="I48" s="20" t="str">
        <f aca="false">IF(A48="","",IF(C48="","Falta unidad base",IF(D48="","Sin compras cargadas","OK")))</f>
        <v>Sin compras cargadas</v>
      </c>
    </row>
    <row r="49" customFormat="false" ht="15" hidden="false" customHeight="false" outlineLevel="0" collapsed="false">
      <c r="A49" s="15" t="s">
        <v>102</v>
      </c>
      <c r="B49" s="15" t="s">
        <v>99</v>
      </c>
      <c r="C49" s="15" t="s">
        <v>93</v>
      </c>
      <c r="D49" s="16" t="str">
        <f aca="false">IF(A49="","",IF(COUNTIFS(Compras!$B$5:$B$2000,A49,Compras!$H$5:$H$2000,"&gt;0")=0,"",_xlfn.MAXIFS(Compras!$A$5:$A$2000,Compras!$B$5:$B$2000,A49,Compras!$H$5:$H$2000,"&gt;0")))</f>
        <v/>
      </c>
      <c r="E49" s="17" t="str">
        <f aca="false">IF(D49="","",SUMIFS(Compras!$H$5:$H$2000,Compras!$B$5:$B$2000,A49,Compras!$A$5:$A$2000,D49,Compras!$H$5:$H$2000,"&gt;0")/COUNTIFS(Compras!$B$5:$B$2000,A49,Compras!$A$5:$A$2000,D49,Compras!$H$5:$H$2000,"&gt;0"))</f>
        <v/>
      </c>
      <c r="F49" s="17" t="str">
        <f aca="false">IF(D49="","",SUMIFS(Compras!$F$5:$F$2000,Compras!$B$5:$B$2000,A49,Compras!$H$5:$H$2000,"&gt;0")/SUMIFS(Compras!$G$5:$G$2000,Compras!$B$5:$B$2000,A49,Compras!$H$5:$H$2000,"&gt;0"))</f>
        <v/>
      </c>
      <c r="G49" s="18" t="str">
        <f aca="false">IF(D49="","",IF(CFG_Metodo="Promedio",F49,E49))</f>
        <v/>
      </c>
      <c r="H49" s="19" t="str">
        <f aca="false">IF(G49="","",IF(C49="unidad",G49,G49*1000))</f>
        <v/>
      </c>
      <c r="I49" s="20" t="str">
        <f aca="false">IF(A49="","",IF(C49="","Falta unidad base",IF(D49="","Sin compras cargadas","OK")))</f>
        <v>Sin compras cargadas</v>
      </c>
    </row>
    <row r="50" customFormat="false" ht="15" hidden="false" customHeight="false" outlineLevel="0" collapsed="false">
      <c r="A50" s="15" t="s">
        <v>103</v>
      </c>
      <c r="B50" s="15" t="s">
        <v>99</v>
      </c>
      <c r="C50" s="15" t="s">
        <v>93</v>
      </c>
      <c r="D50" s="16" t="str">
        <f aca="false">IF(A50="","",IF(COUNTIFS(Compras!$B$5:$B$2000,A50,Compras!$H$5:$H$2000,"&gt;0")=0,"",_xlfn.MAXIFS(Compras!$A$5:$A$2000,Compras!$B$5:$B$2000,A50,Compras!$H$5:$H$2000,"&gt;0")))</f>
        <v/>
      </c>
      <c r="E50" s="17" t="str">
        <f aca="false">IF(D50="","",SUMIFS(Compras!$H$5:$H$2000,Compras!$B$5:$B$2000,A50,Compras!$A$5:$A$2000,D50,Compras!$H$5:$H$2000,"&gt;0")/COUNTIFS(Compras!$B$5:$B$2000,A50,Compras!$A$5:$A$2000,D50,Compras!$H$5:$H$2000,"&gt;0"))</f>
        <v/>
      </c>
      <c r="F50" s="17" t="str">
        <f aca="false">IF(D50="","",SUMIFS(Compras!$F$5:$F$2000,Compras!$B$5:$B$2000,A50,Compras!$H$5:$H$2000,"&gt;0")/SUMIFS(Compras!$G$5:$G$2000,Compras!$B$5:$B$2000,A50,Compras!$H$5:$H$2000,"&gt;0"))</f>
        <v/>
      </c>
      <c r="G50" s="18" t="str">
        <f aca="false">IF(D50="","",IF(CFG_Metodo="Promedio",F50,E50))</f>
        <v/>
      </c>
      <c r="H50" s="19" t="str">
        <f aca="false">IF(G50="","",IF(C50="unidad",G50,G50*1000))</f>
        <v/>
      </c>
      <c r="I50" s="20" t="str">
        <f aca="false">IF(A50="","",IF(C50="","Falta unidad base",IF(D50="","Sin compras cargadas","OK")))</f>
        <v>Sin compras cargadas</v>
      </c>
    </row>
    <row r="51" customFormat="false" ht="15" hidden="false" customHeight="false" outlineLevel="0" collapsed="false">
      <c r="A51" s="15"/>
      <c r="B51" s="15"/>
      <c r="C51" s="15"/>
      <c r="D51" s="16" t="str">
        <f aca="false">IF(A51="","",IF(COUNTIFS(Compras!$B$5:$B$2000,A51,Compras!$H$5:$H$2000,"&gt;0")=0,"",_xlfn.MAXIFS(Compras!$A$5:$A$2000,Compras!$B$5:$B$2000,A51,Compras!$H$5:$H$2000,"&gt;0")))</f>
        <v/>
      </c>
      <c r="E51" s="17" t="str">
        <f aca="false">IF(D51="","",SUMIFS(Compras!$H$5:$H$2000,Compras!$B$5:$B$2000,A51,Compras!$A$5:$A$2000,D51,Compras!$H$5:$H$2000,"&gt;0")/COUNTIFS(Compras!$B$5:$B$2000,A51,Compras!$A$5:$A$2000,D51,Compras!$H$5:$H$2000,"&gt;0"))</f>
        <v/>
      </c>
      <c r="F51" s="17" t="str">
        <f aca="false">IF(D51="","",SUMIFS(Compras!$F$5:$F$2000,Compras!$B$5:$B$2000,A51,Compras!$H$5:$H$2000,"&gt;0")/SUMIFS(Compras!$G$5:$G$2000,Compras!$B$5:$B$2000,A51,Compras!$H$5:$H$2000,"&gt;0"))</f>
        <v/>
      </c>
      <c r="G51" s="18" t="str">
        <f aca="false">IF(D51="","",IF(CFG_Metodo="Promedio",F51,E51))</f>
        <v/>
      </c>
      <c r="H51" s="19" t="str">
        <f aca="false">IF(G51="","",IF(C51="unidad",G51,G51*1000))</f>
        <v/>
      </c>
      <c r="I51" s="20" t="str">
        <f aca="false">IF(A51="","",IF(C51="","Falta unidad base",IF(D51="","Sin compras cargadas","OK")))</f>
        <v/>
      </c>
    </row>
    <row r="52" customFormat="false" ht="15" hidden="false" customHeight="false" outlineLevel="0" collapsed="false">
      <c r="A52" s="15"/>
      <c r="B52" s="15"/>
      <c r="C52" s="15"/>
      <c r="D52" s="16" t="str">
        <f aca="false">IF(A52="","",IF(COUNTIFS(Compras!$B$5:$B$2000,A52,Compras!$H$5:$H$2000,"&gt;0")=0,"",_xlfn.MAXIFS(Compras!$A$5:$A$2000,Compras!$B$5:$B$2000,A52,Compras!$H$5:$H$2000,"&gt;0")))</f>
        <v/>
      </c>
      <c r="E52" s="17" t="str">
        <f aca="false">IF(D52="","",SUMIFS(Compras!$H$5:$H$2000,Compras!$B$5:$B$2000,A52,Compras!$A$5:$A$2000,D52,Compras!$H$5:$H$2000,"&gt;0")/COUNTIFS(Compras!$B$5:$B$2000,A52,Compras!$A$5:$A$2000,D52,Compras!$H$5:$H$2000,"&gt;0"))</f>
        <v/>
      </c>
      <c r="F52" s="17" t="str">
        <f aca="false">IF(D52="","",SUMIFS(Compras!$F$5:$F$2000,Compras!$B$5:$B$2000,A52,Compras!$H$5:$H$2000,"&gt;0")/SUMIFS(Compras!$G$5:$G$2000,Compras!$B$5:$B$2000,A52,Compras!$H$5:$H$2000,"&gt;0"))</f>
        <v/>
      </c>
      <c r="G52" s="18" t="str">
        <f aca="false">IF(D52="","",IF(CFG_Metodo="Promedio",F52,E52))</f>
        <v/>
      </c>
      <c r="H52" s="19" t="str">
        <f aca="false">IF(G52="","",IF(C52="unidad",G52,G52*1000))</f>
        <v/>
      </c>
      <c r="I52" s="20" t="str">
        <f aca="false">IF(A52="","",IF(C52="","Falta unidad base",IF(D52="","Sin compras cargadas","OK")))</f>
        <v/>
      </c>
    </row>
    <row r="53" customFormat="false" ht="15" hidden="false" customHeight="false" outlineLevel="0" collapsed="false">
      <c r="A53" s="15"/>
      <c r="B53" s="15"/>
      <c r="C53" s="15"/>
      <c r="D53" s="16" t="str">
        <f aca="false">IF(A53="","",IF(COUNTIFS(Compras!$B$5:$B$2000,A53,Compras!$H$5:$H$2000,"&gt;0")=0,"",_xlfn.MAXIFS(Compras!$A$5:$A$2000,Compras!$B$5:$B$2000,A53,Compras!$H$5:$H$2000,"&gt;0")))</f>
        <v/>
      </c>
      <c r="E53" s="17" t="str">
        <f aca="false">IF(D53="","",SUMIFS(Compras!$H$5:$H$2000,Compras!$B$5:$B$2000,A53,Compras!$A$5:$A$2000,D53,Compras!$H$5:$H$2000,"&gt;0")/COUNTIFS(Compras!$B$5:$B$2000,A53,Compras!$A$5:$A$2000,D53,Compras!$H$5:$H$2000,"&gt;0"))</f>
        <v/>
      </c>
      <c r="F53" s="17" t="str">
        <f aca="false">IF(D53="","",SUMIFS(Compras!$F$5:$F$2000,Compras!$B$5:$B$2000,A53,Compras!$H$5:$H$2000,"&gt;0")/SUMIFS(Compras!$G$5:$G$2000,Compras!$B$5:$B$2000,A53,Compras!$H$5:$H$2000,"&gt;0"))</f>
        <v/>
      </c>
      <c r="G53" s="18" t="str">
        <f aca="false">IF(D53="","",IF(CFG_Metodo="Promedio",F53,E53))</f>
        <v/>
      </c>
      <c r="H53" s="19" t="str">
        <f aca="false">IF(G53="","",IF(C53="unidad",G53,G53*1000))</f>
        <v/>
      </c>
      <c r="I53" s="20" t="str">
        <f aca="false">IF(A53="","",IF(C53="","Falta unidad base",IF(D53="","Sin compras cargadas","OK")))</f>
        <v/>
      </c>
    </row>
    <row r="54" customFormat="false" ht="15" hidden="false" customHeight="false" outlineLevel="0" collapsed="false">
      <c r="A54" s="15"/>
      <c r="B54" s="15"/>
      <c r="C54" s="15"/>
      <c r="D54" s="16" t="str">
        <f aca="false">IF(A54="","",IF(COUNTIFS(Compras!$B$5:$B$2000,A54,Compras!$H$5:$H$2000,"&gt;0")=0,"",_xlfn.MAXIFS(Compras!$A$5:$A$2000,Compras!$B$5:$B$2000,A54,Compras!$H$5:$H$2000,"&gt;0")))</f>
        <v/>
      </c>
      <c r="E54" s="17" t="str">
        <f aca="false">IF(D54="","",SUMIFS(Compras!$H$5:$H$2000,Compras!$B$5:$B$2000,A54,Compras!$A$5:$A$2000,D54,Compras!$H$5:$H$2000,"&gt;0")/COUNTIFS(Compras!$B$5:$B$2000,A54,Compras!$A$5:$A$2000,D54,Compras!$H$5:$H$2000,"&gt;0"))</f>
        <v/>
      </c>
      <c r="F54" s="17" t="str">
        <f aca="false">IF(D54="","",SUMIFS(Compras!$F$5:$F$2000,Compras!$B$5:$B$2000,A54,Compras!$H$5:$H$2000,"&gt;0")/SUMIFS(Compras!$G$5:$G$2000,Compras!$B$5:$B$2000,A54,Compras!$H$5:$H$2000,"&gt;0"))</f>
        <v/>
      </c>
      <c r="G54" s="18" t="str">
        <f aca="false">IF(D54="","",IF(CFG_Metodo="Promedio",F54,E54))</f>
        <v/>
      </c>
      <c r="H54" s="19" t="str">
        <f aca="false">IF(G54="","",IF(C54="unidad",G54,G54*1000))</f>
        <v/>
      </c>
      <c r="I54" s="20" t="str">
        <f aca="false">IF(A54="","",IF(C54="","Falta unidad base",IF(D54="","Sin compras cargadas","OK")))</f>
        <v/>
      </c>
    </row>
    <row r="55" customFormat="false" ht="15" hidden="false" customHeight="false" outlineLevel="0" collapsed="false">
      <c r="A55" s="15"/>
      <c r="B55" s="15"/>
      <c r="C55" s="15"/>
      <c r="D55" s="16" t="str">
        <f aca="false">IF(A55="","",IF(COUNTIFS(Compras!$B$5:$B$2000,A55,Compras!$H$5:$H$2000,"&gt;0")=0,"",_xlfn.MAXIFS(Compras!$A$5:$A$2000,Compras!$B$5:$B$2000,A55,Compras!$H$5:$H$2000,"&gt;0")))</f>
        <v/>
      </c>
      <c r="E55" s="17" t="str">
        <f aca="false">IF(D55="","",SUMIFS(Compras!$H$5:$H$2000,Compras!$B$5:$B$2000,A55,Compras!$A$5:$A$2000,D55,Compras!$H$5:$H$2000,"&gt;0")/COUNTIFS(Compras!$B$5:$B$2000,A55,Compras!$A$5:$A$2000,D55,Compras!$H$5:$H$2000,"&gt;0"))</f>
        <v/>
      </c>
      <c r="F55" s="17" t="str">
        <f aca="false">IF(D55="","",SUMIFS(Compras!$F$5:$F$2000,Compras!$B$5:$B$2000,A55,Compras!$H$5:$H$2000,"&gt;0")/SUMIFS(Compras!$G$5:$G$2000,Compras!$B$5:$B$2000,A55,Compras!$H$5:$H$2000,"&gt;0"))</f>
        <v/>
      </c>
      <c r="G55" s="18" t="str">
        <f aca="false">IF(D55="","",IF(CFG_Metodo="Promedio",F55,E55))</f>
        <v/>
      </c>
      <c r="H55" s="19" t="str">
        <f aca="false">IF(G55="","",IF(C55="unidad",G55,G55*1000))</f>
        <v/>
      </c>
      <c r="I55" s="20" t="str">
        <f aca="false">IF(A55="","",IF(C55="","Falta unidad base",IF(D55="","Sin compras cargadas","OK")))</f>
        <v/>
      </c>
    </row>
    <row r="56" customFormat="false" ht="15" hidden="false" customHeight="false" outlineLevel="0" collapsed="false">
      <c r="A56" s="15"/>
      <c r="B56" s="15"/>
      <c r="C56" s="15"/>
      <c r="D56" s="16" t="str">
        <f aca="false">IF(A56="","",IF(COUNTIFS(Compras!$B$5:$B$2000,A56,Compras!$H$5:$H$2000,"&gt;0")=0,"",_xlfn.MAXIFS(Compras!$A$5:$A$2000,Compras!$B$5:$B$2000,A56,Compras!$H$5:$H$2000,"&gt;0")))</f>
        <v/>
      </c>
      <c r="E56" s="17" t="str">
        <f aca="false">IF(D56="","",SUMIFS(Compras!$H$5:$H$2000,Compras!$B$5:$B$2000,A56,Compras!$A$5:$A$2000,D56,Compras!$H$5:$H$2000,"&gt;0")/COUNTIFS(Compras!$B$5:$B$2000,A56,Compras!$A$5:$A$2000,D56,Compras!$H$5:$H$2000,"&gt;0"))</f>
        <v/>
      </c>
      <c r="F56" s="17" t="str">
        <f aca="false">IF(D56="","",SUMIFS(Compras!$F$5:$F$2000,Compras!$B$5:$B$2000,A56,Compras!$H$5:$H$2000,"&gt;0")/SUMIFS(Compras!$G$5:$G$2000,Compras!$B$5:$B$2000,A56,Compras!$H$5:$H$2000,"&gt;0"))</f>
        <v/>
      </c>
      <c r="G56" s="18" t="str">
        <f aca="false">IF(D56="","",IF(CFG_Metodo="Promedio",F56,E56))</f>
        <v/>
      </c>
      <c r="H56" s="19" t="str">
        <f aca="false">IF(G56="","",IF(C56="unidad",G56,G56*1000))</f>
        <v/>
      </c>
      <c r="I56" s="20" t="str">
        <f aca="false">IF(A56="","",IF(C56="","Falta unidad base",IF(D56="","Sin compras cargadas","OK")))</f>
        <v/>
      </c>
    </row>
    <row r="57" customFormat="false" ht="15" hidden="false" customHeight="false" outlineLevel="0" collapsed="false">
      <c r="A57" s="15"/>
      <c r="B57" s="15"/>
      <c r="C57" s="15"/>
      <c r="D57" s="16" t="str">
        <f aca="false">IF(A57="","",IF(COUNTIFS(Compras!$B$5:$B$2000,A57,Compras!$H$5:$H$2000,"&gt;0")=0,"",_xlfn.MAXIFS(Compras!$A$5:$A$2000,Compras!$B$5:$B$2000,A57,Compras!$H$5:$H$2000,"&gt;0")))</f>
        <v/>
      </c>
      <c r="E57" s="17" t="str">
        <f aca="false">IF(D57="","",SUMIFS(Compras!$H$5:$H$2000,Compras!$B$5:$B$2000,A57,Compras!$A$5:$A$2000,D57,Compras!$H$5:$H$2000,"&gt;0")/COUNTIFS(Compras!$B$5:$B$2000,A57,Compras!$A$5:$A$2000,D57,Compras!$H$5:$H$2000,"&gt;0"))</f>
        <v/>
      </c>
      <c r="F57" s="17" t="str">
        <f aca="false">IF(D57="","",SUMIFS(Compras!$F$5:$F$2000,Compras!$B$5:$B$2000,A57,Compras!$H$5:$H$2000,"&gt;0")/SUMIFS(Compras!$G$5:$G$2000,Compras!$B$5:$B$2000,A57,Compras!$H$5:$H$2000,"&gt;0"))</f>
        <v/>
      </c>
      <c r="G57" s="18" t="str">
        <f aca="false">IF(D57="","",IF(CFG_Metodo="Promedio",F57,E57))</f>
        <v/>
      </c>
      <c r="H57" s="19" t="str">
        <f aca="false">IF(G57="","",IF(C57="unidad",G57,G57*1000))</f>
        <v/>
      </c>
      <c r="I57" s="20" t="str">
        <f aca="false">IF(A57="","",IF(C57="","Falta unidad base",IF(D57="","Sin compras cargadas","OK")))</f>
        <v/>
      </c>
    </row>
    <row r="58" customFormat="false" ht="15" hidden="false" customHeight="false" outlineLevel="0" collapsed="false">
      <c r="A58" s="15"/>
      <c r="B58" s="15"/>
      <c r="C58" s="15"/>
      <c r="D58" s="16" t="str">
        <f aca="false">IF(A58="","",IF(COUNTIFS(Compras!$B$5:$B$2000,A58,Compras!$H$5:$H$2000,"&gt;0")=0,"",_xlfn.MAXIFS(Compras!$A$5:$A$2000,Compras!$B$5:$B$2000,A58,Compras!$H$5:$H$2000,"&gt;0")))</f>
        <v/>
      </c>
      <c r="E58" s="17" t="str">
        <f aca="false">IF(D58="","",SUMIFS(Compras!$H$5:$H$2000,Compras!$B$5:$B$2000,A58,Compras!$A$5:$A$2000,D58,Compras!$H$5:$H$2000,"&gt;0")/COUNTIFS(Compras!$B$5:$B$2000,A58,Compras!$A$5:$A$2000,D58,Compras!$H$5:$H$2000,"&gt;0"))</f>
        <v/>
      </c>
      <c r="F58" s="17" t="str">
        <f aca="false">IF(D58="","",SUMIFS(Compras!$F$5:$F$2000,Compras!$B$5:$B$2000,A58,Compras!$H$5:$H$2000,"&gt;0")/SUMIFS(Compras!$G$5:$G$2000,Compras!$B$5:$B$2000,A58,Compras!$H$5:$H$2000,"&gt;0"))</f>
        <v/>
      </c>
      <c r="G58" s="18" t="str">
        <f aca="false">IF(D58="","",IF(CFG_Metodo="Promedio",F58,E58))</f>
        <v/>
      </c>
      <c r="H58" s="19" t="str">
        <f aca="false">IF(G58="","",IF(C58="unidad",G58,G58*1000))</f>
        <v/>
      </c>
      <c r="I58" s="20" t="str">
        <f aca="false">IF(A58="","",IF(C58="","Falta unidad base",IF(D58="","Sin compras cargadas","OK")))</f>
        <v/>
      </c>
    </row>
    <row r="59" customFormat="false" ht="15" hidden="false" customHeight="false" outlineLevel="0" collapsed="false">
      <c r="A59" s="15"/>
      <c r="B59" s="15"/>
      <c r="C59" s="15"/>
      <c r="D59" s="16" t="str">
        <f aca="false">IF(A59="","",IF(COUNTIFS(Compras!$B$5:$B$2000,A59,Compras!$H$5:$H$2000,"&gt;0")=0,"",_xlfn.MAXIFS(Compras!$A$5:$A$2000,Compras!$B$5:$B$2000,A59,Compras!$H$5:$H$2000,"&gt;0")))</f>
        <v/>
      </c>
      <c r="E59" s="17" t="str">
        <f aca="false">IF(D59="","",SUMIFS(Compras!$H$5:$H$2000,Compras!$B$5:$B$2000,A59,Compras!$A$5:$A$2000,D59,Compras!$H$5:$H$2000,"&gt;0")/COUNTIFS(Compras!$B$5:$B$2000,A59,Compras!$A$5:$A$2000,D59,Compras!$H$5:$H$2000,"&gt;0"))</f>
        <v/>
      </c>
      <c r="F59" s="17" t="str">
        <f aca="false">IF(D59="","",SUMIFS(Compras!$F$5:$F$2000,Compras!$B$5:$B$2000,A59,Compras!$H$5:$H$2000,"&gt;0")/SUMIFS(Compras!$G$5:$G$2000,Compras!$B$5:$B$2000,A59,Compras!$H$5:$H$2000,"&gt;0"))</f>
        <v/>
      </c>
      <c r="G59" s="18" t="str">
        <f aca="false">IF(D59="","",IF(CFG_Metodo="Promedio",F59,E59))</f>
        <v/>
      </c>
      <c r="H59" s="19" t="str">
        <f aca="false">IF(G59="","",IF(C59="unidad",G59,G59*1000))</f>
        <v/>
      </c>
      <c r="I59" s="20" t="str">
        <f aca="false">IF(A59="","",IF(C59="","Falta unidad base",IF(D59="","Sin compras cargadas","OK")))</f>
        <v/>
      </c>
    </row>
    <row r="60" customFormat="false" ht="15" hidden="false" customHeight="false" outlineLevel="0" collapsed="false">
      <c r="A60" s="15"/>
      <c r="B60" s="15"/>
      <c r="C60" s="15"/>
      <c r="D60" s="16" t="str">
        <f aca="false">IF(A60="","",IF(COUNTIFS(Compras!$B$5:$B$2000,A60,Compras!$H$5:$H$2000,"&gt;0")=0,"",_xlfn.MAXIFS(Compras!$A$5:$A$2000,Compras!$B$5:$B$2000,A60,Compras!$H$5:$H$2000,"&gt;0")))</f>
        <v/>
      </c>
      <c r="E60" s="17" t="str">
        <f aca="false">IF(D60="","",SUMIFS(Compras!$H$5:$H$2000,Compras!$B$5:$B$2000,A60,Compras!$A$5:$A$2000,D60,Compras!$H$5:$H$2000,"&gt;0")/COUNTIFS(Compras!$B$5:$B$2000,A60,Compras!$A$5:$A$2000,D60,Compras!$H$5:$H$2000,"&gt;0"))</f>
        <v/>
      </c>
      <c r="F60" s="17" t="str">
        <f aca="false">IF(D60="","",SUMIFS(Compras!$F$5:$F$2000,Compras!$B$5:$B$2000,A60,Compras!$H$5:$H$2000,"&gt;0")/SUMIFS(Compras!$G$5:$G$2000,Compras!$B$5:$B$2000,A60,Compras!$H$5:$H$2000,"&gt;0"))</f>
        <v/>
      </c>
      <c r="G60" s="18" t="str">
        <f aca="false">IF(D60="","",IF(CFG_Metodo="Promedio",F60,E60))</f>
        <v/>
      </c>
      <c r="H60" s="19" t="str">
        <f aca="false">IF(G60="","",IF(C60="unidad",G60,G60*1000))</f>
        <v/>
      </c>
      <c r="I60" s="20" t="str">
        <f aca="false">IF(A60="","",IF(C60="","Falta unidad base",IF(D60="","Sin compras cargadas","OK")))</f>
        <v/>
      </c>
    </row>
    <row r="61" customFormat="false" ht="15" hidden="false" customHeight="false" outlineLevel="0" collapsed="false">
      <c r="A61" s="15"/>
      <c r="B61" s="15"/>
      <c r="C61" s="15"/>
      <c r="D61" s="16" t="str">
        <f aca="false">IF(A61="","",IF(COUNTIFS(Compras!$B$5:$B$2000,A61,Compras!$H$5:$H$2000,"&gt;0")=0,"",_xlfn.MAXIFS(Compras!$A$5:$A$2000,Compras!$B$5:$B$2000,A61,Compras!$H$5:$H$2000,"&gt;0")))</f>
        <v/>
      </c>
      <c r="E61" s="17" t="str">
        <f aca="false">IF(D61="","",SUMIFS(Compras!$H$5:$H$2000,Compras!$B$5:$B$2000,A61,Compras!$A$5:$A$2000,D61,Compras!$H$5:$H$2000,"&gt;0")/COUNTIFS(Compras!$B$5:$B$2000,A61,Compras!$A$5:$A$2000,D61,Compras!$H$5:$H$2000,"&gt;0"))</f>
        <v/>
      </c>
      <c r="F61" s="17" t="str">
        <f aca="false">IF(D61="","",SUMIFS(Compras!$F$5:$F$2000,Compras!$B$5:$B$2000,A61,Compras!$H$5:$H$2000,"&gt;0")/SUMIFS(Compras!$G$5:$G$2000,Compras!$B$5:$B$2000,A61,Compras!$H$5:$H$2000,"&gt;0"))</f>
        <v/>
      </c>
      <c r="G61" s="18" t="str">
        <f aca="false">IF(D61="","",IF(CFG_Metodo="Promedio",F61,E61))</f>
        <v/>
      </c>
      <c r="H61" s="19" t="str">
        <f aca="false">IF(G61="","",IF(C61="unidad",G61,G61*1000))</f>
        <v/>
      </c>
      <c r="I61" s="20" t="str">
        <f aca="false">IF(A61="","",IF(C61="","Falta unidad base",IF(D61="","Sin compras cargadas","OK")))</f>
        <v/>
      </c>
    </row>
    <row r="62" customFormat="false" ht="15" hidden="false" customHeight="false" outlineLevel="0" collapsed="false">
      <c r="A62" s="15"/>
      <c r="B62" s="15"/>
      <c r="C62" s="15"/>
      <c r="D62" s="16" t="str">
        <f aca="false">IF(A62="","",IF(COUNTIFS(Compras!$B$5:$B$2000,A62,Compras!$H$5:$H$2000,"&gt;0")=0,"",_xlfn.MAXIFS(Compras!$A$5:$A$2000,Compras!$B$5:$B$2000,A62,Compras!$H$5:$H$2000,"&gt;0")))</f>
        <v/>
      </c>
      <c r="E62" s="17" t="str">
        <f aca="false">IF(D62="","",SUMIFS(Compras!$H$5:$H$2000,Compras!$B$5:$B$2000,A62,Compras!$A$5:$A$2000,D62,Compras!$H$5:$H$2000,"&gt;0")/COUNTIFS(Compras!$B$5:$B$2000,A62,Compras!$A$5:$A$2000,D62,Compras!$H$5:$H$2000,"&gt;0"))</f>
        <v/>
      </c>
      <c r="F62" s="17" t="str">
        <f aca="false">IF(D62="","",SUMIFS(Compras!$F$5:$F$2000,Compras!$B$5:$B$2000,A62,Compras!$H$5:$H$2000,"&gt;0")/SUMIFS(Compras!$G$5:$G$2000,Compras!$B$5:$B$2000,A62,Compras!$H$5:$H$2000,"&gt;0"))</f>
        <v/>
      </c>
      <c r="G62" s="18" t="str">
        <f aca="false">IF(D62="","",IF(CFG_Metodo="Promedio",F62,E62))</f>
        <v/>
      </c>
      <c r="H62" s="19" t="str">
        <f aca="false">IF(G62="","",IF(C62="unidad",G62,G62*1000))</f>
        <v/>
      </c>
      <c r="I62" s="20" t="str">
        <f aca="false">IF(A62="","",IF(C62="","Falta unidad base",IF(D62="","Sin compras cargadas","OK")))</f>
        <v/>
      </c>
    </row>
    <row r="63" customFormat="false" ht="15" hidden="false" customHeight="false" outlineLevel="0" collapsed="false">
      <c r="A63" s="15"/>
      <c r="B63" s="15"/>
      <c r="C63" s="15"/>
      <c r="D63" s="16" t="str">
        <f aca="false">IF(A63="","",IF(COUNTIFS(Compras!$B$5:$B$2000,A63,Compras!$H$5:$H$2000,"&gt;0")=0,"",_xlfn.MAXIFS(Compras!$A$5:$A$2000,Compras!$B$5:$B$2000,A63,Compras!$H$5:$H$2000,"&gt;0")))</f>
        <v/>
      </c>
      <c r="E63" s="17" t="str">
        <f aca="false">IF(D63="","",SUMIFS(Compras!$H$5:$H$2000,Compras!$B$5:$B$2000,A63,Compras!$A$5:$A$2000,D63,Compras!$H$5:$H$2000,"&gt;0")/COUNTIFS(Compras!$B$5:$B$2000,A63,Compras!$A$5:$A$2000,D63,Compras!$H$5:$H$2000,"&gt;0"))</f>
        <v/>
      </c>
      <c r="F63" s="17" t="str">
        <f aca="false">IF(D63="","",SUMIFS(Compras!$F$5:$F$2000,Compras!$B$5:$B$2000,A63,Compras!$H$5:$H$2000,"&gt;0")/SUMIFS(Compras!$G$5:$G$2000,Compras!$B$5:$B$2000,A63,Compras!$H$5:$H$2000,"&gt;0"))</f>
        <v/>
      </c>
      <c r="G63" s="18" t="str">
        <f aca="false">IF(D63="","",IF(CFG_Metodo="Promedio",F63,E63))</f>
        <v/>
      </c>
      <c r="H63" s="19" t="str">
        <f aca="false">IF(G63="","",IF(C63="unidad",G63,G63*1000))</f>
        <v/>
      </c>
      <c r="I63" s="20" t="str">
        <f aca="false">IF(A63="","",IF(C63="","Falta unidad base",IF(D63="","Sin compras cargadas","OK")))</f>
        <v/>
      </c>
    </row>
    <row r="64" customFormat="false" ht="15" hidden="false" customHeight="false" outlineLevel="0" collapsed="false">
      <c r="A64" s="15"/>
      <c r="B64" s="15"/>
      <c r="C64" s="15"/>
      <c r="D64" s="16" t="str">
        <f aca="false">IF(A64="","",IF(COUNTIFS(Compras!$B$5:$B$2000,A64,Compras!$H$5:$H$2000,"&gt;0")=0,"",_xlfn.MAXIFS(Compras!$A$5:$A$2000,Compras!$B$5:$B$2000,A64,Compras!$H$5:$H$2000,"&gt;0")))</f>
        <v/>
      </c>
      <c r="E64" s="17" t="str">
        <f aca="false">IF(D64="","",SUMIFS(Compras!$H$5:$H$2000,Compras!$B$5:$B$2000,A64,Compras!$A$5:$A$2000,D64,Compras!$H$5:$H$2000,"&gt;0")/COUNTIFS(Compras!$B$5:$B$2000,A64,Compras!$A$5:$A$2000,D64,Compras!$H$5:$H$2000,"&gt;0"))</f>
        <v/>
      </c>
      <c r="F64" s="17" t="str">
        <f aca="false">IF(D64="","",SUMIFS(Compras!$F$5:$F$2000,Compras!$B$5:$B$2000,A64,Compras!$H$5:$H$2000,"&gt;0")/SUMIFS(Compras!$G$5:$G$2000,Compras!$B$5:$B$2000,A64,Compras!$H$5:$H$2000,"&gt;0"))</f>
        <v/>
      </c>
      <c r="G64" s="18" t="str">
        <f aca="false">IF(D64="","",IF(CFG_Metodo="Promedio",F64,E64))</f>
        <v/>
      </c>
      <c r="H64" s="19" t="str">
        <f aca="false">IF(G64="","",IF(C64="unidad",G64,G64*1000))</f>
        <v/>
      </c>
      <c r="I64" s="20" t="str">
        <f aca="false">IF(A64="","",IF(C64="","Falta unidad base",IF(D64="","Sin compras cargadas","OK")))</f>
        <v/>
      </c>
    </row>
    <row r="65" customFormat="false" ht="15" hidden="false" customHeight="false" outlineLevel="0" collapsed="false">
      <c r="A65" s="15"/>
      <c r="B65" s="15"/>
      <c r="C65" s="15"/>
      <c r="D65" s="16" t="str">
        <f aca="false">IF(A65="","",IF(COUNTIFS(Compras!$B$5:$B$2000,A65,Compras!$H$5:$H$2000,"&gt;0")=0,"",_xlfn.MAXIFS(Compras!$A$5:$A$2000,Compras!$B$5:$B$2000,A65,Compras!$H$5:$H$2000,"&gt;0")))</f>
        <v/>
      </c>
      <c r="E65" s="17" t="str">
        <f aca="false">IF(D65="","",SUMIFS(Compras!$H$5:$H$2000,Compras!$B$5:$B$2000,A65,Compras!$A$5:$A$2000,D65,Compras!$H$5:$H$2000,"&gt;0")/COUNTIFS(Compras!$B$5:$B$2000,A65,Compras!$A$5:$A$2000,D65,Compras!$H$5:$H$2000,"&gt;0"))</f>
        <v/>
      </c>
      <c r="F65" s="17" t="str">
        <f aca="false">IF(D65="","",SUMIFS(Compras!$F$5:$F$2000,Compras!$B$5:$B$2000,A65,Compras!$H$5:$H$2000,"&gt;0")/SUMIFS(Compras!$G$5:$G$2000,Compras!$B$5:$B$2000,A65,Compras!$H$5:$H$2000,"&gt;0"))</f>
        <v/>
      </c>
      <c r="G65" s="18" t="str">
        <f aca="false">IF(D65="","",IF(CFG_Metodo="Promedio",F65,E65))</f>
        <v/>
      </c>
      <c r="H65" s="19" t="str">
        <f aca="false">IF(G65="","",IF(C65="unidad",G65,G65*1000))</f>
        <v/>
      </c>
      <c r="I65" s="20" t="str">
        <f aca="false">IF(A65="","",IF(C65="","Falta unidad base",IF(D65="","Sin compras cargadas","OK")))</f>
        <v/>
      </c>
    </row>
    <row r="66" customFormat="false" ht="15" hidden="false" customHeight="false" outlineLevel="0" collapsed="false">
      <c r="A66" s="15"/>
      <c r="B66" s="15"/>
      <c r="C66" s="15"/>
      <c r="D66" s="16" t="str">
        <f aca="false">IF(A66="","",IF(COUNTIFS(Compras!$B$5:$B$2000,A66,Compras!$H$5:$H$2000,"&gt;0")=0,"",_xlfn.MAXIFS(Compras!$A$5:$A$2000,Compras!$B$5:$B$2000,A66,Compras!$H$5:$H$2000,"&gt;0")))</f>
        <v/>
      </c>
      <c r="E66" s="17" t="str">
        <f aca="false">IF(D66="","",SUMIFS(Compras!$H$5:$H$2000,Compras!$B$5:$B$2000,A66,Compras!$A$5:$A$2000,D66,Compras!$H$5:$H$2000,"&gt;0")/COUNTIFS(Compras!$B$5:$B$2000,A66,Compras!$A$5:$A$2000,D66,Compras!$H$5:$H$2000,"&gt;0"))</f>
        <v/>
      </c>
      <c r="F66" s="17" t="str">
        <f aca="false">IF(D66="","",SUMIFS(Compras!$F$5:$F$2000,Compras!$B$5:$B$2000,A66,Compras!$H$5:$H$2000,"&gt;0")/SUMIFS(Compras!$G$5:$G$2000,Compras!$B$5:$B$2000,A66,Compras!$H$5:$H$2000,"&gt;0"))</f>
        <v/>
      </c>
      <c r="G66" s="18" t="str">
        <f aca="false">IF(D66="","",IF(CFG_Metodo="Promedio",F66,E66))</f>
        <v/>
      </c>
      <c r="H66" s="19" t="str">
        <f aca="false">IF(G66="","",IF(C66="unidad",G66,G66*1000))</f>
        <v/>
      </c>
      <c r="I66" s="20" t="str">
        <f aca="false">IF(A66="","",IF(C66="","Falta unidad base",IF(D66="","Sin compras cargadas","OK")))</f>
        <v/>
      </c>
    </row>
    <row r="67" customFormat="false" ht="15" hidden="false" customHeight="false" outlineLevel="0" collapsed="false">
      <c r="A67" s="15"/>
      <c r="B67" s="15"/>
      <c r="C67" s="15"/>
      <c r="D67" s="16" t="str">
        <f aca="false">IF(A67="","",IF(COUNTIFS(Compras!$B$5:$B$2000,A67,Compras!$H$5:$H$2000,"&gt;0")=0,"",_xlfn.MAXIFS(Compras!$A$5:$A$2000,Compras!$B$5:$B$2000,A67,Compras!$H$5:$H$2000,"&gt;0")))</f>
        <v/>
      </c>
      <c r="E67" s="17" t="str">
        <f aca="false">IF(D67="","",SUMIFS(Compras!$H$5:$H$2000,Compras!$B$5:$B$2000,A67,Compras!$A$5:$A$2000,D67,Compras!$H$5:$H$2000,"&gt;0")/COUNTIFS(Compras!$B$5:$B$2000,A67,Compras!$A$5:$A$2000,D67,Compras!$H$5:$H$2000,"&gt;0"))</f>
        <v/>
      </c>
      <c r="F67" s="17" t="str">
        <f aca="false">IF(D67="","",SUMIFS(Compras!$F$5:$F$2000,Compras!$B$5:$B$2000,A67,Compras!$H$5:$H$2000,"&gt;0")/SUMIFS(Compras!$G$5:$G$2000,Compras!$B$5:$B$2000,A67,Compras!$H$5:$H$2000,"&gt;0"))</f>
        <v/>
      </c>
      <c r="G67" s="18" t="str">
        <f aca="false">IF(D67="","",IF(CFG_Metodo="Promedio",F67,E67))</f>
        <v/>
      </c>
      <c r="H67" s="19" t="str">
        <f aca="false">IF(G67="","",IF(C67="unidad",G67,G67*1000))</f>
        <v/>
      </c>
      <c r="I67" s="20" t="str">
        <f aca="false">IF(A67="","",IF(C67="","Falta unidad base",IF(D67="","Sin compras cargadas","OK")))</f>
        <v/>
      </c>
    </row>
    <row r="68" customFormat="false" ht="15" hidden="false" customHeight="false" outlineLevel="0" collapsed="false">
      <c r="A68" s="15"/>
      <c r="B68" s="15"/>
      <c r="C68" s="15"/>
      <c r="D68" s="16" t="str">
        <f aca="false">IF(A68="","",IF(COUNTIFS(Compras!$B$5:$B$2000,A68,Compras!$H$5:$H$2000,"&gt;0")=0,"",_xlfn.MAXIFS(Compras!$A$5:$A$2000,Compras!$B$5:$B$2000,A68,Compras!$H$5:$H$2000,"&gt;0")))</f>
        <v/>
      </c>
      <c r="E68" s="17" t="str">
        <f aca="false">IF(D68="","",SUMIFS(Compras!$H$5:$H$2000,Compras!$B$5:$B$2000,A68,Compras!$A$5:$A$2000,D68,Compras!$H$5:$H$2000,"&gt;0")/COUNTIFS(Compras!$B$5:$B$2000,A68,Compras!$A$5:$A$2000,D68,Compras!$H$5:$H$2000,"&gt;0"))</f>
        <v/>
      </c>
      <c r="F68" s="17" t="str">
        <f aca="false">IF(D68="","",SUMIFS(Compras!$F$5:$F$2000,Compras!$B$5:$B$2000,A68,Compras!$H$5:$H$2000,"&gt;0")/SUMIFS(Compras!$G$5:$G$2000,Compras!$B$5:$B$2000,A68,Compras!$H$5:$H$2000,"&gt;0"))</f>
        <v/>
      </c>
      <c r="G68" s="18" t="str">
        <f aca="false">IF(D68="","",IF(CFG_Metodo="Promedio",F68,E68))</f>
        <v/>
      </c>
      <c r="H68" s="19" t="str">
        <f aca="false">IF(G68="","",IF(C68="unidad",G68,G68*1000))</f>
        <v/>
      </c>
      <c r="I68" s="20" t="str">
        <f aca="false">IF(A68="","",IF(C68="","Falta unidad base",IF(D68="","Sin compras cargadas","OK")))</f>
        <v/>
      </c>
    </row>
    <row r="69" customFormat="false" ht="15" hidden="false" customHeight="false" outlineLevel="0" collapsed="false">
      <c r="A69" s="15"/>
      <c r="B69" s="15"/>
      <c r="C69" s="15"/>
      <c r="D69" s="16" t="str">
        <f aca="false">IF(A69="","",IF(COUNTIFS(Compras!$B$5:$B$2000,A69,Compras!$H$5:$H$2000,"&gt;0")=0,"",_xlfn.MAXIFS(Compras!$A$5:$A$2000,Compras!$B$5:$B$2000,A69,Compras!$H$5:$H$2000,"&gt;0")))</f>
        <v/>
      </c>
      <c r="E69" s="17" t="str">
        <f aca="false">IF(D69="","",SUMIFS(Compras!$H$5:$H$2000,Compras!$B$5:$B$2000,A69,Compras!$A$5:$A$2000,D69,Compras!$H$5:$H$2000,"&gt;0")/COUNTIFS(Compras!$B$5:$B$2000,A69,Compras!$A$5:$A$2000,D69,Compras!$H$5:$H$2000,"&gt;0"))</f>
        <v/>
      </c>
      <c r="F69" s="17" t="str">
        <f aca="false">IF(D69="","",SUMIFS(Compras!$F$5:$F$2000,Compras!$B$5:$B$2000,A69,Compras!$H$5:$H$2000,"&gt;0")/SUMIFS(Compras!$G$5:$G$2000,Compras!$B$5:$B$2000,A69,Compras!$H$5:$H$2000,"&gt;0"))</f>
        <v/>
      </c>
      <c r="G69" s="18" t="str">
        <f aca="false">IF(D69="","",IF(CFG_Metodo="Promedio",F69,E69))</f>
        <v/>
      </c>
      <c r="H69" s="19" t="str">
        <f aca="false">IF(G69="","",IF(C69="unidad",G69,G69*1000))</f>
        <v/>
      </c>
      <c r="I69" s="20" t="str">
        <f aca="false">IF(A69="","",IF(C69="","Falta unidad base",IF(D69="","Sin compras cargadas","OK")))</f>
        <v/>
      </c>
    </row>
    <row r="70" customFormat="false" ht="15" hidden="false" customHeight="false" outlineLevel="0" collapsed="false">
      <c r="A70" s="15"/>
      <c r="B70" s="15"/>
      <c r="C70" s="15"/>
      <c r="D70" s="16" t="str">
        <f aca="false">IF(A70="","",IF(COUNTIFS(Compras!$B$5:$B$2000,A70,Compras!$H$5:$H$2000,"&gt;0")=0,"",_xlfn.MAXIFS(Compras!$A$5:$A$2000,Compras!$B$5:$B$2000,A70,Compras!$H$5:$H$2000,"&gt;0")))</f>
        <v/>
      </c>
      <c r="E70" s="17" t="str">
        <f aca="false">IF(D70="","",SUMIFS(Compras!$H$5:$H$2000,Compras!$B$5:$B$2000,A70,Compras!$A$5:$A$2000,D70,Compras!$H$5:$H$2000,"&gt;0")/COUNTIFS(Compras!$B$5:$B$2000,A70,Compras!$A$5:$A$2000,D70,Compras!$H$5:$H$2000,"&gt;0"))</f>
        <v/>
      </c>
      <c r="F70" s="17" t="str">
        <f aca="false">IF(D70="","",SUMIFS(Compras!$F$5:$F$2000,Compras!$B$5:$B$2000,A70,Compras!$H$5:$H$2000,"&gt;0")/SUMIFS(Compras!$G$5:$G$2000,Compras!$B$5:$B$2000,A70,Compras!$H$5:$H$2000,"&gt;0"))</f>
        <v/>
      </c>
      <c r="G70" s="18" t="str">
        <f aca="false">IF(D70="","",IF(CFG_Metodo="Promedio",F70,E70))</f>
        <v/>
      </c>
      <c r="H70" s="19" t="str">
        <f aca="false">IF(G70="","",IF(C70="unidad",G70,G70*1000))</f>
        <v/>
      </c>
      <c r="I70" s="20" t="str">
        <f aca="false">IF(A70="","",IF(C70="","Falta unidad base",IF(D70="","Sin compras cargadas","OK")))</f>
        <v/>
      </c>
    </row>
    <row r="71" customFormat="false" ht="15" hidden="false" customHeight="false" outlineLevel="0" collapsed="false">
      <c r="A71" s="15"/>
      <c r="B71" s="15"/>
      <c r="C71" s="15"/>
      <c r="D71" s="16" t="str">
        <f aca="false">IF(A71="","",IF(COUNTIFS(Compras!$B$5:$B$2000,A71,Compras!$H$5:$H$2000,"&gt;0")=0,"",_xlfn.MAXIFS(Compras!$A$5:$A$2000,Compras!$B$5:$B$2000,A71,Compras!$H$5:$H$2000,"&gt;0")))</f>
        <v/>
      </c>
      <c r="E71" s="17" t="str">
        <f aca="false">IF(D71="","",SUMIFS(Compras!$H$5:$H$2000,Compras!$B$5:$B$2000,A71,Compras!$A$5:$A$2000,D71,Compras!$H$5:$H$2000,"&gt;0")/COUNTIFS(Compras!$B$5:$B$2000,A71,Compras!$A$5:$A$2000,D71,Compras!$H$5:$H$2000,"&gt;0"))</f>
        <v/>
      </c>
      <c r="F71" s="17" t="str">
        <f aca="false">IF(D71="","",SUMIFS(Compras!$F$5:$F$2000,Compras!$B$5:$B$2000,A71,Compras!$H$5:$H$2000,"&gt;0")/SUMIFS(Compras!$G$5:$G$2000,Compras!$B$5:$B$2000,A71,Compras!$H$5:$H$2000,"&gt;0"))</f>
        <v/>
      </c>
      <c r="G71" s="18" t="str">
        <f aca="false">IF(D71="","",IF(CFG_Metodo="Promedio",F71,E71))</f>
        <v/>
      </c>
      <c r="H71" s="19" t="str">
        <f aca="false">IF(G71="","",IF(C71="unidad",G71,G71*1000))</f>
        <v/>
      </c>
      <c r="I71" s="20" t="str">
        <f aca="false">IF(A71="","",IF(C71="","Falta unidad base",IF(D71="","Sin compras cargadas","OK")))</f>
        <v/>
      </c>
    </row>
    <row r="72" customFormat="false" ht="15" hidden="false" customHeight="false" outlineLevel="0" collapsed="false">
      <c r="A72" s="15"/>
      <c r="B72" s="15"/>
      <c r="C72" s="15"/>
      <c r="D72" s="16" t="str">
        <f aca="false">IF(A72="","",IF(COUNTIFS(Compras!$B$5:$B$2000,A72,Compras!$H$5:$H$2000,"&gt;0")=0,"",_xlfn.MAXIFS(Compras!$A$5:$A$2000,Compras!$B$5:$B$2000,A72,Compras!$H$5:$H$2000,"&gt;0")))</f>
        <v/>
      </c>
      <c r="E72" s="17" t="str">
        <f aca="false">IF(D72="","",SUMIFS(Compras!$H$5:$H$2000,Compras!$B$5:$B$2000,A72,Compras!$A$5:$A$2000,D72,Compras!$H$5:$H$2000,"&gt;0")/COUNTIFS(Compras!$B$5:$B$2000,A72,Compras!$A$5:$A$2000,D72,Compras!$H$5:$H$2000,"&gt;0"))</f>
        <v/>
      </c>
      <c r="F72" s="17" t="str">
        <f aca="false">IF(D72="","",SUMIFS(Compras!$F$5:$F$2000,Compras!$B$5:$B$2000,A72,Compras!$H$5:$H$2000,"&gt;0")/SUMIFS(Compras!$G$5:$G$2000,Compras!$B$5:$B$2000,A72,Compras!$H$5:$H$2000,"&gt;0"))</f>
        <v/>
      </c>
      <c r="G72" s="18" t="str">
        <f aca="false">IF(D72="","",IF(CFG_Metodo="Promedio",F72,E72))</f>
        <v/>
      </c>
      <c r="H72" s="19" t="str">
        <f aca="false">IF(G72="","",IF(C72="unidad",G72,G72*1000))</f>
        <v/>
      </c>
      <c r="I72" s="20" t="str">
        <f aca="false">IF(A72="","",IF(C72="","Falta unidad base",IF(D72="","Sin compras cargadas","OK")))</f>
        <v/>
      </c>
    </row>
    <row r="73" customFormat="false" ht="15" hidden="false" customHeight="false" outlineLevel="0" collapsed="false">
      <c r="A73" s="15"/>
      <c r="B73" s="15"/>
      <c r="C73" s="15"/>
      <c r="D73" s="16" t="str">
        <f aca="false">IF(A73="","",IF(COUNTIFS(Compras!$B$5:$B$2000,A73,Compras!$H$5:$H$2000,"&gt;0")=0,"",_xlfn.MAXIFS(Compras!$A$5:$A$2000,Compras!$B$5:$B$2000,A73,Compras!$H$5:$H$2000,"&gt;0")))</f>
        <v/>
      </c>
      <c r="E73" s="17" t="str">
        <f aca="false">IF(D73="","",SUMIFS(Compras!$H$5:$H$2000,Compras!$B$5:$B$2000,A73,Compras!$A$5:$A$2000,D73,Compras!$H$5:$H$2000,"&gt;0")/COUNTIFS(Compras!$B$5:$B$2000,A73,Compras!$A$5:$A$2000,D73,Compras!$H$5:$H$2000,"&gt;0"))</f>
        <v/>
      </c>
      <c r="F73" s="17" t="str">
        <f aca="false">IF(D73="","",SUMIFS(Compras!$F$5:$F$2000,Compras!$B$5:$B$2000,A73,Compras!$H$5:$H$2000,"&gt;0")/SUMIFS(Compras!$G$5:$G$2000,Compras!$B$5:$B$2000,A73,Compras!$H$5:$H$2000,"&gt;0"))</f>
        <v/>
      </c>
      <c r="G73" s="18" t="str">
        <f aca="false">IF(D73="","",IF(CFG_Metodo="Promedio",F73,E73))</f>
        <v/>
      </c>
      <c r="H73" s="19" t="str">
        <f aca="false">IF(G73="","",IF(C73="unidad",G73,G73*1000))</f>
        <v/>
      </c>
      <c r="I73" s="20" t="str">
        <f aca="false">IF(A73="","",IF(C73="","Falta unidad base",IF(D73="","Sin compras cargadas","OK")))</f>
        <v/>
      </c>
    </row>
    <row r="74" customFormat="false" ht="15" hidden="false" customHeight="false" outlineLevel="0" collapsed="false">
      <c r="A74" s="15"/>
      <c r="B74" s="15"/>
      <c r="C74" s="15"/>
      <c r="D74" s="16" t="str">
        <f aca="false">IF(A74="","",IF(COUNTIFS(Compras!$B$5:$B$2000,A74,Compras!$H$5:$H$2000,"&gt;0")=0,"",_xlfn.MAXIFS(Compras!$A$5:$A$2000,Compras!$B$5:$B$2000,A74,Compras!$H$5:$H$2000,"&gt;0")))</f>
        <v/>
      </c>
      <c r="E74" s="17" t="str">
        <f aca="false">IF(D74="","",SUMIFS(Compras!$H$5:$H$2000,Compras!$B$5:$B$2000,A74,Compras!$A$5:$A$2000,D74,Compras!$H$5:$H$2000,"&gt;0")/COUNTIFS(Compras!$B$5:$B$2000,A74,Compras!$A$5:$A$2000,D74,Compras!$H$5:$H$2000,"&gt;0"))</f>
        <v/>
      </c>
      <c r="F74" s="17" t="str">
        <f aca="false">IF(D74="","",SUMIFS(Compras!$F$5:$F$2000,Compras!$B$5:$B$2000,A74,Compras!$H$5:$H$2000,"&gt;0")/SUMIFS(Compras!$G$5:$G$2000,Compras!$B$5:$B$2000,A74,Compras!$H$5:$H$2000,"&gt;0"))</f>
        <v/>
      </c>
      <c r="G74" s="18" t="str">
        <f aca="false">IF(D74="","",IF(CFG_Metodo="Promedio",F74,E74))</f>
        <v/>
      </c>
      <c r="H74" s="19" t="str">
        <f aca="false">IF(G74="","",IF(C74="unidad",G74,G74*1000))</f>
        <v/>
      </c>
      <c r="I74" s="20" t="str">
        <f aca="false">IF(A74="","",IF(C74="","Falta unidad base",IF(D74="","Sin compras cargadas","OK")))</f>
        <v/>
      </c>
    </row>
    <row r="75" customFormat="false" ht="15" hidden="false" customHeight="false" outlineLevel="0" collapsed="false">
      <c r="A75" s="15"/>
      <c r="B75" s="15"/>
      <c r="C75" s="15"/>
      <c r="D75" s="16" t="str">
        <f aca="false">IF(A75="","",IF(COUNTIFS(Compras!$B$5:$B$2000,A75,Compras!$H$5:$H$2000,"&gt;0")=0,"",_xlfn.MAXIFS(Compras!$A$5:$A$2000,Compras!$B$5:$B$2000,A75,Compras!$H$5:$H$2000,"&gt;0")))</f>
        <v/>
      </c>
      <c r="E75" s="17" t="str">
        <f aca="false">IF(D75="","",SUMIFS(Compras!$H$5:$H$2000,Compras!$B$5:$B$2000,A75,Compras!$A$5:$A$2000,D75,Compras!$H$5:$H$2000,"&gt;0")/COUNTIFS(Compras!$B$5:$B$2000,A75,Compras!$A$5:$A$2000,D75,Compras!$H$5:$H$2000,"&gt;0"))</f>
        <v/>
      </c>
      <c r="F75" s="17" t="str">
        <f aca="false">IF(D75="","",SUMIFS(Compras!$F$5:$F$2000,Compras!$B$5:$B$2000,A75,Compras!$H$5:$H$2000,"&gt;0")/SUMIFS(Compras!$G$5:$G$2000,Compras!$B$5:$B$2000,A75,Compras!$H$5:$H$2000,"&gt;0"))</f>
        <v/>
      </c>
      <c r="G75" s="18" t="str">
        <f aca="false">IF(D75="","",IF(CFG_Metodo="Promedio",F75,E75))</f>
        <v/>
      </c>
      <c r="H75" s="19" t="str">
        <f aca="false">IF(G75="","",IF(C75="unidad",G75,G75*1000))</f>
        <v/>
      </c>
      <c r="I75" s="20" t="str">
        <f aca="false">IF(A75="","",IF(C75="","Falta unidad base",IF(D75="","Sin compras cargadas","OK")))</f>
        <v/>
      </c>
    </row>
    <row r="76" customFormat="false" ht="15" hidden="false" customHeight="false" outlineLevel="0" collapsed="false">
      <c r="A76" s="15"/>
      <c r="B76" s="15"/>
      <c r="C76" s="15"/>
      <c r="D76" s="16" t="str">
        <f aca="false">IF(A76="","",IF(COUNTIFS(Compras!$B$5:$B$2000,A76,Compras!$H$5:$H$2000,"&gt;0")=0,"",_xlfn.MAXIFS(Compras!$A$5:$A$2000,Compras!$B$5:$B$2000,A76,Compras!$H$5:$H$2000,"&gt;0")))</f>
        <v/>
      </c>
      <c r="E76" s="17" t="str">
        <f aca="false">IF(D76="","",SUMIFS(Compras!$H$5:$H$2000,Compras!$B$5:$B$2000,A76,Compras!$A$5:$A$2000,D76,Compras!$H$5:$H$2000,"&gt;0")/COUNTIFS(Compras!$B$5:$B$2000,A76,Compras!$A$5:$A$2000,D76,Compras!$H$5:$H$2000,"&gt;0"))</f>
        <v/>
      </c>
      <c r="F76" s="17" t="str">
        <f aca="false">IF(D76="","",SUMIFS(Compras!$F$5:$F$2000,Compras!$B$5:$B$2000,A76,Compras!$H$5:$H$2000,"&gt;0")/SUMIFS(Compras!$G$5:$G$2000,Compras!$B$5:$B$2000,A76,Compras!$H$5:$H$2000,"&gt;0"))</f>
        <v/>
      </c>
      <c r="G76" s="18" t="str">
        <f aca="false">IF(D76="","",IF(CFG_Metodo="Promedio",F76,E76))</f>
        <v/>
      </c>
      <c r="H76" s="19" t="str">
        <f aca="false">IF(G76="","",IF(C76="unidad",G76,G76*1000))</f>
        <v/>
      </c>
      <c r="I76" s="20" t="str">
        <f aca="false">IF(A76="","",IF(C76="","Falta unidad base",IF(D76="","Sin compras cargadas","OK")))</f>
        <v/>
      </c>
    </row>
    <row r="77" customFormat="false" ht="15" hidden="false" customHeight="false" outlineLevel="0" collapsed="false">
      <c r="A77" s="15"/>
      <c r="B77" s="15"/>
      <c r="C77" s="15"/>
      <c r="D77" s="16" t="str">
        <f aca="false">IF(A77="","",IF(COUNTIFS(Compras!$B$5:$B$2000,A77,Compras!$H$5:$H$2000,"&gt;0")=0,"",_xlfn.MAXIFS(Compras!$A$5:$A$2000,Compras!$B$5:$B$2000,A77,Compras!$H$5:$H$2000,"&gt;0")))</f>
        <v/>
      </c>
      <c r="E77" s="17" t="str">
        <f aca="false">IF(D77="","",SUMIFS(Compras!$H$5:$H$2000,Compras!$B$5:$B$2000,A77,Compras!$A$5:$A$2000,D77,Compras!$H$5:$H$2000,"&gt;0")/COUNTIFS(Compras!$B$5:$B$2000,A77,Compras!$A$5:$A$2000,D77,Compras!$H$5:$H$2000,"&gt;0"))</f>
        <v/>
      </c>
      <c r="F77" s="17" t="str">
        <f aca="false">IF(D77="","",SUMIFS(Compras!$F$5:$F$2000,Compras!$B$5:$B$2000,A77,Compras!$H$5:$H$2000,"&gt;0")/SUMIFS(Compras!$G$5:$G$2000,Compras!$B$5:$B$2000,A77,Compras!$H$5:$H$2000,"&gt;0"))</f>
        <v/>
      </c>
      <c r="G77" s="18" t="str">
        <f aca="false">IF(D77="","",IF(CFG_Metodo="Promedio",F77,E77))</f>
        <v/>
      </c>
      <c r="H77" s="19" t="str">
        <f aca="false">IF(G77="","",IF(C77="unidad",G77,G77*1000))</f>
        <v/>
      </c>
      <c r="I77" s="20" t="str">
        <f aca="false">IF(A77="","",IF(C77="","Falta unidad base",IF(D77="","Sin compras cargadas","OK")))</f>
        <v/>
      </c>
    </row>
    <row r="78" customFormat="false" ht="15" hidden="false" customHeight="false" outlineLevel="0" collapsed="false">
      <c r="A78" s="15"/>
      <c r="B78" s="15"/>
      <c r="C78" s="15"/>
      <c r="D78" s="16" t="str">
        <f aca="false">IF(A78="","",IF(COUNTIFS(Compras!$B$5:$B$2000,A78,Compras!$H$5:$H$2000,"&gt;0")=0,"",_xlfn.MAXIFS(Compras!$A$5:$A$2000,Compras!$B$5:$B$2000,A78,Compras!$H$5:$H$2000,"&gt;0")))</f>
        <v/>
      </c>
      <c r="E78" s="17" t="str">
        <f aca="false">IF(D78="","",SUMIFS(Compras!$H$5:$H$2000,Compras!$B$5:$B$2000,A78,Compras!$A$5:$A$2000,D78,Compras!$H$5:$H$2000,"&gt;0")/COUNTIFS(Compras!$B$5:$B$2000,A78,Compras!$A$5:$A$2000,D78,Compras!$H$5:$H$2000,"&gt;0"))</f>
        <v/>
      </c>
      <c r="F78" s="17" t="str">
        <f aca="false">IF(D78="","",SUMIFS(Compras!$F$5:$F$2000,Compras!$B$5:$B$2000,A78,Compras!$H$5:$H$2000,"&gt;0")/SUMIFS(Compras!$G$5:$G$2000,Compras!$B$5:$B$2000,A78,Compras!$H$5:$H$2000,"&gt;0"))</f>
        <v/>
      </c>
      <c r="G78" s="18" t="str">
        <f aca="false">IF(D78="","",IF(CFG_Metodo="Promedio",F78,E78))</f>
        <v/>
      </c>
      <c r="H78" s="19" t="str">
        <f aca="false">IF(G78="","",IF(C78="unidad",G78,G78*1000))</f>
        <v/>
      </c>
      <c r="I78" s="20" t="str">
        <f aca="false">IF(A78="","",IF(C78="","Falta unidad base",IF(D78="","Sin compras cargadas","OK")))</f>
        <v/>
      </c>
    </row>
    <row r="79" customFormat="false" ht="15" hidden="false" customHeight="false" outlineLevel="0" collapsed="false">
      <c r="A79" s="15"/>
      <c r="B79" s="15"/>
      <c r="C79" s="15"/>
      <c r="D79" s="16" t="str">
        <f aca="false">IF(A79="","",IF(COUNTIFS(Compras!$B$5:$B$2000,A79,Compras!$H$5:$H$2000,"&gt;0")=0,"",_xlfn.MAXIFS(Compras!$A$5:$A$2000,Compras!$B$5:$B$2000,A79,Compras!$H$5:$H$2000,"&gt;0")))</f>
        <v/>
      </c>
      <c r="E79" s="17" t="str">
        <f aca="false">IF(D79="","",SUMIFS(Compras!$H$5:$H$2000,Compras!$B$5:$B$2000,A79,Compras!$A$5:$A$2000,D79,Compras!$H$5:$H$2000,"&gt;0")/COUNTIFS(Compras!$B$5:$B$2000,A79,Compras!$A$5:$A$2000,D79,Compras!$H$5:$H$2000,"&gt;0"))</f>
        <v/>
      </c>
      <c r="F79" s="17" t="str">
        <f aca="false">IF(D79="","",SUMIFS(Compras!$F$5:$F$2000,Compras!$B$5:$B$2000,A79,Compras!$H$5:$H$2000,"&gt;0")/SUMIFS(Compras!$G$5:$G$2000,Compras!$B$5:$B$2000,A79,Compras!$H$5:$H$2000,"&gt;0"))</f>
        <v/>
      </c>
      <c r="G79" s="18" t="str">
        <f aca="false">IF(D79="","",IF(CFG_Metodo="Promedio",F79,E79))</f>
        <v/>
      </c>
      <c r="H79" s="19" t="str">
        <f aca="false">IF(G79="","",IF(C79="unidad",G79,G79*1000))</f>
        <v/>
      </c>
      <c r="I79" s="20" t="str">
        <f aca="false">IF(A79="","",IF(C79="","Falta unidad base",IF(D79="","Sin compras cargadas","OK")))</f>
        <v/>
      </c>
    </row>
    <row r="80" customFormat="false" ht="15" hidden="false" customHeight="false" outlineLevel="0" collapsed="false">
      <c r="A80" s="15"/>
      <c r="B80" s="15"/>
      <c r="C80" s="15"/>
      <c r="D80" s="16" t="str">
        <f aca="false">IF(A80="","",IF(COUNTIFS(Compras!$B$5:$B$2000,A80,Compras!$H$5:$H$2000,"&gt;0")=0,"",_xlfn.MAXIFS(Compras!$A$5:$A$2000,Compras!$B$5:$B$2000,A80,Compras!$H$5:$H$2000,"&gt;0")))</f>
        <v/>
      </c>
      <c r="E80" s="17" t="str">
        <f aca="false">IF(D80="","",SUMIFS(Compras!$H$5:$H$2000,Compras!$B$5:$B$2000,A80,Compras!$A$5:$A$2000,D80,Compras!$H$5:$H$2000,"&gt;0")/COUNTIFS(Compras!$B$5:$B$2000,A80,Compras!$A$5:$A$2000,D80,Compras!$H$5:$H$2000,"&gt;0"))</f>
        <v/>
      </c>
      <c r="F80" s="17" t="str">
        <f aca="false">IF(D80="","",SUMIFS(Compras!$F$5:$F$2000,Compras!$B$5:$B$2000,A80,Compras!$H$5:$H$2000,"&gt;0")/SUMIFS(Compras!$G$5:$G$2000,Compras!$B$5:$B$2000,A80,Compras!$H$5:$H$2000,"&gt;0"))</f>
        <v/>
      </c>
      <c r="G80" s="18" t="str">
        <f aca="false">IF(D80="","",IF(CFG_Metodo="Promedio",F80,E80))</f>
        <v/>
      </c>
      <c r="H80" s="19" t="str">
        <f aca="false">IF(G80="","",IF(C80="unidad",G80,G80*1000))</f>
        <v/>
      </c>
      <c r="I80" s="20" t="str">
        <f aca="false">IF(A80="","",IF(C80="","Falta unidad base",IF(D80="","Sin compras cargadas","OK")))</f>
        <v/>
      </c>
    </row>
    <row r="81" customFormat="false" ht="15" hidden="false" customHeight="false" outlineLevel="0" collapsed="false">
      <c r="A81" s="15"/>
      <c r="B81" s="15"/>
      <c r="C81" s="15"/>
      <c r="D81" s="16" t="str">
        <f aca="false">IF(A81="","",IF(COUNTIFS(Compras!$B$5:$B$2000,A81,Compras!$H$5:$H$2000,"&gt;0")=0,"",_xlfn.MAXIFS(Compras!$A$5:$A$2000,Compras!$B$5:$B$2000,A81,Compras!$H$5:$H$2000,"&gt;0")))</f>
        <v/>
      </c>
      <c r="E81" s="17" t="str">
        <f aca="false">IF(D81="","",SUMIFS(Compras!$H$5:$H$2000,Compras!$B$5:$B$2000,A81,Compras!$A$5:$A$2000,D81,Compras!$H$5:$H$2000,"&gt;0")/COUNTIFS(Compras!$B$5:$B$2000,A81,Compras!$A$5:$A$2000,D81,Compras!$H$5:$H$2000,"&gt;0"))</f>
        <v/>
      </c>
      <c r="F81" s="17" t="str">
        <f aca="false">IF(D81="","",SUMIFS(Compras!$F$5:$F$2000,Compras!$B$5:$B$2000,A81,Compras!$H$5:$H$2000,"&gt;0")/SUMIFS(Compras!$G$5:$G$2000,Compras!$B$5:$B$2000,A81,Compras!$H$5:$H$2000,"&gt;0"))</f>
        <v/>
      </c>
      <c r="G81" s="18" t="str">
        <f aca="false">IF(D81="","",IF(CFG_Metodo="Promedio",F81,E81))</f>
        <v/>
      </c>
      <c r="H81" s="19" t="str">
        <f aca="false">IF(G81="","",IF(C81="unidad",G81,G81*1000))</f>
        <v/>
      </c>
      <c r="I81" s="20" t="str">
        <f aca="false">IF(A81="","",IF(C81="","Falta unidad base",IF(D81="","Sin compras cargadas","OK")))</f>
        <v/>
      </c>
    </row>
    <row r="82" customFormat="false" ht="15" hidden="false" customHeight="false" outlineLevel="0" collapsed="false">
      <c r="A82" s="15"/>
      <c r="B82" s="15"/>
      <c r="C82" s="15"/>
      <c r="D82" s="16" t="str">
        <f aca="false">IF(A82="","",IF(COUNTIFS(Compras!$B$5:$B$2000,A82,Compras!$H$5:$H$2000,"&gt;0")=0,"",_xlfn.MAXIFS(Compras!$A$5:$A$2000,Compras!$B$5:$B$2000,A82,Compras!$H$5:$H$2000,"&gt;0")))</f>
        <v/>
      </c>
      <c r="E82" s="17" t="str">
        <f aca="false">IF(D82="","",SUMIFS(Compras!$H$5:$H$2000,Compras!$B$5:$B$2000,A82,Compras!$A$5:$A$2000,D82,Compras!$H$5:$H$2000,"&gt;0")/COUNTIFS(Compras!$B$5:$B$2000,A82,Compras!$A$5:$A$2000,D82,Compras!$H$5:$H$2000,"&gt;0"))</f>
        <v/>
      </c>
      <c r="F82" s="17" t="str">
        <f aca="false">IF(D82="","",SUMIFS(Compras!$F$5:$F$2000,Compras!$B$5:$B$2000,A82,Compras!$H$5:$H$2000,"&gt;0")/SUMIFS(Compras!$G$5:$G$2000,Compras!$B$5:$B$2000,A82,Compras!$H$5:$H$2000,"&gt;0"))</f>
        <v/>
      </c>
      <c r="G82" s="18" t="str">
        <f aca="false">IF(D82="","",IF(CFG_Metodo="Promedio",F82,E82))</f>
        <v/>
      </c>
      <c r="H82" s="19" t="str">
        <f aca="false">IF(G82="","",IF(C82="unidad",G82,G82*1000))</f>
        <v/>
      </c>
      <c r="I82" s="20" t="str">
        <f aca="false">IF(A82="","",IF(C82="","Falta unidad base",IF(D82="","Sin compras cargadas","OK")))</f>
        <v/>
      </c>
    </row>
    <row r="83" customFormat="false" ht="15" hidden="false" customHeight="false" outlineLevel="0" collapsed="false">
      <c r="A83" s="15"/>
      <c r="B83" s="15"/>
      <c r="C83" s="15"/>
      <c r="D83" s="16" t="str">
        <f aca="false">IF(A83="","",IF(COUNTIFS(Compras!$B$5:$B$2000,A83,Compras!$H$5:$H$2000,"&gt;0")=0,"",_xlfn.MAXIFS(Compras!$A$5:$A$2000,Compras!$B$5:$B$2000,A83,Compras!$H$5:$H$2000,"&gt;0")))</f>
        <v/>
      </c>
      <c r="E83" s="17" t="str">
        <f aca="false">IF(D83="","",SUMIFS(Compras!$H$5:$H$2000,Compras!$B$5:$B$2000,A83,Compras!$A$5:$A$2000,D83,Compras!$H$5:$H$2000,"&gt;0")/COUNTIFS(Compras!$B$5:$B$2000,A83,Compras!$A$5:$A$2000,D83,Compras!$H$5:$H$2000,"&gt;0"))</f>
        <v/>
      </c>
      <c r="F83" s="17" t="str">
        <f aca="false">IF(D83="","",SUMIFS(Compras!$F$5:$F$2000,Compras!$B$5:$B$2000,A83,Compras!$H$5:$H$2000,"&gt;0")/SUMIFS(Compras!$G$5:$G$2000,Compras!$B$5:$B$2000,A83,Compras!$H$5:$H$2000,"&gt;0"))</f>
        <v/>
      </c>
      <c r="G83" s="18" t="str">
        <f aca="false">IF(D83="","",IF(CFG_Metodo="Promedio",F83,E83))</f>
        <v/>
      </c>
      <c r="H83" s="19" t="str">
        <f aca="false">IF(G83="","",IF(C83="unidad",G83,G83*1000))</f>
        <v/>
      </c>
      <c r="I83" s="20" t="str">
        <f aca="false">IF(A83="","",IF(C83="","Falta unidad base",IF(D83="","Sin compras cargadas","OK")))</f>
        <v/>
      </c>
    </row>
    <row r="84" customFormat="false" ht="15" hidden="false" customHeight="false" outlineLevel="0" collapsed="false">
      <c r="A84" s="15"/>
      <c r="B84" s="15"/>
      <c r="C84" s="15"/>
      <c r="D84" s="16" t="str">
        <f aca="false">IF(A84="","",IF(COUNTIFS(Compras!$B$5:$B$2000,A84,Compras!$H$5:$H$2000,"&gt;0")=0,"",_xlfn.MAXIFS(Compras!$A$5:$A$2000,Compras!$B$5:$B$2000,A84,Compras!$H$5:$H$2000,"&gt;0")))</f>
        <v/>
      </c>
      <c r="E84" s="17" t="str">
        <f aca="false">IF(D84="","",SUMIFS(Compras!$H$5:$H$2000,Compras!$B$5:$B$2000,A84,Compras!$A$5:$A$2000,D84,Compras!$H$5:$H$2000,"&gt;0")/COUNTIFS(Compras!$B$5:$B$2000,A84,Compras!$A$5:$A$2000,D84,Compras!$H$5:$H$2000,"&gt;0"))</f>
        <v/>
      </c>
      <c r="F84" s="17" t="str">
        <f aca="false">IF(D84="","",SUMIFS(Compras!$F$5:$F$2000,Compras!$B$5:$B$2000,A84,Compras!$H$5:$H$2000,"&gt;0")/SUMIFS(Compras!$G$5:$G$2000,Compras!$B$5:$B$2000,A84,Compras!$H$5:$H$2000,"&gt;0"))</f>
        <v/>
      </c>
      <c r="G84" s="18" t="str">
        <f aca="false">IF(D84="","",IF(CFG_Metodo="Promedio",F84,E84))</f>
        <v/>
      </c>
      <c r="H84" s="19" t="str">
        <f aca="false">IF(G84="","",IF(C84="unidad",G84,G84*1000))</f>
        <v/>
      </c>
      <c r="I84" s="20" t="str">
        <f aca="false">IF(A84="","",IF(C84="","Falta unidad base",IF(D84="","Sin compras cargadas","OK")))</f>
        <v/>
      </c>
    </row>
    <row r="85" customFormat="false" ht="15" hidden="false" customHeight="false" outlineLevel="0" collapsed="false">
      <c r="A85" s="15"/>
      <c r="B85" s="15"/>
      <c r="C85" s="15"/>
      <c r="D85" s="16" t="str">
        <f aca="false">IF(A85="","",IF(COUNTIFS(Compras!$B$5:$B$2000,A85,Compras!$H$5:$H$2000,"&gt;0")=0,"",_xlfn.MAXIFS(Compras!$A$5:$A$2000,Compras!$B$5:$B$2000,A85,Compras!$H$5:$H$2000,"&gt;0")))</f>
        <v/>
      </c>
      <c r="E85" s="17" t="str">
        <f aca="false">IF(D85="","",SUMIFS(Compras!$H$5:$H$2000,Compras!$B$5:$B$2000,A85,Compras!$A$5:$A$2000,D85,Compras!$H$5:$H$2000,"&gt;0")/COUNTIFS(Compras!$B$5:$B$2000,A85,Compras!$A$5:$A$2000,D85,Compras!$H$5:$H$2000,"&gt;0"))</f>
        <v/>
      </c>
      <c r="F85" s="17" t="str">
        <f aca="false">IF(D85="","",SUMIFS(Compras!$F$5:$F$2000,Compras!$B$5:$B$2000,A85,Compras!$H$5:$H$2000,"&gt;0")/SUMIFS(Compras!$G$5:$G$2000,Compras!$B$5:$B$2000,A85,Compras!$H$5:$H$2000,"&gt;0"))</f>
        <v/>
      </c>
      <c r="G85" s="18" t="str">
        <f aca="false">IF(D85="","",IF(CFG_Metodo="Promedio",F85,E85))</f>
        <v/>
      </c>
      <c r="H85" s="19" t="str">
        <f aca="false">IF(G85="","",IF(C85="unidad",G85,G85*1000))</f>
        <v/>
      </c>
      <c r="I85" s="20" t="str">
        <f aca="false">IF(A85="","",IF(C85="","Falta unidad base",IF(D85="","Sin compras cargadas","OK")))</f>
        <v/>
      </c>
    </row>
    <row r="86" customFormat="false" ht="15" hidden="false" customHeight="false" outlineLevel="0" collapsed="false">
      <c r="A86" s="15"/>
      <c r="B86" s="15"/>
      <c r="C86" s="15"/>
      <c r="D86" s="16" t="str">
        <f aca="false">IF(A86="","",IF(COUNTIFS(Compras!$B$5:$B$2000,A86,Compras!$H$5:$H$2000,"&gt;0")=0,"",_xlfn.MAXIFS(Compras!$A$5:$A$2000,Compras!$B$5:$B$2000,A86,Compras!$H$5:$H$2000,"&gt;0")))</f>
        <v/>
      </c>
      <c r="E86" s="17" t="str">
        <f aca="false">IF(D86="","",SUMIFS(Compras!$H$5:$H$2000,Compras!$B$5:$B$2000,A86,Compras!$A$5:$A$2000,D86,Compras!$H$5:$H$2000,"&gt;0")/COUNTIFS(Compras!$B$5:$B$2000,A86,Compras!$A$5:$A$2000,D86,Compras!$H$5:$H$2000,"&gt;0"))</f>
        <v/>
      </c>
      <c r="F86" s="17" t="str">
        <f aca="false">IF(D86="","",SUMIFS(Compras!$F$5:$F$2000,Compras!$B$5:$B$2000,A86,Compras!$H$5:$H$2000,"&gt;0")/SUMIFS(Compras!$G$5:$G$2000,Compras!$B$5:$B$2000,A86,Compras!$H$5:$H$2000,"&gt;0"))</f>
        <v/>
      </c>
      <c r="G86" s="18" t="str">
        <f aca="false">IF(D86="","",IF(CFG_Metodo="Promedio",F86,E86))</f>
        <v/>
      </c>
      <c r="H86" s="19" t="str">
        <f aca="false">IF(G86="","",IF(C86="unidad",G86,G86*1000))</f>
        <v/>
      </c>
      <c r="I86" s="20" t="str">
        <f aca="false">IF(A86="","",IF(C86="","Falta unidad base",IF(D86="","Sin compras cargadas","OK")))</f>
        <v/>
      </c>
    </row>
    <row r="87" customFormat="false" ht="15" hidden="false" customHeight="false" outlineLevel="0" collapsed="false">
      <c r="A87" s="15"/>
      <c r="B87" s="15"/>
      <c r="C87" s="15"/>
      <c r="D87" s="16" t="str">
        <f aca="false">IF(A87="","",IF(COUNTIFS(Compras!$B$5:$B$2000,A87,Compras!$H$5:$H$2000,"&gt;0")=0,"",_xlfn.MAXIFS(Compras!$A$5:$A$2000,Compras!$B$5:$B$2000,A87,Compras!$H$5:$H$2000,"&gt;0")))</f>
        <v/>
      </c>
      <c r="E87" s="17" t="str">
        <f aca="false">IF(D87="","",SUMIFS(Compras!$H$5:$H$2000,Compras!$B$5:$B$2000,A87,Compras!$A$5:$A$2000,D87,Compras!$H$5:$H$2000,"&gt;0")/COUNTIFS(Compras!$B$5:$B$2000,A87,Compras!$A$5:$A$2000,D87,Compras!$H$5:$H$2000,"&gt;0"))</f>
        <v/>
      </c>
      <c r="F87" s="17" t="str">
        <f aca="false">IF(D87="","",SUMIFS(Compras!$F$5:$F$2000,Compras!$B$5:$B$2000,A87,Compras!$H$5:$H$2000,"&gt;0")/SUMIFS(Compras!$G$5:$G$2000,Compras!$B$5:$B$2000,A87,Compras!$H$5:$H$2000,"&gt;0"))</f>
        <v/>
      </c>
      <c r="G87" s="18" t="str">
        <f aca="false">IF(D87="","",IF(CFG_Metodo="Promedio",F87,E87))</f>
        <v/>
      </c>
      <c r="H87" s="19" t="str">
        <f aca="false">IF(G87="","",IF(C87="unidad",G87,G87*1000))</f>
        <v/>
      </c>
      <c r="I87" s="20" t="str">
        <f aca="false">IF(A87="","",IF(C87="","Falta unidad base",IF(D87="","Sin compras cargadas","OK")))</f>
        <v/>
      </c>
    </row>
    <row r="88" customFormat="false" ht="15" hidden="false" customHeight="false" outlineLevel="0" collapsed="false">
      <c r="A88" s="15"/>
      <c r="B88" s="15"/>
      <c r="C88" s="15"/>
      <c r="D88" s="16" t="str">
        <f aca="false">IF(A88="","",IF(COUNTIFS(Compras!$B$5:$B$2000,A88,Compras!$H$5:$H$2000,"&gt;0")=0,"",_xlfn.MAXIFS(Compras!$A$5:$A$2000,Compras!$B$5:$B$2000,A88,Compras!$H$5:$H$2000,"&gt;0")))</f>
        <v/>
      </c>
      <c r="E88" s="17" t="str">
        <f aca="false">IF(D88="","",SUMIFS(Compras!$H$5:$H$2000,Compras!$B$5:$B$2000,A88,Compras!$A$5:$A$2000,D88,Compras!$H$5:$H$2000,"&gt;0")/COUNTIFS(Compras!$B$5:$B$2000,A88,Compras!$A$5:$A$2000,D88,Compras!$H$5:$H$2000,"&gt;0"))</f>
        <v/>
      </c>
      <c r="F88" s="17" t="str">
        <f aca="false">IF(D88="","",SUMIFS(Compras!$F$5:$F$2000,Compras!$B$5:$B$2000,A88,Compras!$H$5:$H$2000,"&gt;0")/SUMIFS(Compras!$G$5:$G$2000,Compras!$B$5:$B$2000,A88,Compras!$H$5:$H$2000,"&gt;0"))</f>
        <v/>
      </c>
      <c r="G88" s="18" t="str">
        <f aca="false">IF(D88="","",IF(CFG_Metodo="Promedio",F88,E88))</f>
        <v/>
      </c>
      <c r="H88" s="19" t="str">
        <f aca="false">IF(G88="","",IF(C88="unidad",G88,G88*1000))</f>
        <v/>
      </c>
      <c r="I88" s="20" t="str">
        <f aca="false">IF(A88="","",IF(C88="","Falta unidad base",IF(D88="","Sin compras cargadas","OK")))</f>
        <v/>
      </c>
    </row>
    <row r="89" customFormat="false" ht="15" hidden="false" customHeight="false" outlineLevel="0" collapsed="false">
      <c r="A89" s="15"/>
      <c r="B89" s="15"/>
      <c r="C89" s="15"/>
      <c r="D89" s="16" t="str">
        <f aca="false">IF(A89="","",IF(COUNTIFS(Compras!$B$5:$B$2000,A89,Compras!$H$5:$H$2000,"&gt;0")=0,"",_xlfn.MAXIFS(Compras!$A$5:$A$2000,Compras!$B$5:$B$2000,A89,Compras!$H$5:$H$2000,"&gt;0")))</f>
        <v/>
      </c>
      <c r="E89" s="17" t="str">
        <f aca="false">IF(D89="","",SUMIFS(Compras!$H$5:$H$2000,Compras!$B$5:$B$2000,A89,Compras!$A$5:$A$2000,D89,Compras!$H$5:$H$2000,"&gt;0")/COUNTIFS(Compras!$B$5:$B$2000,A89,Compras!$A$5:$A$2000,D89,Compras!$H$5:$H$2000,"&gt;0"))</f>
        <v/>
      </c>
      <c r="F89" s="17" t="str">
        <f aca="false">IF(D89="","",SUMIFS(Compras!$F$5:$F$2000,Compras!$B$5:$B$2000,A89,Compras!$H$5:$H$2000,"&gt;0")/SUMIFS(Compras!$G$5:$G$2000,Compras!$B$5:$B$2000,A89,Compras!$H$5:$H$2000,"&gt;0"))</f>
        <v/>
      </c>
      <c r="G89" s="18" t="str">
        <f aca="false">IF(D89="","",IF(CFG_Metodo="Promedio",F89,E89))</f>
        <v/>
      </c>
      <c r="H89" s="19" t="str">
        <f aca="false">IF(G89="","",IF(C89="unidad",G89,G89*1000))</f>
        <v/>
      </c>
      <c r="I89" s="20" t="str">
        <f aca="false">IF(A89="","",IF(C89="","Falta unidad base",IF(D89="","Sin compras cargadas","OK")))</f>
        <v/>
      </c>
    </row>
    <row r="90" customFormat="false" ht="15" hidden="false" customHeight="false" outlineLevel="0" collapsed="false">
      <c r="A90" s="15"/>
      <c r="B90" s="15"/>
      <c r="C90" s="15"/>
      <c r="D90" s="16" t="str">
        <f aca="false">IF(A90="","",IF(COUNTIFS(Compras!$B$5:$B$2000,A90,Compras!$H$5:$H$2000,"&gt;0")=0,"",_xlfn.MAXIFS(Compras!$A$5:$A$2000,Compras!$B$5:$B$2000,A90,Compras!$H$5:$H$2000,"&gt;0")))</f>
        <v/>
      </c>
      <c r="E90" s="17" t="str">
        <f aca="false">IF(D90="","",SUMIFS(Compras!$H$5:$H$2000,Compras!$B$5:$B$2000,A90,Compras!$A$5:$A$2000,D90,Compras!$H$5:$H$2000,"&gt;0")/COUNTIFS(Compras!$B$5:$B$2000,A90,Compras!$A$5:$A$2000,D90,Compras!$H$5:$H$2000,"&gt;0"))</f>
        <v/>
      </c>
      <c r="F90" s="17" t="str">
        <f aca="false">IF(D90="","",SUMIFS(Compras!$F$5:$F$2000,Compras!$B$5:$B$2000,A90,Compras!$H$5:$H$2000,"&gt;0")/SUMIFS(Compras!$G$5:$G$2000,Compras!$B$5:$B$2000,A90,Compras!$H$5:$H$2000,"&gt;0"))</f>
        <v/>
      </c>
      <c r="G90" s="18" t="str">
        <f aca="false">IF(D90="","",IF(CFG_Metodo="Promedio",F90,E90))</f>
        <v/>
      </c>
      <c r="H90" s="19" t="str">
        <f aca="false">IF(G90="","",IF(C90="unidad",G90,G90*1000))</f>
        <v/>
      </c>
      <c r="I90" s="20" t="str">
        <f aca="false">IF(A90="","",IF(C90="","Falta unidad base",IF(D90="","Sin compras cargadas","OK")))</f>
        <v/>
      </c>
    </row>
    <row r="91" customFormat="false" ht="15" hidden="false" customHeight="false" outlineLevel="0" collapsed="false">
      <c r="A91" s="15"/>
      <c r="B91" s="15"/>
      <c r="C91" s="15"/>
      <c r="D91" s="16" t="str">
        <f aca="false">IF(A91="","",IF(COUNTIFS(Compras!$B$5:$B$2000,A91,Compras!$H$5:$H$2000,"&gt;0")=0,"",_xlfn.MAXIFS(Compras!$A$5:$A$2000,Compras!$B$5:$B$2000,A91,Compras!$H$5:$H$2000,"&gt;0")))</f>
        <v/>
      </c>
      <c r="E91" s="17" t="str">
        <f aca="false">IF(D91="","",SUMIFS(Compras!$H$5:$H$2000,Compras!$B$5:$B$2000,A91,Compras!$A$5:$A$2000,D91,Compras!$H$5:$H$2000,"&gt;0")/COUNTIFS(Compras!$B$5:$B$2000,A91,Compras!$A$5:$A$2000,D91,Compras!$H$5:$H$2000,"&gt;0"))</f>
        <v/>
      </c>
      <c r="F91" s="17" t="str">
        <f aca="false">IF(D91="","",SUMIFS(Compras!$F$5:$F$2000,Compras!$B$5:$B$2000,A91,Compras!$H$5:$H$2000,"&gt;0")/SUMIFS(Compras!$G$5:$G$2000,Compras!$B$5:$B$2000,A91,Compras!$H$5:$H$2000,"&gt;0"))</f>
        <v/>
      </c>
      <c r="G91" s="18" t="str">
        <f aca="false">IF(D91="","",IF(CFG_Metodo="Promedio",F91,E91))</f>
        <v/>
      </c>
      <c r="H91" s="19" t="str">
        <f aca="false">IF(G91="","",IF(C91="unidad",G91,G91*1000))</f>
        <v/>
      </c>
      <c r="I91" s="20" t="str">
        <f aca="false">IF(A91="","",IF(C91="","Falta unidad base",IF(D91="","Sin compras cargadas","OK")))</f>
        <v/>
      </c>
    </row>
    <row r="92" customFormat="false" ht="15" hidden="false" customHeight="false" outlineLevel="0" collapsed="false">
      <c r="A92" s="15"/>
      <c r="B92" s="15"/>
      <c r="C92" s="15"/>
      <c r="D92" s="16" t="str">
        <f aca="false">IF(A92="","",IF(COUNTIFS(Compras!$B$5:$B$2000,A92,Compras!$H$5:$H$2000,"&gt;0")=0,"",_xlfn.MAXIFS(Compras!$A$5:$A$2000,Compras!$B$5:$B$2000,A92,Compras!$H$5:$H$2000,"&gt;0")))</f>
        <v/>
      </c>
      <c r="E92" s="17" t="str">
        <f aca="false">IF(D92="","",SUMIFS(Compras!$H$5:$H$2000,Compras!$B$5:$B$2000,A92,Compras!$A$5:$A$2000,D92,Compras!$H$5:$H$2000,"&gt;0")/COUNTIFS(Compras!$B$5:$B$2000,A92,Compras!$A$5:$A$2000,D92,Compras!$H$5:$H$2000,"&gt;0"))</f>
        <v/>
      </c>
      <c r="F92" s="17" t="str">
        <f aca="false">IF(D92="","",SUMIFS(Compras!$F$5:$F$2000,Compras!$B$5:$B$2000,A92,Compras!$H$5:$H$2000,"&gt;0")/SUMIFS(Compras!$G$5:$G$2000,Compras!$B$5:$B$2000,A92,Compras!$H$5:$H$2000,"&gt;0"))</f>
        <v/>
      </c>
      <c r="G92" s="18" t="str">
        <f aca="false">IF(D92="","",IF(CFG_Metodo="Promedio",F92,E92))</f>
        <v/>
      </c>
      <c r="H92" s="19" t="str">
        <f aca="false">IF(G92="","",IF(C92="unidad",G92,G92*1000))</f>
        <v/>
      </c>
      <c r="I92" s="20" t="str">
        <f aca="false">IF(A92="","",IF(C92="","Falta unidad base",IF(D92="","Sin compras cargadas","OK")))</f>
        <v/>
      </c>
    </row>
    <row r="93" customFormat="false" ht="15" hidden="false" customHeight="false" outlineLevel="0" collapsed="false">
      <c r="A93" s="15"/>
      <c r="B93" s="15"/>
      <c r="C93" s="15"/>
      <c r="D93" s="16" t="str">
        <f aca="false">IF(A93="","",IF(COUNTIFS(Compras!$B$5:$B$2000,A93,Compras!$H$5:$H$2000,"&gt;0")=0,"",_xlfn.MAXIFS(Compras!$A$5:$A$2000,Compras!$B$5:$B$2000,A93,Compras!$H$5:$H$2000,"&gt;0")))</f>
        <v/>
      </c>
      <c r="E93" s="17" t="str">
        <f aca="false">IF(D93="","",SUMIFS(Compras!$H$5:$H$2000,Compras!$B$5:$B$2000,A93,Compras!$A$5:$A$2000,D93,Compras!$H$5:$H$2000,"&gt;0")/COUNTIFS(Compras!$B$5:$B$2000,A93,Compras!$A$5:$A$2000,D93,Compras!$H$5:$H$2000,"&gt;0"))</f>
        <v/>
      </c>
      <c r="F93" s="17" t="str">
        <f aca="false">IF(D93="","",SUMIFS(Compras!$F$5:$F$2000,Compras!$B$5:$B$2000,A93,Compras!$H$5:$H$2000,"&gt;0")/SUMIFS(Compras!$G$5:$G$2000,Compras!$B$5:$B$2000,A93,Compras!$H$5:$H$2000,"&gt;0"))</f>
        <v/>
      </c>
      <c r="G93" s="18" t="str">
        <f aca="false">IF(D93="","",IF(CFG_Metodo="Promedio",F93,E93))</f>
        <v/>
      </c>
      <c r="H93" s="19" t="str">
        <f aca="false">IF(G93="","",IF(C93="unidad",G93,G93*1000))</f>
        <v/>
      </c>
      <c r="I93" s="20" t="str">
        <f aca="false">IF(A93="","",IF(C93="","Falta unidad base",IF(D93="","Sin compras cargadas","OK")))</f>
        <v/>
      </c>
    </row>
    <row r="94" customFormat="false" ht="15" hidden="false" customHeight="false" outlineLevel="0" collapsed="false">
      <c r="A94" s="15"/>
      <c r="B94" s="15"/>
      <c r="C94" s="15"/>
      <c r="D94" s="16" t="str">
        <f aca="false">IF(A94="","",IF(COUNTIFS(Compras!$B$5:$B$2000,A94,Compras!$H$5:$H$2000,"&gt;0")=0,"",_xlfn.MAXIFS(Compras!$A$5:$A$2000,Compras!$B$5:$B$2000,A94,Compras!$H$5:$H$2000,"&gt;0")))</f>
        <v/>
      </c>
      <c r="E94" s="17" t="str">
        <f aca="false">IF(D94="","",SUMIFS(Compras!$H$5:$H$2000,Compras!$B$5:$B$2000,A94,Compras!$A$5:$A$2000,D94,Compras!$H$5:$H$2000,"&gt;0")/COUNTIFS(Compras!$B$5:$B$2000,A94,Compras!$A$5:$A$2000,D94,Compras!$H$5:$H$2000,"&gt;0"))</f>
        <v/>
      </c>
      <c r="F94" s="17" t="str">
        <f aca="false">IF(D94="","",SUMIFS(Compras!$F$5:$F$2000,Compras!$B$5:$B$2000,A94,Compras!$H$5:$H$2000,"&gt;0")/SUMIFS(Compras!$G$5:$G$2000,Compras!$B$5:$B$2000,A94,Compras!$H$5:$H$2000,"&gt;0"))</f>
        <v/>
      </c>
      <c r="G94" s="18" t="str">
        <f aca="false">IF(D94="","",IF(CFG_Metodo="Promedio",F94,E94))</f>
        <v/>
      </c>
      <c r="H94" s="19" t="str">
        <f aca="false">IF(G94="","",IF(C94="unidad",G94,G94*1000))</f>
        <v/>
      </c>
      <c r="I94" s="20" t="str">
        <f aca="false">IF(A94="","",IF(C94="","Falta unidad base",IF(D94="","Sin compras cargadas","OK")))</f>
        <v/>
      </c>
    </row>
    <row r="95" customFormat="false" ht="15" hidden="false" customHeight="false" outlineLevel="0" collapsed="false">
      <c r="A95" s="15"/>
      <c r="B95" s="15"/>
      <c r="C95" s="15"/>
      <c r="D95" s="16" t="str">
        <f aca="false">IF(A95="","",IF(COUNTIFS(Compras!$B$5:$B$2000,A95,Compras!$H$5:$H$2000,"&gt;0")=0,"",_xlfn.MAXIFS(Compras!$A$5:$A$2000,Compras!$B$5:$B$2000,A95,Compras!$H$5:$H$2000,"&gt;0")))</f>
        <v/>
      </c>
      <c r="E95" s="17" t="str">
        <f aca="false">IF(D95="","",SUMIFS(Compras!$H$5:$H$2000,Compras!$B$5:$B$2000,A95,Compras!$A$5:$A$2000,D95,Compras!$H$5:$H$2000,"&gt;0")/COUNTIFS(Compras!$B$5:$B$2000,A95,Compras!$A$5:$A$2000,D95,Compras!$H$5:$H$2000,"&gt;0"))</f>
        <v/>
      </c>
      <c r="F95" s="17" t="str">
        <f aca="false">IF(D95="","",SUMIFS(Compras!$F$5:$F$2000,Compras!$B$5:$B$2000,A95,Compras!$H$5:$H$2000,"&gt;0")/SUMIFS(Compras!$G$5:$G$2000,Compras!$B$5:$B$2000,A95,Compras!$H$5:$H$2000,"&gt;0"))</f>
        <v/>
      </c>
      <c r="G95" s="18" t="str">
        <f aca="false">IF(D95="","",IF(CFG_Metodo="Promedio",F95,E95))</f>
        <v/>
      </c>
      <c r="H95" s="19" t="str">
        <f aca="false">IF(G95="","",IF(C95="unidad",G95,G95*1000))</f>
        <v/>
      </c>
      <c r="I95" s="20" t="str">
        <f aca="false">IF(A95="","",IF(C95="","Falta unidad base",IF(D95="","Sin compras cargadas","OK")))</f>
        <v/>
      </c>
    </row>
    <row r="96" customFormat="false" ht="15" hidden="false" customHeight="false" outlineLevel="0" collapsed="false">
      <c r="A96" s="15"/>
      <c r="B96" s="15"/>
      <c r="C96" s="15"/>
      <c r="D96" s="16" t="str">
        <f aca="false">IF(A96="","",IF(COUNTIFS(Compras!$B$5:$B$2000,A96,Compras!$H$5:$H$2000,"&gt;0")=0,"",_xlfn.MAXIFS(Compras!$A$5:$A$2000,Compras!$B$5:$B$2000,A96,Compras!$H$5:$H$2000,"&gt;0")))</f>
        <v/>
      </c>
      <c r="E96" s="17" t="str">
        <f aca="false">IF(D96="","",SUMIFS(Compras!$H$5:$H$2000,Compras!$B$5:$B$2000,A96,Compras!$A$5:$A$2000,D96,Compras!$H$5:$H$2000,"&gt;0")/COUNTIFS(Compras!$B$5:$B$2000,A96,Compras!$A$5:$A$2000,D96,Compras!$H$5:$H$2000,"&gt;0"))</f>
        <v/>
      </c>
      <c r="F96" s="17" t="str">
        <f aca="false">IF(D96="","",SUMIFS(Compras!$F$5:$F$2000,Compras!$B$5:$B$2000,A96,Compras!$H$5:$H$2000,"&gt;0")/SUMIFS(Compras!$G$5:$G$2000,Compras!$B$5:$B$2000,A96,Compras!$H$5:$H$2000,"&gt;0"))</f>
        <v/>
      </c>
      <c r="G96" s="18" t="str">
        <f aca="false">IF(D96="","",IF(CFG_Metodo="Promedio",F96,E96))</f>
        <v/>
      </c>
      <c r="H96" s="19" t="str">
        <f aca="false">IF(G96="","",IF(C96="unidad",G96,G96*1000))</f>
        <v/>
      </c>
      <c r="I96" s="20" t="str">
        <f aca="false">IF(A96="","",IF(C96="","Falta unidad base",IF(D96="","Sin compras cargadas","OK")))</f>
        <v/>
      </c>
    </row>
    <row r="97" customFormat="false" ht="15" hidden="false" customHeight="false" outlineLevel="0" collapsed="false">
      <c r="A97" s="15"/>
      <c r="B97" s="15"/>
      <c r="C97" s="15"/>
      <c r="D97" s="16" t="str">
        <f aca="false">IF(A97="","",IF(COUNTIFS(Compras!$B$5:$B$2000,A97,Compras!$H$5:$H$2000,"&gt;0")=0,"",_xlfn.MAXIFS(Compras!$A$5:$A$2000,Compras!$B$5:$B$2000,A97,Compras!$H$5:$H$2000,"&gt;0")))</f>
        <v/>
      </c>
      <c r="E97" s="17" t="str">
        <f aca="false">IF(D97="","",SUMIFS(Compras!$H$5:$H$2000,Compras!$B$5:$B$2000,A97,Compras!$A$5:$A$2000,D97,Compras!$H$5:$H$2000,"&gt;0")/COUNTIFS(Compras!$B$5:$B$2000,A97,Compras!$A$5:$A$2000,D97,Compras!$H$5:$H$2000,"&gt;0"))</f>
        <v/>
      </c>
      <c r="F97" s="17" t="str">
        <f aca="false">IF(D97="","",SUMIFS(Compras!$F$5:$F$2000,Compras!$B$5:$B$2000,A97,Compras!$H$5:$H$2000,"&gt;0")/SUMIFS(Compras!$G$5:$G$2000,Compras!$B$5:$B$2000,A97,Compras!$H$5:$H$2000,"&gt;0"))</f>
        <v/>
      </c>
      <c r="G97" s="18" t="str">
        <f aca="false">IF(D97="","",IF(CFG_Metodo="Promedio",F97,E97))</f>
        <v/>
      </c>
      <c r="H97" s="19" t="str">
        <f aca="false">IF(G97="","",IF(C97="unidad",G97,G97*1000))</f>
        <v/>
      </c>
      <c r="I97" s="20" t="str">
        <f aca="false">IF(A97="","",IF(C97="","Falta unidad base",IF(D97="","Sin compras cargadas","OK")))</f>
        <v/>
      </c>
    </row>
    <row r="98" customFormat="false" ht="15" hidden="false" customHeight="false" outlineLevel="0" collapsed="false">
      <c r="A98" s="15"/>
      <c r="B98" s="15"/>
      <c r="C98" s="15"/>
      <c r="D98" s="16" t="str">
        <f aca="false">IF(A98="","",IF(COUNTIFS(Compras!$B$5:$B$2000,A98,Compras!$H$5:$H$2000,"&gt;0")=0,"",_xlfn.MAXIFS(Compras!$A$5:$A$2000,Compras!$B$5:$B$2000,A98,Compras!$H$5:$H$2000,"&gt;0")))</f>
        <v/>
      </c>
      <c r="E98" s="17" t="str">
        <f aca="false">IF(D98="","",SUMIFS(Compras!$H$5:$H$2000,Compras!$B$5:$B$2000,A98,Compras!$A$5:$A$2000,D98,Compras!$H$5:$H$2000,"&gt;0")/COUNTIFS(Compras!$B$5:$B$2000,A98,Compras!$A$5:$A$2000,D98,Compras!$H$5:$H$2000,"&gt;0"))</f>
        <v/>
      </c>
      <c r="F98" s="17" t="str">
        <f aca="false">IF(D98="","",SUMIFS(Compras!$F$5:$F$2000,Compras!$B$5:$B$2000,A98,Compras!$H$5:$H$2000,"&gt;0")/SUMIFS(Compras!$G$5:$G$2000,Compras!$B$5:$B$2000,A98,Compras!$H$5:$H$2000,"&gt;0"))</f>
        <v/>
      </c>
      <c r="G98" s="18" t="str">
        <f aca="false">IF(D98="","",IF(CFG_Metodo="Promedio",F98,E98))</f>
        <v/>
      </c>
      <c r="H98" s="19" t="str">
        <f aca="false">IF(G98="","",IF(C98="unidad",G98,G98*1000))</f>
        <v/>
      </c>
      <c r="I98" s="20" t="str">
        <f aca="false">IF(A98="","",IF(C98="","Falta unidad base",IF(D98="","Sin compras cargadas","OK")))</f>
        <v/>
      </c>
    </row>
    <row r="99" customFormat="false" ht="15" hidden="false" customHeight="false" outlineLevel="0" collapsed="false">
      <c r="A99" s="15"/>
      <c r="B99" s="15"/>
      <c r="C99" s="15"/>
      <c r="D99" s="16" t="str">
        <f aca="false">IF(A99="","",IF(COUNTIFS(Compras!$B$5:$B$2000,A99,Compras!$H$5:$H$2000,"&gt;0")=0,"",_xlfn.MAXIFS(Compras!$A$5:$A$2000,Compras!$B$5:$B$2000,A99,Compras!$H$5:$H$2000,"&gt;0")))</f>
        <v/>
      </c>
      <c r="E99" s="17" t="str">
        <f aca="false">IF(D99="","",SUMIFS(Compras!$H$5:$H$2000,Compras!$B$5:$B$2000,A99,Compras!$A$5:$A$2000,D99,Compras!$H$5:$H$2000,"&gt;0")/COUNTIFS(Compras!$B$5:$B$2000,A99,Compras!$A$5:$A$2000,D99,Compras!$H$5:$H$2000,"&gt;0"))</f>
        <v/>
      </c>
      <c r="F99" s="17" t="str">
        <f aca="false">IF(D99="","",SUMIFS(Compras!$F$5:$F$2000,Compras!$B$5:$B$2000,A99,Compras!$H$5:$H$2000,"&gt;0")/SUMIFS(Compras!$G$5:$G$2000,Compras!$B$5:$B$2000,A99,Compras!$H$5:$H$2000,"&gt;0"))</f>
        <v/>
      </c>
      <c r="G99" s="18" t="str">
        <f aca="false">IF(D99="","",IF(CFG_Metodo="Promedio",F99,E99))</f>
        <v/>
      </c>
      <c r="H99" s="19" t="str">
        <f aca="false">IF(G99="","",IF(C99="unidad",G99,G99*1000))</f>
        <v/>
      </c>
      <c r="I99" s="20" t="str">
        <f aca="false">IF(A99="","",IF(C99="","Falta unidad base",IF(D99="","Sin compras cargadas","OK")))</f>
        <v/>
      </c>
    </row>
    <row r="100" customFormat="false" ht="15" hidden="false" customHeight="false" outlineLevel="0" collapsed="false">
      <c r="A100" s="15"/>
      <c r="B100" s="15"/>
      <c r="C100" s="15"/>
      <c r="D100" s="16" t="str">
        <f aca="false">IF(A100="","",IF(COUNTIFS(Compras!$B$5:$B$2000,A100,Compras!$H$5:$H$2000,"&gt;0")=0,"",_xlfn.MAXIFS(Compras!$A$5:$A$2000,Compras!$B$5:$B$2000,A100,Compras!$H$5:$H$2000,"&gt;0")))</f>
        <v/>
      </c>
      <c r="E100" s="17" t="str">
        <f aca="false">IF(D100="","",SUMIFS(Compras!$H$5:$H$2000,Compras!$B$5:$B$2000,A100,Compras!$A$5:$A$2000,D100,Compras!$H$5:$H$2000,"&gt;0")/COUNTIFS(Compras!$B$5:$B$2000,A100,Compras!$A$5:$A$2000,D100,Compras!$H$5:$H$2000,"&gt;0"))</f>
        <v/>
      </c>
      <c r="F100" s="17" t="str">
        <f aca="false">IF(D100="","",SUMIFS(Compras!$F$5:$F$2000,Compras!$B$5:$B$2000,A100,Compras!$H$5:$H$2000,"&gt;0")/SUMIFS(Compras!$G$5:$G$2000,Compras!$B$5:$B$2000,A100,Compras!$H$5:$H$2000,"&gt;0"))</f>
        <v/>
      </c>
      <c r="G100" s="18" t="str">
        <f aca="false">IF(D100="","",IF(CFG_Metodo="Promedio",F100,E100))</f>
        <v/>
      </c>
      <c r="H100" s="19" t="str">
        <f aca="false">IF(G100="","",IF(C100="unidad",G100,G100*1000))</f>
        <v/>
      </c>
      <c r="I100" s="20" t="str">
        <f aca="false">IF(A100="","",IF(C100="","Falta unidad base",IF(D100="","Sin compras cargadas","OK")))</f>
        <v/>
      </c>
    </row>
    <row r="101" customFormat="false" ht="15" hidden="false" customHeight="false" outlineLevel="0" collapsed="false">
      <c r="A101" s="15"/>
      <c r="B101" s="15"/>
      <c r="C101" s="15"/>
      <c r="D101" s="16" t="str">
        <f aca="false">IF(A101="","",IF(COUNTIFS(Compras!$B$5:$B$2000,A101,Compras!$H$5:$H$2000,"&gt;0")=0,"",_xlfn.MAXIFS(Compras!$A$5:$A$2000,Compras!$B$5:$B$2000,A101,Compras!$H$5:$H$2000,"&gt;0")))</f>
        <v/>
      </c>
      <c r="E101" s="17" t="str">
        <f aca="false">IF(D101="","",SUMIFS(Compras!$H$5:$H$2000,Compras!$B$5:$B$2000,A101,Compras!$A$5:$A$2000,D101,Compras!$H$5:$H$2000,"&gt;0")/COUNTIFS(Compras!$B$5:$B$2000,A101,Compras!$A$5:$A$2000,D101,Compras!$H$5:$H$2000,"&gt;0"))</f>
        <v/>
      </c>
      <c r="F101" s="17" t="str">
        <f aca="false">IF(D101="","",SUMIFS(Compras!$F$5:$F$2000,Compras!$B$5:$B$2000,A101,Compras!$H$5:$H$2000,"&gt;0")/SUMIFS(Compras!$G$5:$G$2000,Compras!$B$5:$B$2000,A101,Compras!$H$5:$H$2000,"&gt;0"))</f>
        <v/>
      </c>
      <c r="G101" s="18" t="str">
        <f aca="false">IF(D101="","",IF(CFG_Metodo="Promedio",F101,E101))</f>
        <v/>
      </c>
      <c r="H101" s="19" t="str">
        <f aca="false">IF(G101="","",IF(C101="unidad",G101,G101*1000))</f>
        <v/>
      </c>
      <c r="I101" s="20" t="str">
        <f aca="false">IF(A101="","",IF(C101="","Falta unidad base",IF(D101="","Sin compras cargadas","OK")))</f>
        <v/>
      </c>
    </row>
    <row r="102" customFormat="false" ht="15" hidden="false" customHeight="false" outlineLevel="0" collapsed="false">
      <c r="A102" s="15"/>
      <c r="B102" s="15"/>
      <c r="C102" s="15"/>
      <c r="D102" s="16" t="str">
        <f aca="false">IF(A102="","",IF(COUNTIFS(Compras!$B$5:$B$2000,A102,Compras!$H$5:$H$2000,"&gt;0")=0,"",_xlfn.MAXIFS(Compras!$A$5:$A$2000,Compras!$B$5:$B$2000,A102,Compras!$H$5:$H$2000,"&gt;0")))</f>
        <v/>
      </c>
      <c r="E102" s="17" t="str">
        <f aca="false">IF(D102="","",SUMIFS(Compras!$H$5:$H$2000,Compras!$B$5:$B$2000,A102,Compras!$A$5:$A$2000,D102,Compras!$H$5:$H$2000,"&gt;0")/COUNTIFS(Compras!$B$5:$B$2000,A102,Compras!$A$5:$A$2000,D102,Compras!$H$5:$H$2000,"&gt;0"))</f>
        <v/>
      </c>
      <c r="F102" s="17" t="str">
        <f aca="false">IF(D102="","",SUMIFS(Compras!$F$5:$F$2000,Compras!$B$5:$B$2000,A102,Compras!$H$5:$H$2000,"&gt;0")/SUMIFS(Compras!$G$5:$G$2000,Compras!$B$5:$B$2000,A102,Compras!$H$5:$H$2000,"&gt;0"))</f>
        <v/>
      </c>
      <c r="G102" s="18" t="str">
        <f aca="false">IF(D102="","",IF(CFG_Metodo="Promedio",F102,E102))</f>
        <v/>
      </c>
      <c r="H102" s="19" t="str">
        <f aca="false">IF(G102="","",IF(C102="unidad",G102,G102*1000))</f>
        <v/>
      </c>
      <c r="I102" s="20" t="str">
        <f aca="false">IF(A102="","",IF(C102="","Falta unidad base",IF(D102="","Sin compras cargadas","OK")))</f>
        <v/>
      </c>
    </row>
    <row r="103" customFormat="false" ht="15" hidden="false" customHeight="false" outlineLevel="0" collapsed="false">
      <c r="A103" s="15"/>
      <c r="B103" s="15"/>
      <c r="C103" s="15"/>
      <c r="D103" s="16" t="str">
        <f aca="false">IF(A103="","",IF(COUNTIFS(Compras!$B$5:$B$2000,A103,Compras!$H$5:$H$2000,"&gt;0")=0,"",_xlfn.MAXIFS(Compras!$A$5:$A$2000,Compras!$B$5:$B$2000,A103,Compras!$H$5:$H$2000,"&gt;0")))</f>
        <v/>
      </c>
      <c r="E103" s="17" t="str">
        <f aca="false">IF(D103="","",SUMIFS(Compras!$H$5:$H$2000,Compras!$B$5:$B$2000,A103,Compras!$A$5:$A$2000,D103,Compras!$H$5:$H$2000,"&gt;0")/COUNTIFS(Compras!$B$5:$B$2000,A103,Compras!$A$5:$A$2000,D103,Compras!$H$5:$H$2000,"&gt;0"))</f>
        <v/>
      </c>
      <c r="F103" s="17" t="str">
        <f aca="false">IF(D103="","",SUMIFS(Compras!$F$5:$F$2000,Compras!$B$5:$B$2000,A103,Compras!$H$5:$H$2000,"&gt;0")/SUMIFS(Compras!$G$5:$G$2000,Compras!$B$5:$B$2000,A103,Compras!$H$5:$H$2000,"&gt;0"))</f>
        <v/>
      </c>
      <c r="G103" s="18" t="str">
        <f aca="false">IF(D103="","",IF(CFG_Metodo="Promedio",F103,E103))</f>
        <v/>
      </c>
      <c r="H103" s="19" t="str">
        <f aca="false">IF(G103="","",IF(C103="unidad",G103,G103*1000))</f>
        <v/>
      </c>
      <c r="I103" s="20" t="str">
        <f aca="false">IF(A103="","",IF(C103="","Falta unidad base",IF(D103="","Sin compras cargadas","OK")))</f>
        <v/>
      </c>
    </row>
    <row r="104" customFormat="false" ht="15" hidden="false" customHeight="false" outlineLevel="0" collapsed="false">
      <c r="A104" s="15"/>
      <c r="B104" s="15"/>
      <c r="C104" s="15"/>
      <c r="D104" s="16" t="str">
        <f aca="false">IF(A104="","",IF(COUNTIFS(Compras!$B$5:$B$2000,A104,Compras!$H$5:$H$2000,"&gt;0")=0,"",_xlfn.MAXIFS(Compras!$A$5:$A$2000,Compras!$B$5:$B$2000,A104,Compras!$H$5:$H$2000,"&gt;0")))</f>
        <v/>
      </c>
      <c r="E104" s="17" t="str">
        <f aca="false">IF(D104="","",SUMIFS(Compras!$H$5:$H$2000,Compras!$B$5:$B$2000,A104,Compras!$A$5:$A$2000,D104,Compras!$H$5:$H$2000,"&gt;0")/COUNTIFS(Compras!$B$5:$B$2000,A104,Compras!$A$5:$A$2000,D104,Compras!$H$5:$H$2000,"&gt;0"))</f>
        <v/>
      </c>
      <c r="F104" s="17" t="str">
        <f aca="false">IF(D104="","",SUMIFS(Compras!$F$5:$F$2000,Compras!$B$5:$B$2000,A104,Compras!$H$5:$H$2000,"&gt;0")/SUMIFS(Compras!$G$5:$G$2000,Compras!$B$5:$B$2000,A104,Compras!$H$5:$H$2000,"&gt;0"))</f>
        <v/>
      </c>
      <c r="G104" s="18" t="str">
        <f aca="false">IF(D104="","",IF(CFG_Metodo="Promedio",F104,E104))</f>
        <v/>
      </c>
      <c r="H104" s="19" t="str">
        <f aca="false">IF(G104="","",IF(C104="unidad",G104,G104*1000))</f>
        <v/>
      </c>
      <c r="I104" s="20" t="str">
        <f aca="false">IF(A104="","",IF(C104="","Falta unidad base",IF(D104="","Sin compras cargadas","OK")))</f>
        <v/>
      </c>
    </row>
    <row r="105" customFormat="false" ht="15" hidden="false" customHeight="false" outlineLevel="0" collapsed="false">
      <c r="A105" s="15"/>
      <c r="B105" s="15"/>
      <c r="C105" s="15"/>
      <c r="D105" s="16" t="str">
        <f aca="false">IF(A105="","",IF(COUNTIFS(Compras!$B$5:$B$2000,A105,Compras!$H$5:$H$2000,"&gt;0")=0,"",_xlfn.MAXIFS(Compras!$A$5:$A$2000,Compras!$B$5:$B$2000,A105,Compras!$H$5:$H$2000,"&gt;0")))</f>
        <v/>
      </c>
      <c r="E105" s="17" t="str">
        <f aca="false">IF(D105="","",SUMIFS(Compras!$H$5:$H$2000,Compras!$B$5:$B$2000,A105,Compras!$A$5:$A$2000,D105,Compras!$H$5:$H$2000,"&gt;0")/COUNTIFS(Compras!$B$5:$B$2000,A105,Compras!$A$5:$A$2000,D105,Compras!$H$5:$H$2000,"&gt;0"))</f>
        <v/>
      </c>
      <c r="F105" s="17" t="str">
        <f aca="false">IF(D105="","",SUMIFS(Compras!$F$5:$F$2000,Compras!$B$5:$B$2000,A105,Compras!$H$5:$H$2000,"&gt;0")/SUMIFS(Compras!$G$5:$G$2000,Compras!$B$5:$B$2000,A105,Compras!$H$5:$H$2000,"&gt;0"))</f>
        <v/>
      </c>
      <c r="G105" s="18" t="str">
        <f aca="false">IF(D105="","",IF(CFG_Metodo="Promedio",F105,E105))</f>
        <v/>
      </c>
      <c r="H105" s="19" t="str">
        <f aca="false">IF(G105="","",IF(C105="unidad",G105,G105*1000))</f>
        <v/>
      </c>
      <c r="I105" s="20" t="str">
        <f aca="false">IF(A105="","",IF(C105="","Falta unidad base",IF(D105="","Sin compras cargadas","OK")))</f>
        <v/>
      </c>
    </row>
    <row r="106" customFormat="false" ht="15" hidden="false" customHeight="false" outlineLevel="0" collapsed="false">
      <c r="A106" s="15"/>
      <c r="B106" s="15"/>
      <c r="C106" s="15"/>
      <c r="D106" s="16" t="str">
        <f aca="false">IF(A106="","",IF(COUNTIFS(Compras!$B$5:$B$2000,A106,Compras!$H$5:$H$2000,"&gt;0")=0,"",_xlfn.MAXIFS(Compras!$A$5:$A$2000,Compras!$B$5:$B$2000,A106,Compras!$H$5:$H$2000,"&gt;0")))</f>
        <v/>
      </c>
      <c r="E106" s="17" t="str">
        <f aca="false">IF(D106="","",SUMIFS(Compras!$H$5:$H$2000,Compras!$B$5:$B$2000,A106,Compras!$A$5:$A$2000,D106,Compras!$H$5:$H$2000,"&gt;0")/COUNTIFS(Compras!$B$5:$B$2000,A106,Compras!$A$5:$A$2000,D106,Compras!$H$5:$H$2000,"&gt;0"))</f>
        <v/>
      </c>
      <c r="F106" s="17" t="str">
        <f aca="false">IF(D106="","",SUMIFS(Compras!$F$5:$F$2000,Compras!$B$5:$B$2000,A106,Compras!$H$5:$H$2000,"&gt;0")/SUMIFS(Compras!$G$5:$G$2000,Compras!$B$5:$B$2000,A106,Compras!$H$5:$H$2000,"&gt;0"))</f>
        <v/>
      </c>
      <c r="G106" s="18" t="str">
        <f aca="false">IF(D106="","",IF(CFG_Metodo="Promedio",F106,E106))</f>
        <v/>
      </c>
      <c r="H106" s="19" t="str">
        <f aca="false">IF(G106="","",IF(C106="unidad",G106,G106*1000))</f>
        <v/>
      </c>
      <c r="I106" s="20" t="str">
        <f aca="false">IF(A106="","",IF(C106="","Falta unidad base",IF(D106="","Sin compras cargadas","OK")))</f>
        <v/>
      </c>
    </row>
    <row r="107" customFormat="false" ht="15" hidden="false" customHeight="false" outlineLevel="0" collapsed="false">
      <c r="A107" s="15"/>
      <c r="B107" s="15"/>
      <c r="C107" s="15"/>
      <c r="D107" s="16" t="str">
        <f aca="false">IF(A107="","",IF(COUNTIFS(Compras!$B$5:$B$2000,A107,Compras!$H$5:$H$2000,"&gt;0")=0,"",_xlfn.MAXIFS(Compras!$A$5:$A$2000,Compras!$B$5:$B$2000,A107,Compras!$H$5:$H$2000,"&gt;0")))</f>
        <v/>
      </c>
      <c r="E107" s="17" t="str">
        <f aca="false">IF(D107="","",SUMIFS(Compras!$H$5:$H$2000,Compras!$B$5:$B$2000,A107,Compras!$A$5:$A$2000,D107,Compras!$H$5:$H$2000,"&gt;0")/COUNTIFS(Compras!$B$5:$B$2000,A107,Compras!$A$5:$A$2000,D107,Compras!$H$5:$H$2000,"&gt;0"))</f>
        <v/>
      </c>
      <c r="F107" s="17" t="str">
        <f aca="false">IF(D107="","",SUMIFS(Compras!$F$5:$F$2000,Compras!$B$5:$B$2000,A107,Compras!$H$5:$H$2000,"&gt;0")/SUMIFS(Compras!$G$5:$G$2000,Compras!$B$5:$B$2000,A107,Compras!$H$5:$H$2000,"&gt;0"))</f>
        <v/>
      </c>
      <c r="G107" s="18" t="str">
        <f aca="false">IF(D107="","",IF(CFG_Metodo="Promedio",F107,E107))</f>
        <v/>
      </c>
      <c r="H107" s="19" t="str">
        <f aca="false">IF(G107="","",IF(C107="unidad",G107,G107*1000))</f>
        <v/>
      </c>
      <c r="I107" s="20" t="str">
        <f aca="false">IF(A107="","",IF(C107="","Falta unidad base",IF(D107="","Sin compras cargadas","OK")))</f>
        <v/>
      </c>
    </row>
    <row r="108" customFormat="false" ht="15" hidden="false" customHeight="false" outlineLevel="0" collapsed="false">
      <c r="A108" s="15"/>
      <c r="B108" s="15"/>
      <c r="C108" s="15"/>
      <c r="D108" s="16" t="str">
        <f aca="false">IF(A108="","",IF(COUNTIFS(Compras!$B$5:$B$2000,A108,Compras!$H$5:$H$2000,"&gt;0")=0,"",_xlfn.MAXIFS(Compras!$A$5:$A$2000,Compras!$B$5:$B$2000,A108,Compras!$H$5:$H$2000,"&gt;0")))</f>
        <v/>
      </c>
      <c r="E108" s="17" t="str">
        <f aca="false">IF(D108="","",SUMIFS(Compras!$H$5:$H$2000,Compras!$B$5:$B$2000,A108,Compras!$A$5:$A$2000,D108,Compras!$H$5:$H$2000,"&gt;0")/COUNTIFS(Compras!$B$5:$B$2000,A108,Compras!$A$5:$A$2000,D108,Compras!$H$5:$H$2000,"&gt;0"))</f>
        <v/>
      </c>
      <c r="F108" s="17" t="str">
        <f aca="false">IF(D108="","",SUMIFS(Compras!$F$5:$F$2000,Compras!$B$5:$B$2000,A108,Compras!$H$5:$H$2000,"&gt;0")/SUMIFS(Compras!$G$5:$G$2000,Compras!$B$5:$B$2000,A108,Compras!$H$5:$H$2000,"&gt;0"))</f>
        <v/>
      </c>
      <c r="G108" s="18" t="str">
        <f aca="false">IF(D108="","",IF(CFG_Metodo="Promedio",F108,E108))</f>
        <v/>
      </c>
      <c r="H108" s="19" t="str">
        <f aca="false">IF(G108="","",IF(C108="unidad",G108,G108*1000))</f>
        <v/>
      </c>
      <c r="I108" s="20" t="str">
        <f aca="false">IF(A108="","",IF(C108="","Falta unidad base",IF(D108="","Sin compras cargadas","OK")))</f>
        <v/>
      </c>
    </row>
    <row r="109" customFormat="false" ht="15" hidden="false" customHeight="false" outlineLevel="0" collapsed="false">
      <c r="A109" s="15"/>
      <c r="B109" s="15"/>
      <c r="C109" s="15"/>
      <c r="D109" s="16" t="str">
        <f aca="false">IF(A109="","",IF(COUNTIFS(Compras!$B$5:$B$2000,A109,Compras!$H$5:$H$2000,"&gt;0")=0,"",_xlfn.MAXIFS(Compras!$A$5:$A$2000,Compras!$B$5:$B$2000,A109,Compras!$H$5:$H$2000,"&gt;0")))</f>
        <v/>
      </c>
      <c r="E109" s="17" t="str">
        <f aca="false">IF(D109="","",SUMIFS(Compras!$H$5:$H$2000,Compras!$B$5:$B$2000,A109,Compras!$A$5:$A$2000,D109,Compras!$H$5:$H$2000,"&gt;0")/COUNTIFS(Compras!$B$5:$B$2000,A109,Compras!$A$5:$A$2000,D109,Compras!$H$5:$H$2000,"&gt;0"))</f>
        <v/>
      </c>
      <c r="F109" s="17" t="str">
        <f aca="false">IF(D109="","",SUMIFS(Compras!$F$5:$F$2000,Compras!$B$5:$B$2000,A109,Compras!$H$5:$H$2000,"&gt;0")/SUMIFS(Compras!$G$5:$G$2000,Compras!$B$5:$B$2000,A109,Compras!$H$5:$H$2000,"&gt;0"))</f>
        <v/>
      </c>
      <c r="G109" s="18" t="str">
        <f aca="false">IF(D109="","",IF(CFG_Metodo="Promedio",F109,E109))</f>
        <v/>
      </c>
      <c r="H109" s="19" t="str">
        <f aca="false">IF(G109="","",IF(C109="unidad",G109,G109*1000))</f>
        <v/>
      </c>
      <c r="I109" s="20" t="str">
        <f aca="false">IF(A109="","",IF(C109="","Falta unidad base",IF(D109="","Sin compras cargadas","OK")))</f>
        <v/>
      </c>
    </row>
    <row r="110" customFormat="false" ht="15" hidden="false" customHeight="false" outlineLevel="0" collapsed="false">
      <c r="A110" s="15"/>
      <c r="B110" s="15"/>
      <c r="C110" s="15"/>
      <c r="D110" s="16" t="str">
        <f aca="false">IF(A110="","",IF(COUNTIFS(Compras!$B$5:$B$2000,A110,Compras!$H$5:$H$2000,"&gt;0")=0,"",_xlfn.MAXIFS(Compras!$A$5:$A$2000,Compras!$B$5:$B$2000,A110,Compras!$H$5:$H$2000,"&gt;0")))</f>
        <v/>
      </c>
      <c r="E110" s="17" t="str">
        <f aca="false">IF(D110="","",SUMIFS(Compras!$H$5:$H$2000,Compras!$B$5:$B$2000,A110,Compras!$A$5:$A$2000,D110,Compras!$H$5:$H$2000,"&gt;0")/COUNTIFS(Compras!$B$5:$B$2000,A110,Compras!$A$5:$A$2000,D110,Compras!$H$5:$H$2000,"&gt;0"))</f>
        <v/>
      </c>
      <c r="F110" s="17" t="str">
        <f aca="false">IF(D110="","",SUMIFS(Compras!$F$5:$F$2000,Compras!$B$5:$B$2000,A110,Compras!$H$5:$H$2000,"&gt;0")/SUMIFS(Compras!$G$5:$G$2000,Compras!$B$5:$B$2000,A110,Compras!$H$5:$H$2000,"&gt;0"))</f>
        <v/>
      </c>
      <c r="G110" s="18" t="str">
        <f aca="false">IF(D110="","",IF(CFG_Metodo="Promedio",F110,E110))</f>
        <v/>
      </c>
      <c r="H110" s="19" t="str">
        <f aca="false">IF(G110="","",IF(C110="unidad",G110,G110*1000))</f>
        <v/>
      </c>
      <c r="I110" s="20" t="str">
        <f aca="false">IF(A110="","",IF(C110="","Falta unidad base",IF(D110="","Sin compras cargadas","OK")))</f>
        <v/>
      </c>
    </row>
    <row r="111" customFormat="false" ht="15" hidden="false" customHeight="false" outlineLevel="0" collapsed="false">
      <c r="A111" s="15"/>
      <c r="B111" s="15"/>
      <c r="C111" s="15"/>
      <c r="D111" s="16" t="str">
        <f aca="false">IF(A111="","",IF(COUNTIFS(Compras!$B$5:$B$2000,A111,Compras!$H$5:$H$2000,"&gt;0")=0,"",_xlfn.MAXIFS(Compras!$A$5:$A$2000,Compras!$B$5:$B$2000,A111,Compras!$H$5:$H$2000,"&gt;0")))</f>
        <v/>
      </c>
      <c r="E111" s="17" t="str">
        <f aca="false">IF(D111="","",SUMIFS(Compras!$H$5:$H$2000,Compras!$B$5:$B$2000,A111,Compras!$A$5:$A$2000,D111,Compras!$H$5:$H$2000,"&gt;0")/COUNTIFS(Compras!$B$5:$B$2000,A111,Compras!$A$5:$A$2000,D111,Compras!$H$5:$H$2000,"&gt;0"))</f>
        <v/>
      </c>
      <c r="F111" s="17" t="str">
        <f aca="false">IF(D111="","",SUMIFS(Compras!$F$5:$F$2000,Compras!$B$5:$B$2000,A111,Compras!$H$5:$H$2000,"&gt;0")/SUMIFS(Compras!$G$5:$G$2000,Compras!$B$5:$B$2000,A111,Compras!$H$5:$H$2000,"&gt;0"))</f>
        <v/>
      </c>
      <c r="G111" s="18" t="str">
        <f aca="false">IF(D111="","",IF(CFG_Metodo="Promedio",F111,E111))</f>
        <v/>
      </c>
      <c r="H111" s="19" t="str">
        <f aca="false">IF(G111="","",IF(C111="unidad",G111,G111*1000))</f>
        <v/>
      </c>
      <c r="I111" s="20" t="str">
        <f aca="false">IF(A111="","",IF(C111="","Falta unidad base",IF(D111="","Sin compras cargadas","OK")))</f>
        <v/>
      </c>
    </row>
    <row r="112" customFormat="false" ht="15" hidden="false" customHeight="false" outlineLevel="0" collapsed="false">
      <c r="A112" s="15"/>
      <c r="B112" s="15"/>
      <c r="C112" s="15"/>
      <c r="D112" s="16" t="str">
        <f aca="false">IF(A112="","",IF(COUNTIFS(Compras!$B$5:$B$2000,A112,Compras!$H$5:$H$2000,"&gt;0")=0,"",_xlfn.MAXIFS(Compras!$A$5:$A$2000,Compras!$B$5:$B$2000,A112,Compras!$H$5:$H$2000,"&gt;0")))</f>
        <v/>
      </c>
      <c r="E112" s="17" t="str">
        <f aca="false">IF(D112="","",SUMIFS(Compras!$H$5:$H$2000,Compras!$B$5:$B$2000,A112,Compras!$A$5:$A$2000,D112,Compras!$H$5:$H$2000,"&gt;0")/COUNTIFS(Compras!$B$5:$B$2000,A112,Compras!$A$5:$A$2000,D112,Compras!$H$5:$H$2000,"&gt;0"))</f>
        <v/>
      </c>
      <c r="F112" s="17" t="str">
        <f aca="false">IF(D112="","",SUMIFS(Compras!$F$5:$F$2000,Compras!$B$5:$B$2000,A112,Compras!$H$5:$H$2000,"&gt;0")/SUMIFS(Compras!$G$5:$G$2000,Compras!$B$5:$B$2000,A112,Compras!$H$5:$H$2000,"&gt;0"))</f>
        <v/>
      </c>
      <c r="G112" s="18" t="str">
        <f aca="false">IF(D112="","",IF(CFG_Metodo="Promedio",F112,E112))</f>
        <v/>
      </c>
      <c r="H112" s="19" t="str">
        <f aca="false">IF(G112="","",IF(C112="unidad",G112,G112*1000))</f>
        <v/>
      </c>
      <c r="I112" s="20" t="str">
        <f aca="false">IF(A112="","",IF(C112="","Falta unidad base",IF(D112="","Sin compras cargadas","OK")))</f>
        <v/>
      </c>
    </row>
    <row r="113" customFormat="false" ht="15" hidden="false" customHeight="false" outlineLevel="0" collapsed="false">
      <c r="A113" s="15"/>
      <c r="B113" s="15"/>
      <c r="C113" s="15"/>
      <c r="D113" s="16" t="str">
        <f aca="false">IF(A113="","",IF(COUNTIFS(Compras!$B$5:$B$2000,A113,Compras!$H$5:$H$2000,"&gt;0")=0,"",_xlfn.MAXIFS(Compras!$A$5:$A$2000,Compras!$B$5:$B$2000,A113,Compras!$H$5:$H$2000,"&gt;0")))</f>
        <v/>
      </c>
      <c r="E113" s="17" t="str">
        <f aca="false">IF(D113="","",SUMIFS(Compras!$H$5:$H$2000,Compras!$B$5:$B$2000,A113,Compras!$A$5:$A$2000,D113,Compras!$H$5:$H$2000,"&gt;0")/COUNTIFS(Compras!$B$5:$B$2000,A113,Compras!$A$5:$A$2000,D113,Compras!$H$5:$H$2000,"&gt;0"))</f>
        <v/>
      </c>
      <c r="F113" s="17" t="str">
        <f aca="false">IF(D113="","",SUMIFS(Compras!$F$5:$F$2000,Compras!$B$5:$B$2000,A113,Compras!$H$5:$H$2000,"&gt;0")/SUMIFS(Compras!$G$5:$G$2000,Compras!$B$5:$B$2000,A113,Compras!$H$5:$H$2000,"&gt;0"))</f>
        <v/>
      </c>
      <c r="G113" s="18" t="str">
        <f aca="false">IF(D113="","",IF(CFG_Metodo="Promedio",F113,E113))</f>
        <v/>
      </c>
      <c r="H113" s="19" t="str">
        <f aca="false">IF(G113="","",IF(C113="unidad",G113,G113*1000))</f>
        <v/>
      </c>
      <c r="I113" s="20" t="str">
        <f aca="false">IF(A113="","",IF(C113="","Falta unidad base",IF(D113="","Sin compras cargadas","OK")))</f>
        <v/>
      </c>
    </row>
    <row r="114" customFormat="false" ht="15" hidden="false" customHeight="false" outlineLevel="0" collapsed="false">
      <c r="A114" s="15"/>
      <c r="B114" s="15"/>
      <c r="C114" s="15"/>
      <c r="D114" s="16" t="str">
        <f aca="false">IF(A114="","",IF(COUNTIFS(Compras!$B$5:$B$2000,A114,Compras!$H$5:$H$2000,"&gt;0")=0,"",_xlfn.MAXIFS(Compras!$A$5:$A$2000,Compras!$B$5:$B$2000,A114,Compras!$H$5:$H$2000,"&gt;0")))</f>
        <v/>
      </c>
      <c r="E114" s="17" t="str">
        <f aca="false">IF(D114="","",SUMIFS(Compras!$H$5:$H$2000,Compras!$B$5:$B$2000,A114,Compras!$A$5:$A$2000,D114,Compras!$H$5:$H$2000,"&gt;0")/COUNTIFS(Compras!$B$5:$B$2000,A114,Compras!$A$5:$A$2000,D114,Compras!$H$5:$H$2000,"&gt;0"))</f>
        <v/>
      </c>
      <c r="F114" s="17" t="str">
        <f aca="false">IF(D114="","",SUMIFS(Compras!$F$5:$F$2000,Compras!$B$5:$B$2000,A114,Compras!$H$5:$H$2000,"&gt;0")/SUMIFS(Compras!$G$5:$G$2000,Compras!$B$5:$B$2000,A114,Compras!$H$5:$H$2000,"&gt;0"))</f>
        <v/>
      </c>
      <c r="G114" s="18" t="str">
        <f aca="false">IF(D114="","",IF(CFG_Metodo="Promedio",F114,E114))</f>
        <v/>
      </c>
      <c r="H114" s="19" t="str">
        <f aca="false">IF(G114="","",IF(C114="unidad",G114,G114*1000))</f>
        <v/>
      </c>
      <c r="I114" s="20" t="str">
        <f aca="false">IF(A114="","",IF(C114="","Falta unidad base",IF(D114="","Sin compras cargadas","OK")))</f>
        <v/>
      </c>
    </row>
    <row r="115" customFormat="false" ht="15" hidden="false" customHeight="false" outlineLevel="0" collapsed="false">
      <c r="A115" s="15"/>
      <c r="B115" s="15"/>
      <c r="C115" s="15"/>
      <c r="D115" s="16" t="str">
        <f aca="false">IF(A115="","",IF(COUNTIFS(Compras!$B$5:$B$2000,A115,Compras!$H$5:$H$2000,"&gt;0")=0,"",_xlfn.MAXIFS(Compras!$A$5:$A$2000,Compras!$B$5:$B$2000,A115,Compras!$H$5:$H$2000,"&gt;0")))</f>
        <v/>
      </c>
      <c r="E115" s="17" t="str">
        <f aca="false">IF(D115="","",SUMIFS(Compras!$H$5:$H$2000,Compras!$B$5:$B$2000,A115,Compras!$A$5:$A$2000,D115,Compras!$H$5:$H$2000,"&gt;0")/COUNTIFS(Compras!$B$5:$B$2000,A115,Compras!$A$5:$A$2000,D115,Compras!$H$5:$H$2000,"&gt;0"))</f>
        <v/>
      </c>
      <c r="F115" s="17" t="str">
        <f aca="false">IF(D115="","",SUMIFS(Compras!$F$5:$F$2000,Compras!$B$5:$B$2000,A115,Compras!$H$5:$H$2000,"&gt;0")/SUMIFS(Compras!$G$5:$G$2000,Compras!$B$5:$B$2000,A115,Compras!$H$5:$H$2000,"&gt;0"))</f>
        <v/>
      </c>
      <c r="G115" s="18" t="str">
        <f aca="false">IF(D115="","",IF(CFG_Metodo="Promedio",F115,E115))</f>
        <v/>
      </c>
      <c r="H115" s="19" t="str">
        <f aca="false">IF(G115="","",IF(C115="unidad",G115,G115*1000))</f>
        <v/>
      </c>
      <c r="I115" s="20" t="str">
        <f aca="false">IF(A115="","",IF(C115="","Falta unidad base",IF(D115="","Sin compras cargadas","OK")))</f>
        <v/>
      </c>
    </row>
    <row r="116" customFormat="false" ht="15" hidden="false" customHeight="false" outlineLevel="0" collapsed="false">
      <c r="A116" s="15"/>
      <c r="B116" s="15"/>
      <c r="C116" s="15"/>
      <c r="D116" s="16" t="str">
        <f aca="false">IF(A116="","",IF(COUNTIFS(Compras!$B$5:$B$2000,A116,Compras!$H$5:$H$2000,"&gt;0")=0,"",_xlfn.MAXIFS(Compras!$A$5:$A$2000,Compras!$B$5:$B$2000,A116,Compras!$H$5:$H$2000,"&gt;0")))</f>
        <v/>
      </c>
      <c r="E116" s="17" t="str">
        <f aca="false">IF(D116="","",SUMIFS(Compras!$H$5:$H$2000,Compras!$B$5:$B$2000,A116,Compras!$A$5:$A$2000,D116,Compras!$H$5:$H$2000,"&gt;0")/COUNTIFS(Compras!$B$5:$B$2000,A116,Compras!$A$5:$A$2000,D116,Compras!$H$5:$H$2000,"&gt;0"))</f>
        <v/>
      </c>
      <c r="F116" s="17" t="str">
        <f aca="false">IF(D116="","",SUMIFS(Compras!$F$5:$F$2000,Compras!$B$5:$B$2000,A116,Compras!$H$5:$H$2000,"&gt;0")/SUMIFS(Compras!$G$5:$G$2000,Compras!$B$5:$B$2000,A116,Compras!$H$5:$H$2000,"&gt;0"))</f>
        <v/>
      </c>
      <c r="G116" s="18" t="str">
        <f aca="false">IF(D116="","",IF(CFG_Metodo="Promedio",F116,E116))</f>
        <v/>
      </c>
      <c r="H116" s="19" t="str">
        <f aca="false">IF(G116="","",IF(C116="unidad",G116,G116*1000))</f>
        <v/>
      </c>
      <c r="I116" s="20" t="str">
        <f aca="false">IF(A116="","",IF(C116="","Falta unidad base",IF(D116="","Sin compras cargadas","OK")))</f>
        <v/>
      </c>
    </row>
    <row r="117" customFormat="false" ht="15" hidden="false" customHeight="false" outlineLevel="0" collapsed="false">
      <c r="A117" s="15"/>
      <c r="B117" s="15"/>
      <c r="C117" s="15"/>
      <c r="D117" s="16" t="str">
        <f aca="false">IF(A117="","",IF(COUNTIFS(Compras!$B$5:$B$2000,A117,Compras!$H$5:$H$2000,"&gt;0")=0,"",_xlfn.MAXIFS(Compras!$A$5:$A$2000,Compras!$B$5:$B$2000,A117,Compras!$H$5:$H$2000,"&gt;0")))</f>
        <v/>
      </c>
      <c r="E117" s="17" t="str">
        <f aca="false">IF(D117="","",SUMIFS(Compras!$H$5:$H$2000,Compras!$B$5:$B$2000,A117,Compras!$A$5:$A$2000,D117,Compras!$H$5:$H$2000,"&gt;0")/COUNTIFS(Compras!$B$5:$B$2000,A117,Compras!$A$5:$A$2000,D117,Compras!$H$5:$H$2000,"&gt;0"))</f>
        <v/>
      </c>
      <c r="F117" s="17" t="str">
        <f aca="false">IF(D117="","",SUMIFS(Compras!$F$5:$F$2000,Compras!$B$5:$B$2000,A117,Compras!$H$5:$H$2000,"&gt;0")/SUMIFS(Compras!$G$5:$G$2000,Compras!$B$5:$B$2000,A117,Compras!$H$5:$H$2000,"&gt;0"))</f>
        <v/>
      </c>
      <c r="G117" s="18" t="str">
        <f aca="false">IF(D117="","",IF(CFG_Metodo="Promedio",F117,E117))</f>
        <v/>
      </c>
      <c r="H117" s="19" t="str">
        <f aca="false">IF(G117="","",IF(C117="unidad",G117,G117*1000))</f>
        <v/>
      </c>
      <c r="I117" s="20" t="str">
        <f aca="false">IF(A117="","",IF(C117="","Falta unidad base",IF(D117="","Sin compras cargadas","OK")))</f>
        <v/>
      </c>
    </row>
    <row r="118" customFormat="false" ht="15" hidden="false" customHeight="false" outlineLevel="0" collapsed="false">
      <c r="A118" s="15"/>
      <c r="B118" s="15"/>
      <c r="C118" s="15"/>
      <c r="D118" s="16" t="str">
        <f aca="false">IF(A118="","",IF(COUNTIFS(Compras!$B$5:$B$2000,A118,Compras!$H$5:$H$2000,"&gt;0")=0,"",_xlfn.MAXIFS(Compras!$A$5:$A$2000,Compras!$B$5:$B$2000,A118,Compras!$H$5:$H$2000,"&gt;0")))</f>
        <v/>
      </c>
      <c r="E118" s="17" t="str">
        <f aca="false">IF(D118="","",SUMIFS(Compras!$H$5:$H$2000,Compras!$B$5:$B$2000,A118,Compras!$A$5:$A$2000,D118,Compras!$H$5:$H$2000,"&gt;0")/COUNTIFS(Compras!$B$5:$B$2000,A118,Compras!$A$5:$A$2000,D118,Compras!$H$5:$H$2000,"&gt;0"))</f>
        <v/>
      </c>
      <c r="F118" s="17" t="str">
        <f aca="false">IF(D118="","",SUMIFS(Compras!$F$5:$F$2000,Compras!$B$5:$B$2000,A118,Compras!$H$5:$H$2000,"&gt;0")/SUMIFS(Compras!$G$5:$G$2000,Compras!$B$5:$B$2000,A118,Compras!$H$5:$H$2000,"&gt;0"))</f>
        <v/>
      </c>
      <c r="G118" s="18" t="str">
        <f aca="false">IF(D118="","",IF(CFG_Metodo="Promedio",F118,E118))</f>
        <v/>
      </c>
      <c r="H118" s="19" t="str">
        <f aca="false">IF(G118="","",IF(C118="unidad",G118,G118*1000))</f>
        <v/>
      </c>
      <c r="I118" s="20" t="str">
        <f aca="false">IF(A118="","",IF(C118="","Falta unidad base",IF(D118="","Sin compras cargadas","OK")))</f>
        <v/>
      </c>
    </row>
    <row r="119" customFormat="false" ht="15" hidden="false" customHeight="false" outlineLevel="0" collapsed="false">
      <c r="A119" s="15"/>
      <c r="B119" s="15"/>
      <c r="C119" s="15"/>
      <c r="D119" s="16" t="str">
        <f aca="false">IF(A119="","",IF(COUNTIFS(Compras!$B$5:$B$2000,A119,Compras!$H$5:$H$2000,"&gt;0")=0,"",_xlfn.MAXIFS(Compras!$A$5:$A$2000,Compras!$B$5:$B$2000,A119,Compras!$H$5:$H$2000,"&gt;0")))</f>
        <v/>
      </c>
      <c r="E119" s="17" t="str">
        <f aca="false">IF(D119="","",SUMIFS(Compras!$H$5:$H$2000,Compras!$B$5:$B$2000,A119,Compras!$A$5:$A$2000,D119,Compras!$H$5:$H$2000,"&gt;0")/COUNTIFS(Compras!$B$5:$B$2000,A119,Compras!$A$5:$A$2000,D119,Compras!$H$5:$H$2000,"&gt;0"))</f>
        <v/>
      </c>
      <c r="F119" s="17" t="str">
        <f aca="false">IF(D119="","",SUMIFS(Compras!$F$5:$F$2000,Compras!$B$5:$B$2000,A119,Compras!$H$5:$H$2000,"&gt;0")/SUMIFS(Compras!$G$5:$G$2000,Compras!$B$5:$B$2000,A119,Compras!$H$5:$H$2000,"&gt;0"))</f>
        <v/>
      </c>
      <c r="G119" s="18" t="str">
        <f aca="false">IF(D119="","",IF(CFG_Metodo="Promedio",F119,E119))</f>
        <v/>
      </c>
      <c r="H119" s="19" t="str">
        <f aca="false">IF(G119="","",IF(C119="unidad",G119,G119*1000))</f>
        <v/>
      </c>
      <c r="I119" s="20" t="str">
        <f aca="false">IF(A119="","",IF(C119="","Falta unidad base",IF(D119="","Sin compras cargadas","OK")))</f>
        <v/>
      </c>
    </row>
    <row r="120" customFormat="false" ht="15" hidden="false" customHeight="false" outlineLevel="0" collapsed="false">
      <c r="A120" s="15"/>
      <c r="B120" s="15"/>
      <c r="C120" s="15"/>
      <c r="D120" s="16" t="str">
        <f aca="false">IF(A120="","",IF(COUNTIFS(Compras!$B$5:$B$2000,A120,Compras!$H$5:$H$2000,"&gt;0")=0,"",_xlfn.MAXIFS(Compras!$A$5:$A$2000,Compras!$B$5:$B$2000,A120,Compras!$H$5:$H$2000,"&gt;0")))</f>
        <v/>
      </c>
      <c r="E120" s="17" t="str">
        <f aca="false">IF(D120="","",SUMIFS(Compras!$H$5:$H$2000,Compras!$B$5:$B$2000,A120,Compras!$A$5:$A$2000,D120,Compras!$H$5:$H$2000,"&gt;0")/COUNTIFS(Compras!$B$5:$B$2000,A120,Compras!$A$5:$A$2000,D120,Compras!$H$5:$H$2000,"&gt;0"))</f>
        <v/>
      </c>
      <c r="F120" s="17" t="str">
        <f aca="false">IF(D120="","",SUMIFS(Compras!$F$5:$F$2000,Compras!$B$5:$B$2000,A120,Compras!$H$5:$H$2000,"&gt;0")/SUMIFS(Compras!$G$5:$G$2000,Compras!$B$5:$B$2000,A120,Compras!$H$5:$H$2000,"&gt;0"))</f>
        <v/>
      </c>
      <c r="G120" s="18" t="str">
        <f aca="false">IF(D120="","",IF(CFG_Metodo="Promedio",F120,E120))</f>
        <v/>
      </c>
      <c r="H120" s="19" t="str">
        <f aca="false">IF(G120="","",IF(C120="unidad",G120,G120*1000))</f>
        <v/>
      </c>
      <c r="I120" s="20" t="str">
        <f aca="false">IF(A120="","",IF(C120="","Falta unidad base",IF(D120="","Sin compras cargadas","OK")))</f>
        <v/>
      </c>
    </row>
    <row r="121" customFormat="false" ht="15" hidden="false" customHeight="false" outlineLevel="0" collapsed="false">
      <c r="A121" s="15"/>
      <c r="B121" s="15"/>
      <c r="C121" s="15"/>
      <c r="D121" s="16" t="str">
        <f aca="false">IF(A121="","",IF(COUNTIFS(Compras!$B$5:$B$2000,A121,Compras!$H$5:$H$2000,"&gt;0")=0,"",_xlfn.MAXIFS(Compras!$A$5:$A$2000,Compras!$B$5:$B$2000,A121,Compras!$H$5:$H$2000,"&gt;0")))</f>
        <v/>
      </c>
      <c r="E121" s="17" t="str">
        <f aca="false">IF(D121="","",SUMIFS(Compras!$H$5:$H$2000,Compras!$B$5:$B$2000,A121,Compras!$A$5:$A$2000,D121,Compras!$H$5:$H$2000,"&gt;0")/COUNTIFS(Compras!$B$5:$B$2000,A121,Compras!$A$5:$A$2000,D121,Compras!$H$5:$H$2000,"&gt;0"))</f>
        <v/>
      </c>
      <c r="F121" s="17" t="str">
        <f aca="false">IF(D121="","",SUMIFS(Compras!$F$5:$F$2000,Compras!$B$5:$B$2000,A121,Compras!$H$5:$H$2000,"&gt;0")/SUMIFS(Compras!$G$5:$G$2000,Compras!$B$5:$B$2000,A121,Compras!$H$5:$H$2000,"&gt;0"))</f>
        <v/>
      </c>
      <c r="G121" s="18" t="str">
        <f aca="false">IF(D121="","",IF(CFG_Metodo="Promedio",F121,E121))</f>
        <v/>
      </c>
      <c r="H121" s="19" t="str">
        <f aca="false">IF(G121="","",IF(C121="unidad",G121,G121*1000))</f>
        <v/>
      </c>
      <c r="I121" s="20" t="str">
        <f aca="false">IF(A121="","",IF(C121="","Falta unidad base",IF(D121="","Sin compras cargadas","OK")))</f>
        <v/>
      </c>
    </row>
    <row r="122" customFormat="false" ht="15" hidden="false" customHeight="false" outlineLevel="0" collapsed="false">
      <c r="A122" s="15"/>
      <c r="B122" s="15"/>
      <c r="C122" s="15"/>
      <c r="D122" s="16" t="str">
        <f aca="false">IF(A122="","",IF(COUNTIFS(Compras!$B$5:$B$2000,A122,Compras!$H$5:$H$2000,"&gt;0")=0,"",_xlfn.MAXIFS(Compras!$A$5:$A$2000,Compras!$B$5:$B$2000,A122,Compras!$H$5:$H$2000,"&gt;0")))</f>
        <v/>
      </c>
      <c r="E122" s="17" t="str">
        <f aca="false">IF(D122="","",SUMIFS(Compras!$H$5:$H$2000,Compras!$B$5:$B$2000,A122,Compras!$A$5:$A$2000,D122,Compras!$H$5:$H$2000,"&gt;0")/COUNTIFS(Compras!$B$5:$B$2000,A122,Compras!$A$5:$A$2000,D122,Compras!$H$5:$H$2000,"&gt;0"))</f>
        <v/>
      </c>
      <c r="F122" s="17" t="str">
        <f aca="false">IF(D122="","",SUMIFS(Compras!$F$5:$F$2000,Compras!$B$5:$B$2000,A122,Compras!$H$5:$H$2000,"&gt;0")/SUMIFS(Compras!$G$5:$G$2000,Compras!$B$5:$B$2000,A122,Compras!$H$5:$H$2000,"&gt;0"))</f>
        <v/>
      </c>
      <c r="G122" s="18" t="str">
        <f aca="false">IF(D122="","",IF(CFG_Metodo="Promedio",F122,E122))</f>
        <v/>
      </c>
      <c r="H122" s="19" t="str">
        <f aca="false">IF(G122="","",IF(C122="unidad",G122,G122*1000))</f>
        <v/>
      </c>
      <c r="I122" s="20" t="str">
        <f aca="false">IF(A122="","",IF(C122="","Falta unidad base",IF(D122="","Sin compras cargadas","OK")))</f>
        <v/>
      </c>
    </row>
    <row r="123" customFormat="false" ht="15" hidden="false" customHeight="false" outlineLevel="0" collapsed="false">
      <c r="A123" s="15"/>
      <c r="B123" s="15"/>
      <c r="C123" s="15"/>
      <c r="D123" s="16" t="str">
        <f aca="false">IF(A123="","",IF(COUNTIFS(Compras!$B$5:$B$2000,A123,Compras!$H$5:$H$2000,"&gt;0")=0,"",_xlfn.MAXIFS(Compras!$A$5:$A$2000,Compras!$B$5:$B$2000,A123,Compras!$H$5:$H$2000,"&gt;0")))</f>
        <v/>
      </c>
      <c r="E123" s="17" t="str">
        <f aca="false">IF(D123="","",SUMIFS(Compras!$H$5:$H$2000,Compras!$B$5:$B$2000,A123,Compras!$A$5:$A$2000,D123,Compras!$H$5:$H$2000,"&gt;0")/COUNTIFS(Compras!$B$5:$B$2000,A123,Compras!$A$5:$A$2000,D123,Compras!$H$5:$H$2000,"&gt;0"))</f>
        <v/>
      </c>
      <c r="F123" s="17" t="str">
        <f aca="false">IF(D123="","",SUMIFS(Compras!$F$5:$F$2000,Compras!$B$5:$B$2000,A123,Compras!$H$5:$H$2000,"&gt;0")/SUMIFS(Compras!$G$5:$G$2000,Compras!$B$5:$B$2000,A123,Compras!$H$5:$H$2000,"&gt;0"))</f>
        <v/>
      </c>
      <c r="G123" s="18" t="str">
        <f aca="false">IF(D123="","",IF(CFG_Metodo="Promedio",F123,E123))</f>
        <v/>
      </c>
      <c r="H123" s="19" t="str">
        <f aca="false">IF(G123="","",IF(C123="unidad",G123,G123*1000))</f>
        <v/>
      </c>
      <c r="I123" s="20" t="str">
        <f aca="false">IF(A123="","",IF(C123="","Falta unidad base",IF(D123="","Sin compras cargadas","OK")))</f>
        <v/>
      </c>
    </row>
    <row r="124" customFormat="false" ht="15" hidden="false" customHeight="false" outlineLevel="0" collapsed="false">
      <c r="A124" s="15"/>
      <c r="B124" s="15"/>
      <c r="C124" s="15"/>
      <c r="D124" s="16" t="str">
        <f aca="false">IF(A124="","",IF(COUNTIFS(Compras!$B$5:$B$2000,A124,Compras!$H$5:$H$2000,"&gt;0")=0,"",_xlfn.MAXIFS(Compras!$A$5:$A$2000,Compras!$B$5:$B$2000,A124,Compras!$H$5:$H$2000,"&gt;0")))</f>
        <v/>
      </c>
      <c r="E124" s="17" t="str">
        <f aca="false">IF(D124="","",SUMIFS(Compras!$H$5:$H$2000,Compras!$B$5:$B$2000,A124,Compras!$A$5:$A$2000,D124,Compras!$H$5:$H$2000,"&gt;0")/COUNTIFS(Compras!$B$5:$B$2000,A124,Compras!$A$5:$A$2000,D124,Compras!$H$5:$H$2000,"&gt;0"))</f>
        <v/>
      </c>
      <c r="F124" s="17" t="str">
        <f aca="false">IF(D124="","",SUMIFS(Compras!$F$5:$F$2000,Compras!$B$5:$B$2000,A124,Compras!$H$5:$H$2000,"&gt;0")/SUMIFS(Compras!$G$5:$G$2000,Compras!$B$5:$B$2000,A124,Compras!$H$5:$H$2000,"&gt;0"))</f>
        <v/>
      </c>
      <c r="G124" s="18" t="str">
        <f aca="false">IF(D124="","",IF(CFG_Metodo="Promedio",F124,E124))</f>
        <v/>
      </c>
      <c r="H124" s="19" t="str">
        <f aca="false">IF(G124="","",IF(C124="unidad",G124,G124*1000))</f>
        <v/>
      </c>
      <c r="I124" s="20" t="str">
        <f aca="false">IF(A124="","",IF(C124="","Falta unidad base",IF(D124="","Sin compras cargadas","OK")))</f>
        <v/>
      </c>
    </row>
    <row r="125" customFormat="false" ht="15" hidden="false" customHeight="false" outlineLevel="0" collapsed="false">
      <c r="A125" s="15"/>
      <c r="B125" s="15"/>
      <c r="C125" s="15"/>
      <c r="D125" s="16" t="str">
        <f aca="false">IF(A125="","",IF(COUNTIFS(Compras!$B$5:$B$2000,A125,Compras!$H$5:$H$2000,"&gt;0")=0,"",_xlfn.MAXIFS(Compras!$A$5:$A$2000,Compras!$B$5:$B$2000,A125,Compras!$H$5:$H$2000,"&gt;0")))</f>
        <v/>
      </c>
      <c r="E125" s="17" t="str">
        <f aca="false">IF(D125="","",SUMIFS(Compras!$H$5:$H$2000,Compras!$B$5:$B$2000,A125,Compras!$A$5:$A$2000,D125,Compras!$H$5:$H$2000,"&gt;0")/COUNTIFS(Compras!$B$5:$B$2000,A125,Compras!$A$5:$A$2000,D125,Compras!$H$5:$H$2000,"&gt;0"))</f>
        <v/>
      </c>
      <c r="F125" s="17" t="str">
        <f aca="false">IF(D125="","",SUMIFS(Compras!$F$5:$F$2000,Compras!$B$5:$B$2000,A125,Compras!$H$5:$H$2000,"&gt;0")/SUMIFS(Compras!$G$5:$G$2000,Compras!$B$5:$B$2000,A125,Compras!$H$5:$H$2000,"&gt;0"))</f>
        <v/>
      </c>
      <c r="G125" s="18" t="str">
        <f aca="false">IF(D125="","",IF(CFG_Metodo="Promedio",F125,E125))</f>
        <v/>
      </c>
      <c r="H125" s="19" t="str">
        <f aca="false">IF(G125="","",IF(C125="unidad",G125,G125*1000))</f>
        <v/>
      </c>
      <c r="I125" s="20" t="str">
        <f aca="false">IF(A125="","",IF(C125="","Falta unidad base",IF(D125="","Sin compras cargadas","OK")))</f>
        <v/>
      </c>
    </row>
    <row r="126" customFormat="false" ht="15" hidden="false" customHeight="false" outlineLevel="0" collapsed="false">
      <c r="A126" s="15"/>
      <c r="B126" s="15"/>
      <c r="C126" s="15"/>
      <c r="D126" s="16" t="str">
        <f aca="false">IF(A126="","",IF(COUNTIFS(Compras!$B$5:$B$2000,A126,Compras!$H$5:$H$2000,"&gt;0")=0,"",_xlfn.MAXIFS(Compras!$A$5:$A$2000,Compras!$B$5:$B$2000,A126,Compras!$H$5:$H$2000,"&gt;0")))</f>
        <v/>
      </c>
      <c r="E126" s="17" t="str">
        <f aca="false">IF(D126="","",SUMIFS(Compras!$H$5:$H$2000,Compras!$B$5:$B$2000,A126,Compras!$A$5:$A$2000,D126,Compras!$H$5:$H$2000,"&gt;0")/COUNTIFS(Compras!$B$5:$B$2000,A126,Compras!$A$5:$A$2000,D126,Compras!$H$5:$H$2000,"&gt;0"))</f>
        <v/>
      </c>
      <c r="F126" s="17" t="str">
        <f aca="false">IF(D126="","",SUMIFS(Compras!$F$5:$F$2000,Compras!$B$5:$B$2000,A126,Compras!$H$5:$H$2000,"&gt;0")/SUMIFS(Compras!$G$5:$G$2000,Compras!$B$5:$B$2000,A126,Compras!$H$5:$H$2000,"&gt;0"))</f>
        <v/>
      </c>
      <c r="G126" s="18" t="str">
        <f aca="false">IF(D126="","",IF(CFG_Metodo="Promedio",F126,E126))</f>
        <v/>
      </c>
      <c r="H126" s="19" t="str">
        <f aca="false">IF(G126="","",IF(C126="unidad",G126,G126*1000))</f>
        <v/>
      </c>
      <c r="I126" s="20" t="str">
        <f aca="false">IF(A126="","",IF(C126="","Falta unidad base",IF(D126="","Sin compras cargadas","OK")))</f>
        <v/>
      </c>
    </row>
    <row r="127" customFormat="false" ht="15" hidden="false" customHeight="false" outlineLevel="0" collapsed="false">
      <c r="A127" s="15"/>
      <c r="B127" s="15"/>
      <c r="C127" s="15"/>
      <c r="D127" s="16" t="str">
        <f aca="false">IF(A127="","",IF(COUNTIFS(Compras!$B$5:$B$2000,A127,Compras!$H$5:$H$2000,"&gt;0")=0,"",_xlfn.MAXIFS(Compras!$A$5:$A$2000,Compras!$B$5:$B$2000,A127,Compras!$H$5:$H$2000,"&gt;0")))</f>
        <v/>
      </c>
      <c r="E127" s="17" t="str">
        <f aca="false">IF(D127="","",SUMIFS(Compras!$H$5:$H$2000,Compras!$B$5:$B$2000,A127,Compras!$A$5:$A$2000,D127,Compras!$H$5:$H$2000,"&gt;0")/COUNTIFS(Compras!$B$5:$B$2000,A127,Compras!$A$5:$A$2000,D127,Compras!$H$5:$H$2000,"&gt;0"))</f>
        <v/>
      </c>
      <c r="F127" s="17" t="str">
        <f aca="false">IF(D127="","",SUMIFS(Compras!$F$5:$F$2000,Compras!$B$5:$B$2000,A127,Compras!$H$5:$H$2000,"&gt;0")/SUMIFS(Compras!$G$5:$G$2000,Compras!$B$5:$B$2000,A127,Compras!$H$5:$H$2000,"&gt;0"))</f>
        <v/>
      </c>
      <c r="G127" s="18" t="str">
        <f aca="false">IF(D127="","",IF(CFG_Metodo="Promedio",F127,E127))</f>
        <v/>
      </c>
      <c r="H127" s="19" t="str">
        <f aca="false">IF(G127="","",IF(C127="unidad",G127,G127*1000))</f>
        <v/>
      </c>
      <c r="I127" s="20" t="str">
        <f aca="false">IF(A127="","",IF(C127="","Falta unidad base",IF(D127="","Sin compras cargadas","OK")))</f>
        <v/>
      </c>
    </row>
    <row r="128" customFormat="false" ht="15" hidden="false" customHeight="false" outlineLevel="0" collapsed="false">
      <c r="A128" s="15"/>
      <c r="B128" s="15"/>
      <c r="C128" s="15"/>
      <c r="D128" s="16" t="str">
        <f aca="false">IF(A128="","",IF(COUNTIFS(Compras!$B$5:$B$2000,A128,Compras!$H$5:$H$2000,"&gt;0")=0,"",_xlfn.MAXIFS(Compras!$A$5:$A$2000,Compras!$B$5:$B$2000,A128,Compras!$H$5:$H$2000,"&gt;0")))</f>
        <v/>
      </c>
      <c r="E128" s="17" t="str">
        <f aca="false">IF(D128="","",SUMIFS(Compras!$H$5:$H$2000,Compras!$B$5:$B$2000,A128,Compras!$A$5:$A$2000,D128,Compras!$H$5:$H$2000,"&gt;0")/COUNTIFS(Compras!$B$5:$B$2000,A128,Compras!$A$5:$A$2000,D128,Compras!$H$5:$H$2000,"&gt;0"))</f>
        <v/>
      </c>
      <c r="F128" s="17" t="str">
        <f aca="false">IF(D128="","",SUMIFS(Compras!$F$5:$F$2000,Compras!$B$5:$B$2000,A128,Compras!$H$5:$H$2000,"&gt;0")/SUMIFS(Compras!$G$5:$G$2000,Compras!$B$5:$B$2000,A128,Compras!$H$5:$H$2000,"&gt;0"))</f>
        <v/>
      </c>
      <c r="G128" s="18" t="str">
        <f aca="false">IF(D128="","",IF(CFG_Metodo="Promedio",F128,E128))</f>
        <v/>
      </c>
      <c r="H128" s="19" t="str">
        <f aca="false">IF(G128="","",IF(C128="unidad",G128,G128*1000))</f>
        <v/>
      </c>
      <c r="I128" s="20" t="str">
        <f aca="false">IF(A128="","",IF(C128="","Falta unidad base",IF(D128="","Sin compras cargadas","OK")))</f>
        <v/>
      </c>
    </row>
    <row r="129" customFormat="false" ht="15" hidden="false" customHeight="false" outlineLevel="0" collapsed="false">
      <c r="A129" s="15"/>
      <c r="B129" s="15"/>
      <c r="C129" s="15"/>
      <c r="D129" s="16" t="str">
        <f aca="false">IF(A129="","",IF(COUNTIFS(Compras!$B$5:$B$2000,A129,Compras!$H$5:$H$2000,"&gt;0")=0,"",_xlfn.MAXIFS(Compras!$A$5:$A$2000,Compras!$B$5:$B$2000,A129,Compras!$H$5:$H$2000,"&gt;0")))</f>
        <v/>
      </c>
      <c r="E129" s="17" t="str">
        <f aca="false">IF(D129="","",SUMIFS(Compras!$H$5:$H$2000,Compras!$B$5:$B$2000,A129,Compras!$A$5:$A$2000,D129,Compras!$H$5:$H$2000,"&gt;0")/COUNTIFS(Compras!$B$5:$B$2000,A129,Compras!$A$5:$A$2000,D129,Compras!$H$5:$H$2000,"&gt;0"))</f>
        <v/>
      </c>
      <c r="F129" s="17" t="str">
        <f aca="false">IF(D129="","",SUMIFS(Compras!$F$5:$F$2000,Compras!$B$5:$B$2000,A129,Compras!$H$5:$H$2000,"&gt;0")/SUMIFS(Compras!$G$5:$G$2000,Compras!$B$5:$B$2000,A129,Compras!$H$5:$H$2000,"&gt;0"))</f>
        <v/>
      </c>
      <c r="G129" s="18" t="str">
        <f aca="false">IF(D129="","",IF(CFG_Metodo="Promedio",F129,E129))</f>
        <v/>
      </c>
      <c r="H129" s="19" t="str">
        <f aca="false">IF(G129="","",IF(C129="unidad",G129,G129*1000))</f>
        <v/>
      </c>
      <c r="I129" s="20" t="str">
        <f aca="false">IF(A129="","",IF(C129="","Falta unidad base",IF(D129="","Sin compras cargadas","OK")))</f>
        <v/>
      </c>
    </row>
    <row r="130" customFormat="false" ht="15" hidden="false" customHeight="false" outlineLevel="0" collapsed="false">
      <c r="A130" s="15"/>
      <c r="B130" s="15"/>
      <c r="C130" s="15"/>
      <c r="D130" s="16" t="str">
        <f aca="false">IF(A130="","",IF(COUNTIFS(Compras!$B$5:$B$2000,A130,Compras!$H$5:$H$2000,"&gt;0")=0,"",_xlfn.MAXIFS(Compras!$A$5:$A$2000,Compras!$B$5:$B$2000,A130,Compras!$H$5:$H$2000,"&gt;0")))</f>
        <v/>
      </c>
      <c r="E130" s="17" t="str">
        <f aca="false">IF(D130="","",SUMIFS(Compras!$H$5:$H$2000,Compras!$B$5:$B$2000,A130,Compras!$A$5:$A$2000,D130,Compras!$H$5:$H$2000,"&gt;0")/COUNTIFS(Compras!$B$5:$B$2000,A130,Compras!$A$5:$A$2000,D130,Compras!$H$5:$H$2000,"&gt;0"))</f>
        <v/>
      </c>
      <c r="F130" s="17" t="str">
        <f aca="false">IF(D130="","",SUMIFS(Compras!$F$5:$F$2000,Compras!$B$5:$B$2000,A130,Compras!$H$5:$H$2000,"&gt;0")/SUMIFS(Compras!$G$5:$G$2000,Compras!$B$5:$B$2000,A130,Compras!$H$5:$H$2000,"&gt;0"))</f>
        <v/>
      </c>
      <c r="G130" s="18" t="str">
        <f aca="false">IF(D130="","",IF(CFG_Metodo="Promedio",F130,E130))</f>
        <v/>
      </c>
      <c r="H130" s="19" t="str">
        <f aca="false">IF(G130="","",IF(C130="unidad",G130,G130*1000))</f>
        <v/>
      </c>
      <c r="I130" s="20" t="str">
        <f aca="false">IF(A130="","",IF(C130="","Falta unidad base",IF(D130="","Sin compras cargadas","OK")))</f>
        <v/>
      </c>
    </row>
    <row r="131" customFormat="false" ht="15" hidden="false" customHeight="false" outlineLevel="0" collapsed="false">
      <c r="A131" s="15"/>
      <c r="B131" s="15"/>
      <c r="C131" s="15"/>
      <c r="D131" s="16" t="str">
        <f aca="false">IF(A131="","",IF(COUNTIFS(Compras!$B$5:$B$2000,A131,Compras!$H$5:$H$2000,"&gt;0")=0,"",_xlfn.MAXIFS(Compras!$A$5:$A$2000,Compras!$B$5:$B$2000,A131,Compras!$H$5:$H$2000,"&gt;0")))</f>
        <v/>
      </c>
      <c r="E131" s="17" t="str">
        <f aca="false">IF(D131="","",SUMIFS(Compras!$H$5:$H$2000,Compras!$B$5:$B$2000,A131,Compras!$A$5:$A$2000,D131,Compras!$H$5:$H$2000,"&gt;0")/COUNTIFS(Compras!$B$5:$B$2000,A131,Compras!$A$5:$A$2000,D131,Compras!$H$5:$H$2000,"&gt;0"))</f>
        <v/>
      </c>
      <c r="F131" s="17" t="str">
        <f aca="false">IF(D131="","",SUMIFS(Compras!$F$5:$F$2000,Compras!$B$5:$B$2000,A131,Compras!$H$5:$H$2000,"&gt;0")/SUMIFS(Compras!$G$5:$G$2000,Compras!$B$5:$B$2000,A131,Compras!$H$5:$H$2000,"&gt;0"))</f>
        <v/>
      </c>
      <c r="G131" s="18" t="str">
        <f aca="false">IF(D131="","",IF(CFG_Metodo="Promedio",F131,E131))</f>
        <v/>
      </c>
      <c r="H131" s="19" t="str">
        <f aca="false">IF(G131="","",IF(C131="unidad",G131,G131*1000))</f>
        <v/>
      </c>
      <c r="I131" s="20" t="str">
        <f aca="false">IF(A131="","",IF(C131="","Falta unidad base",IF(D131="","Sin compras cargadas","OK")))</f>
        <v/>
      </c>
    </row>
    <row r="132" customFormat="false" ht="15" hidden="false" customHeight="false" outlineLevel="0" collapsed="false">
      <c r="A132" s="15"/>
      <c r="B132" s="15"/>
      <c r="C132" s="15"/>
      <c r="D132" s="16" t="str">
        <f aca="false">IF(A132="","",IF(COUNTIFS(Compras!$B$5:$B$2000,A132,Compras!$H$5:$H$2000,"&gt;0")=0,"",_xlfn.MAXIFS(Compras!$A$5:$A$2000,Compras!$B$5:$B$2000,A132,Compras!$H$5:$H$2000,"&gt;0")))</f>
        <v/>
      </c>
      <c r="E132" s="17" t="str">
        <f aca="false">IF(D132="","",SUMIFS(Compras!$H$5:$H$2000,Compras!$B$5:$B$2000,A132,Compras!$A$5:$A$2000,D132,Compras!$H$5:$H$2000,"&gt;0")/COUNTIFS(Compras!$B$5:$B$2000,A132,Compras!$A$5:$A$2000,D132,Compras!$H$5:$H$2000,"&gt;0"))</f>
        <v/>
      </c>
      <c r="F132" s="17" t="str">
        <f aca="false">IF(D132="","",SUMIFS(Compras!$F$5:$F$2000,Compras!$B$5:$B$2000,A132,Compras!$H$5:$H$2000,"&gt;0")/SUMIFS(Compras!$G$5:$G$2000,Compras!$B$5:$B$2000,A132,Compras!$H$5:$H$2000,"&gt;0"))</f>
        <v/>
      </c>
      <c r="G132" s="18" t="str">
        <f aca="false">IF(D132="","",IF(CFG_Metodo="Promedio",F132,E132))</f>
        <v/>
      </c>
      <c r="H132" s="19" t="str">
        <f aca="false">IF(G132="","",IF(C132="unidad",G132,G132*1000))</f>
        <v/>
      </c>
      <c r="I132" s="20" t="str">
        <f aca="false">IF(A132="","",IF(C132="","Falta unidad base",IF(D132="","Sin compras cargadas","OK")))</f>
        <v/>
      </c>
    </row>
    <row r="133" customFormat="false" ht="15" hidden="false" customHeight="false" outlineLevel="0" collapsed="false">
      <c r="A133" s="15"/>
      <c r="B133" s="15"/>
      <c r="C133" s="15"/>
      <c r="D133" s="16" t="str">
        <f aca="false">IF(A133="","",IF(COUNTIFS(Compras!$B$5:$B$2000,A133,Compras!$H$5:$H$2000,"&gt;0")=0,"",_xlfn.MAXIFS(Compras!$A$5:$A$2000,Compras!$B$5:$B$2000,A133,Compras!$H$5:$H$2000,"&gt;0")))</f>
        <v/>
      </c>
      <c r="E133" s="17" t="str">
        <f aca="false">IF(D133="","",SUMIFS(Compras!$H$5:$H$2000,Compras!$B$5:$B$2000,A133,Compras!$A$5:$A$2000,D133,Compras!$H$5:$H$2000,"&gt;0")/COUNTIFS(Compras!$B$5:$B$2000,A133,Compras!$A$5:$A$2000,D133,Compras!$H$5:$H$2000,"&gt;0"))</f>
        <v/>
      </c>
      <c r="F133" s="17" t="str">
        <f aca="false">IF(D133="","",SUMIFS(Compras!$F$5:$F$2000,Compras!$B$5:$B$2000,A133,Compras!$H$5:$H$2000,"&gt;0")/SUMIFS(Compras!$G$5:$G$2000,Compras!$B$5:$B$2000,A133,Compras!$H$5:$H$2000,"&gt;0"))</f>
        <v/>
      </c>
      <c r="G133" s="18" t="str">
        <f aca="false">IF(D133="","",IF(CFG_Metodo="Promedio",F133,E133))</f>
        <v/>
      </c>
      <c r="H133" s="19" t="str">
        <f aca="false">IF(G133="","",IF(C133="unidad",G133,G133*1000))</f>
        <v/>
      </c>
      <c r="I133" s="20" t="str">
        <f aca="false">IF(A133="","",IF(C133="","Falta unidad base",IF(D133="","Sin compras cargadas","OK")))</f>
        <v/>
      </c>
    </row>
    <row r="134" customFormat="false" ht="15" hidden="false" customHeight="false" outlineLevel="0" collapsed="false">
      <c r="A134" s="15"/>
      <c r="B134" s="15"/>
      <c r="C134" s="15"/>
      <c r="D134" s="16" t="str">
        <f aca="false">IF(A134="","",IF(COUNTIFS(Compras!$B$5:$B$2000,A134,Compras!$H$5:$H$2000,"&gt;0")=0,"",_xlfn.MAXIFS(Compras!$A$5:$A$2000,Compras!$B$5:$B$2000,A134,Compras!$H$5:$H$2000,"&gt;0")))</f>
        <v/>
      </c>
      <c r="E134" s="17" t="str">
        <f aca="false">IF(D134="","",SUMIFS(Compras!$H$5:$H$2000,Compras!$B$5:$B$2000,A134,Compras!$A$5:$A$2000,D134,Compras!$H$5:$H$2000,"&gt;0")/COUNTIFS(Compras!$B$5:$B$2000,A134,Compras!$A$5:$A$2000,D134,Compras!$H$5:$H$2000,"&gt;0"))</f>
        <v/>
      </c>
      <c r="F134" s="17" t="str">
        <f aca="false">IF(D134="","",SUMIFS(Compras!$F$5:$F$2000,Compras!$B$5:$B$2000,A134,Compras!$H$5:$H$2000,"&gt;0")/SUMIFS(Compras!$G$5:$G$2000,Compras!$B$5:$B$2000,A134,Compras!$H$5:$H$2000,"&gt;0"))</f>
        <v/>
      </c>
      <c r="G134" s="18" t="str">
        <f aca="false">IF(D134="","",IF(CFG_Metodo="Promedio",F134,E134))</f>
        <v/>
      </c>
      <c r="H134" s="19" t="str">
        <f aca="false">IF(G134="","",IF(C134="unidad",G134,G134*1000))</f>
        <v/>
      </c>
      <c r="I134" s="20" t="str">
        <f aca="false">IF(A134="","",IF(C134="","Falta unidad base",IF(D134="","Sin compras cargadas","OK")))</f>
        <v/>
      </c>
    </row>
    <row r="135" customFormat="false" ht="15" hidden="false" customHeight="false" outlineLevel="0" collapsed="false">
      <c r="A135" s="15"/>
      <c r="B135" s="15"/>
      <c r="C135" s="15"/>
      <c r="D135" s="16" t="str">
        <f aca="false">IF(A135="","",IF(COUNTIFS(Compras!$B$5:$B$2000,A135,Compras!$H$5:$H$2000,"&gt;0")=0,"",_xlfn.MAXIFS(Compras!$A$5:$A$2000,Compras!$B$5:$B$2000,A135,Compras!$H$5:$H$2000,"&gt;0")))</f>
        <v/>
      </c>
      <c r="E135" s="17" t="str">
        <f aca="false">IF(D135="","",SUMIFS(Compras!$H$5:$H$2000,Compras!$B$5:$B$2000,A135,Compras!$A$5:$A$2000,D135,Compras!$H$5:$H$2000,"&gt;0")/COUNTIFS(Compras!$B$5:$B$2000,A135,Compras!$A$5:$A$2000,D135,Compras!$H$5:$H$2000,"&gt;0"))</f>
        <v/>
      </c>
      <c r="F135" s="17" t="str">
        <f aca="false">IF(D135="","",SUMIFS(Compras!$F$5:$F$2000,Compras!$B$5:$B$2000,A135,Compras!$H$5:$H$2000,"&gt;0")/SUMIFS(Compras!$G$5:$G$2000,Compras!$B$5:$B$2000,A135,Compras!$H$5:$H$2000,"&gt;0"))</f>
        <v/>
      </c>
      <c r="G135" s="18" t="str">
        <f aca="false">IF(D135="","",IF(CFG_Metodo="Promedio",F135,E135))</f>
        <v/>
      </c>
      <c r="H135" s="19" t="str">
        <f aca="false">IF(G135="","",IF(C135="unidad",G135,G135*1000))</f>
        <v/>
      </c>
      <c r="I135" s="20" t="str">
        <f aca="false">IF(A135="","",IF(C135="","Falta unidad base",IF(D135="","Sin compras cargadas","OK")))</f>
        <v/>
      </c>
    </row>
    <row r="136" customFormat="false" ht="15" hidden="false" customHeight="false" outlineLevel="0" collapsed="false">
      <c r="A136" s="15"/>
      <c r="B136" s="15"/>
      <c r="C136" s="15"/>
      <c r="D136" s="16" t="str">
        <f aca="false">IF(A136="","",IF(COUNTIFS(Compras!$B$5:$B$2000,A136,Compras!$H$5:$H$2000,"&gt;0")=0,"",_xlfn.MAXIFS(Compras!$A$5:$A$2000,Compras!$B$5:$B$2000,A136,Compras!$H$5:$H$2000,"&gt;0")))</f>
        <v/>
      </c>
      <c r="E136" s="17" t="str">
        <f aca="false">IF(D136="","",SUMIFS(Compras!$H$5:$H$2000,Compras!$B$5:$B$2000,A136,Compras!$A$5:$A$2000,D136,Compras!$H$5:$H$2000,"&gt;0")/COUNTIFS(Compras!$B$5:$B$2000,A136,Compras!$A$5:$A$2000,D136,Compras!$H$5:$H$2000,"&gt;0"))</f>
        <v/>
      </c>
      <c r="F136" s="17" t="str">
        <f aca="false">IF(D136="","",SUMIFS(Compras!$F$5:$F$2000,Compras!$B$5:$B$2000,A136,Compras!$H$5:$H$2000,"&gt;0")/SUMIFS(Compras!$G$5:$G$2000,Compras!$B$5:$B$2000,A136,Compras!$H$5:$H$2000,"&gt;0"))</f>
        <v/>
      </c>
      <c r="G136" s="18" t="str">
        <f aca="false">IF(D136="","",IF(CFG_Metodo="Promedio",F136,E136))</f>
        <v/>
      </c>
      <c r="H136" s="19" t="str">
        <f aca="false">IF(G136="","",IF(C136="unidad",G136,G136*1000))</f>
        <v/>
      </c>
      <c r="I136" s="20" t="str">
        <f aca="false">IF(A136="","",IF(C136="","Falta unidad base",IF(D136="","Sin compras cargadas","OK")))</f>
        <v/>
      </c>
    </row>
    <row r="137" customFormat="false" ht="15" hidden="false" customHeight="false" outlineLevel="0" collapsed="false">
      <c r="A137" s="15"/>
      <c r="B137" s="15"/>
      <c r="C137" s="15"/>
      <c r="D137" s="16" t="str">
        <f aca="false">IF(A137="","",IF(COUNTIFS(Compras!$B$5:$B$2000,A137,Compras!$H$5:$H$2000,"&gt;0")=0,"",_xlfn.MAXIFS(Compras!$A$5:$A$2000,Compras!$B$5:$B$2000,A137,Compras!$H$5:$H$2000,"&gt;0")))</f>
        <v/>
      </c>
      <c r="E137" s="17" t="str">
        <f aca="false">IF(D137="","",SUMIFS(Compras!$H$5:$H$2000,Compras!$B$5:$B$2000,A137,Compras!$A$5:$A$2000,D137,Compras!$H$5:$H$2000,"&gt;0")/COUNTIFS(Compras!$B$5:$B$2000,A137,Compras!$A$5:$A$2000,D137,Compras!$H$5:$H$2000,"&gt;0"))</f>
        <v/>
      </c>
      <c r="F137" s="17" t="str">
        <f aca="false">IF(D137="","",SUMIFS(Compras!$F$5:$F$2000,Compras!$B$5:$B$2000,A137,Compras!$H$5:$H$2000,"&gt;0")/SUMIFS(Compras!$G$5:$G$2000,Compras!$B$5:$B$2000,A137,Compras!$H$5:$H$2000,"&gt;0"))</f>
        <v/>
      </c>
      <c r="G137" s="18" t="str">
        <f aca="false">IF(D137="","",IF(CFG_Metodo="Promedio",F137,E137))</f>
        <v/>
      </c>
      <c r="H137" s="19" t="str">
        <f aca="false">IF(G137="","",IF(C137="unidad",G137,G137*1000))</f>
        <v/>
      </c>
      <c r="I137" s="20" t="str">
        <f aca="false">IF(A137="","",IF(C137="","Falta unidad base",IF(D137="","Sin compras cargadas","OK")))</f>
        <v/>
      </c>
    </row>
    <row r="138" customFormat="false" ht="15" hidden="false" customHeight="false" outlineLevel="0" collapsed="false">
      <c r="A138" s="15"/>
      <c r="B138" s="15"/>
      <c r="C138" s="15"/>
      <c r="D138" s="16" t="str">
        <f aca="false">IF(A138="","",IF(COUNTIFS(Compras!$B$5:$B$2000,A138,Compras!$H$5:$H$2000,"&gt;0")=0,"",_xlfn.MAXIFS(Compras!$A$5:$A$2000,Compras!$B$5:$B$2000,A138,Compras!$H$5:$H$2000,"&gt;0")))</f>
        <v/>
      </c>
      <c r="E138" s="17" t="str">
        <f aca="false">IF(D138="","",SUMIFS(Compras!$H$5:$H$2000,Compras!$B$5:$B$2000,A138,Compras!$A$5:$A$2000,D138,Compras!$H$5:$H$2000,"&gt;0")/COUNTIFS(Compras!$B$5:$B$2000,A138,Compras!$A$5:$A$2000,D138,Compras!$H$5:$H$2000,"&gt;0"))</f>
        <v/>
      </c>
      <c r="F138" s="17" t="str">
        <f aca="false">IF(D138="","",SUMIFS(Compras!$F$5:$F$2000,Compras!$B$5:$B$2000,A138,Compras!$H$5:$H$2000,"&gt;0")/SUMIFS(Compras!$G$5:$G$2000,Compras!$B$5:$B$2000,A138,Compras!$H$5:$H$2000,"&gt;0"))</f>
        <v/>
      </c>
      <c r="G138" s="18" t="str">
        <f aca="false">IF(D138="","",IF(CFG_Metodo="Promedio",F138,E138))</f>
        <v/>
      </c>
      <c r="H138" s="19" t="str">
        <f aca="false">IF(G138="","",IF(C138="unidad",G138,G138*1000))</f>
        <v/>
      </c>
      <c r="I138" s="20" t="str">
        <f aca="false">IF(A138="","",IF(C138="","Falta unidad base",IF(D138="","Sin compras cargadas","OK")))</f>
        <v/>
      </c>
    </row>
    <row r="139" customFormat="false" ht="15" hidden="false" customHeight="false" outlineLevel="0" collapsed="false">
      <c r="A139" s="15"/>
      <c r="B139" s="15"/>
      <c r="C139" s="15"/>
      <c r="D139" s="16" t="str">
        <f aca="false">IF(A139="","",IF(COUNTIFS(Compras!$B$5:$B$2000,A139,Compras!$H$5:$H$2000,"&gt;0")=0,"",_xlfn.MAXIFS(Compras!$A$5:$A$2000,Compras!$B$5:$B$2000,A139,Compras!$H$5:$H$2000,"&gt;0")))</f>
        <v/>
      </c>
      <c r="E139" s="17" t="str">
        <f aca="false">IF(D139="","",SUMIFS(Compras!$H$5:$H$2000,Compras!$B$5:$B$2000,A139,Compras!$A$5:$A$2000,D139,Compras!$H$5:$H$2000,"&gt;0")/COUNTIFS(Compras!$B$5:$B$2000,A139,Compras!$A$5:$A$2000,D139,Compras!$H$5:$H$2000,"&gt;0"))</f>
        <v/>
      </c>
      <c r="F139" s="17" t="str">
        <f aca="false">IF(D139="","",SUMIFS(Compras!$F$5:$F$2000,Compras!$B$5:$B$2000,A139,Compras!$H$5:$H$2000,"&gt;0")/SUMIFS(Compras!$G$5:$G$2000,Compras!$B$5:$B$2000,A139,Compras!$H$5:$H$2000,"&gt;0"))</f>
        <v/>
      </c>
      <c r="G139" s="18" t="str">
        <f aca="false">IF(D139="","",IF(CFG_Metodo="Promedio",F139,E139))</f>
        <v/>
      </c>
      <c r="H139" s="19" t="str">
        <f aca="false">IF(G139="","",IF(C139="unidad",G139,G139*1000))</f>
        <v/>
      </c>
      <c r="I139" s="20" t="str">
        <f aca="false">IF(A139="","",IF(C139="","Falta unidad base",IF(D139="","Sin compras cargadas","OK")))</f>
        <v/>
      </c>
    </row>
    <row r="140" customFormat="false" ht="15" hidden="false" customHeight="false" outlineLevel="0" collapsed="false">
      <c r="A140" s="15"/>
      <c r="B140" s="15"/>
      <c r="C140" s="15"/>
      <c r="D140" s="16" t="str">
        <f aca="false">IF(A140="","",IF(COUNTIFS(Compras!$B$5:$B$2000,A140,Compras!$H$5:$H$2000,"&gt;0")=0,"",_xlfn.MAXIFS(Compras!$A$5:$A$2000,Compras!$B$5:$B$2000,A140,Compras!$H$5:$H$2000,"&gt;0")))</f>
        <v/>
      </c>
      <c r="E140" s="17" t="str">
        <f aca="false">IF(D140="","",SUMIFS(Compras!$H$5:$H$2000,Compras!$B$5:$B$2000,A140,Compras!$A$5:$A$2000,D140,Compras!$H$5:$H$2000,"&gt;0")/COUNTIFS(Compras!$B$5:$B$2000,A140,Compras!$A$5:$A$2000,D140,Compras!$H$5:$H$2000,"&gt;0"))</f>
        <v/>
      </c>
      <c r="F140" s="17" t="str">
        <f aca="false">IF(D140="","",SUMIFS(Compras!$F$5:$F$2000,Compras!$B$5:$B$2000,A140,Compras!$H$5:$H$2000,"&gt;0")/SUMIFS(Compras!$G$5:$G$2000,Compras!$B$5:$B$2000,A140,Compras!$H$5:$H$2000,"&gt;0"))</f>
        <v/>
      </c>
      <c r="G140" s="18" t="str">
        <f aca="false">IF(D140="","",IF(CFG_Metodo="Promedio",F140,E140))</f>
        <v/>
      </c>
      <c r="H140" s="19" t="str">
        <f aca="false">IF(G140="","",IF(C140="unidad",G140,G140*1000))</f>
        <v/>
      </c>
      <c r="I140" s="20" t="str">
        <f aca="false">IF(A140="","",IF(C140="","Falta unidad base",IF(D140="","Sin compras cargadas","OK")))</f>
        <v/>
      </c>
    </row>
    <row r="141" customFormat="false" ht="15" hidden="false" customHeight="false" outlineLevel="0" collapsed="false">
      <c r="A141" s="15"/>
      <c r="B141" s="15"/>
      <c r="C141" s="15"/>
      <c r="D141" s="16" t="str">
        <f aca="false">IF(A141="","",IF(COUNTIFS(Compras!$B$5:$B$2000,A141,Compras!$H$5:$H$2000,"&gt;0")=0,"",_xlfn.MAXIFS(Compras!$A$5:$A$2000,Compras!$B$5:$B$2000,A141,Compras!$H$5:$H$2000,"&gt;0")))</f>
        <v/>
      </c>
      <c r="E141" s="17" t="str">
        <f aca="false">IF(D141="","",SUMIFS(Compras!$H$5:$H$2000,Compras!$B$5:$B$2000,A141,Compras!$A$5:$A$2000,D141,Compras!$H$5:$H$2000,"&gt;0")/COUNTIFS(Compras!$B$5:$B$2000,A141,Compras!$A$5:$A$2000,D141,Compras!$H$5:$H$2000,"&gt;0"))</f>
        <v/>
      </c>
      <c r="F141" s="17" t="str">
        <f aca="false">IF(D141="","",SUMIFS(Compras!$F$5:$F$2000,Compras!$B$5:$B$2000,A141,Compras!$H$5:$H$2000,"&gt;0")/SUMIFS(Compras!$G$5:$G$2000,Compras!$B$5:$B$2000,A141,Compras!$H$5:$H$2000,"&gt;0"))</f>
        <v/>
      </c>
      <c r="G141" s="18" t="str">
        <f aca="false">IF(D141="","",IF(CFG_Metodo="Promedio",F141,E141))</f>
        <v/>
      </c>
      <c r="H141" s="19" t="str">
        <f aca="false">IF(G141="","",IF(C141="unidad",G141,G141*1000))</f>
        <v/>
      </c>
      <c r="I141" s="20" t="str">
        <f aca="false">IF(A141="","",IF(C141="","Falta unidad base",IF(D141="","Sin compras cargadas","OK")))</f>
        <v/>
      </c>
    </row>
    <row r="142" customFormat="false" ht="15" hidden="false" customHeight="false" outlineLevel="0" collapsed="false">
      <c r="A142" s="15"/>
      <c r="B142" s="15"/>
      <c r="C142" s="15"/>
      <c r="D142" s="16" t="str">
        <f aca="false">IF(A142="","",IF(COUNTIFS(Compras!$B$5:$B$2000,A142,Compras!$H$5:$H$2000,"&gt;0")=0,"",_xlfn.MAXIFS(Compras!$A$5:$A$2000,Compras!$B$5:$B$2000,A142,Compras!$H$5:$H$2000,"&gt;0")))</f>
        <v/>
      </c>
      <c r="E142" s="17" t="str">
        <f aca="false">IF(D142="","",SUMIFS(Compras!$H$5:$H$2000,Compras!$B$5:$B$2000,A142,Compras!$A$5:$A$2000,D142,Compras!$H$5:$H$2000,"&gt;0")/COUNTIFS(Compras!$B$5:$B$2000,A142,Compras!$A$5:$A$2000,D142,Compras!$H$5:$H$2000,"&gt;0"))</f>
        <v/>
      </c>
      <c r="F142" s="17" t="str">
        <f aca="false">IF(D142="","",SUMIFS(Compras!$F$5:$F$2000,Compras!$B$5:$B$2000,A142,Compras!$H$5:$H$2000,"&gt;0")/SUMIFS(Compras!$G$5:$G$2000,Compras!$B$5:$B$2000,A142,Compras!$H$5:$H$2000,"&gt;0"))</f>
        <v/>
      </c>
      <c r="G142" s="18" t="str">
        <f aca="false">IF(D142="","",IF(CFG_Metodo="Promedio",F142,E142))</f>
        <v/>
      </c>
      <c r="H142" s="19" t="str">
        <f aca="false">IF(G142="","",IF(C142="unidad",G142,G142*1000))</f>
        <v/>
      </c>
      <c r="I142" s="20" t="str">
        <f aca="false">IF(A142="","",IF(C142="","Falta unidad base",IF(D142="","Sin compras cargadas","OK")))</f>
        <v/>
      </c>
    </row>
    <row r="143" customFormat="false" ht="15" hidden="false" customHeight="false" outlineLevel="0" collapsed="false">
      <c r="A143" s="15"/>
      <c r="B143" s="15"/>
      <c r="C143" s="15"/>
      <c r="D143" s="16" t="str">
        <f aca="false">IF(A143="","",IF(COUNTIFS(Compras!$B$5:$B$2000,A143,Compras!$H$5:$H$2000,"&gt;0")=0,"",_xlfn.MAXIFS(Compras!$A$5:$A$2000,Compras!$B$5:$B$2000,A143,Compras!$H$5:$H$2000,"&gt;0")))</f>
        <v/>
      </c>
      <c r="E143" s="17" t="str">
        <f aca="false">IF(D143="","",SUMIFS(Compras!$H$5:$H$2000,Compras!$B$5:$B$2000,A143,Compras!$A$5:$A$2000,D143,Compras!$H$5:$H$2000,"&gt;0")/COUNTIFS(Compras!$B$5:$B$2000,A143,Compras!$A$5:$A$2000,D143,Compras!$H$5:$H$2000,"&gt;0"))</f>
        <v/>
      </c>
      <c r="F143" s="17" t="str">
        <f aca="false">IF(D143="","",SUMIFS(Compras!$F$5:$F$2000,Compras!$B$5:$B$2000,A143,Compras!$H$5:$H$2000,"&gt;0")/SUMIFS(Compras!$G$5:$G$2000,Compras!$B$5:$B$2000,A143,Compras!$H$5:$H$2000,"&gt;0"))</f>
        <v/>
      </c>
      <c r="G143" s="18" t="str">
        <f aca="false">IF(D143="","",IF(CFG_Metodo="Promedio",F143,E143))</f>
        <v/>
      </c>
      <c r="H143" s="19" t="str">
        <f aca="false">IF(G143="","",IF(C143="unidad",G143,G143*1000))</f>
        <v/>
      </c>
      <c r="I143" s="20" t="str">
        <f aca="false">IF(A143="","",IF(C143="","Falta unidad base",IF(D143="","Sin compras cargadas","OK")))</f>
        <v/>
      </c>
    </row>
    <row r="144" customFormat="false" ht="15" hidden="false" customHeight="false" outlineLevel="0" collapsed="false">
      <c r="A144" s="15"/>
      <c r="B144" s="15"/>
      <c r="C144" s="15"/>
      <c r="D144" s="16" t="str">
        <f aca="false">IF(A144="","",IF(COUNTIFS(Compras!$B$5:$B$2000,A144,Compras!$H$5:$H$2000,"&gt;0")=0,"",_xlfn.MAXIFS(Compras!$A$5:$A$2000,Compras!$B$5:$B$2000,A144,Compras!$H$5:$H$2000,"&gt;0")))</f>
        <v/>
      </c>
      <c r="E144" s="17" t="str">
        <f aca="false">IF(D144="","",SUMIFS(Compras!$H$5:$H$2000,Compras!$B$5:$B$2000,A144,Compras!$A$5:$A$2000,D144,Compras!$H$5:$H$2000,"&gt;0")/COUNTIFS(Compras!$B$5:$B$2000,A144,Compras!$A$5:$A$2000,D144,Compras!$H$5:$H$2000,"&gt;0"))</f>
        <v/>
      </c>
      <c r="F144" s="17" t="str">
        <f aca="false">IF(D144="","",SUMIFS(Compras!$F$5:$F$2000,Compras!$B$5:$B$2000,A144,Compras!$H$5:$H$2000,"&gt;0")/SUMIFS(Compras!$G$5:$G$2000,Compras!$B$5:$B$2000,A144,Compras!$H$5:$H$2000,"&gt;0"))</f>
        <v/>
      </c>
      <c r="G144" s="18" t="str">
        <f aca="false">IF(D144="","",IF(CFG_Metodo="Promedio",F144,E144))</f>
        <v/>
      </c>
      <c r="H144" s="19" t="str">
        <f aca="false">IF(G144="","",IF(C144="unidad",G144,G144*1000))</f>
        <v/>
      </c>
      <c r="I144" s="20" t="str">
        <f aca="false">IF(A144="","",IF(C144="","Falta unidad base",IF(D144="","Sin compras cargadas","OK")))</f>
        <v/>
      </c>
    </row>
    <row r="145" customFormat="false" ht="15" hidden="false" customHeight="false" outlineLevel="0" collapsed="false">
      <c r="A145" s="15"/>
      <c r="B145" s="15"/>
      <c r="C145" s="15"/>
      <c r="D145" s="16" t="str">
        <f aca="false">IF(A145="","",IF(COUNTIFS(Compras!$B$5:$B$2000,A145,Compras!$H$5:$H$2000,"&gt;0")=0,"",_xlfn.MAXIFS(Compras!$A$5:$A$2000,Compras!$B$5:$B$2000,A145,Compras!$H$5:$H$2000,"&gt;0")))</f>
        <v/>
      </c>
      <c r="E145" s="17" t="str">
        <f aca="false">IF(D145="","",SUMIFS(Compras!$H$5:$H$2000,Compras!$B$5:$B$2000,A145,Compras!$A$5:$A$2000,D145,Compras!$H$5:$H$2000,"&gt;0")/COUNTIFS(Compras!$B$5:$B$2000,A145,Compras!$A$5:$A$2000,D145,Compras!$H$5:$H$2000,"&gt;0"))</f>
        <v/>
      </c>
      <c r="F145" s="17" t="str">
        <f aca="false">IF(D145="","",SUMIFS(Compras!$F$5:$F$2000,Compras!$B$5:$B$2000,A145,Compras!$H$5:$H$2000,"&gt;0")/SUMIFS(Compras!$G$5:$G$2000,Compras!$B$5:$B$2000,A145,Compras!$H$5:$H$2000,"&gt;0"))</f>
        <v/>
      </c>
      <c r="G145" s="18" t="str">
        <f aca="false">IF(D145="","",IF(CFG_Metodo="Promedio",F145,E145))</f>
        <v/>
      </c>
      <c r="H145" s="19" t="str">
        <f aca="false">IF(G145="","",IF(C145="unidad",G145,G145*1000))</f>
        <v/>
      </c>
      <c r="I145" s="20" t="str">
        <f aca="false">IF(A145="","",IF(C145="","Falta unidad base",IF(D145="","Sin compras cargadas","OK")))</f>
        <v/>
      </c>
    </row>
    <row r="146" customFormat="false" ht="15" hidden="false" customHeight="false" outlineLevel="0" collapsed="false">
      <c r="A146" s="15"/>
      <c r="B146" s="15"/>
      <c r="C146" s="15"/>
      <c r="D146" s="16" t="str">
        <f aca="false">IF(A146="","",IF(COUNTIFS(Compras!$B$5:$B$2000,A146,Compras!$H$5:$H$2000,"&gt;0")=0,"",_xlfn.MAXIFS(Compras!$A$5:$A$2000,Compras!$B$5:$B$2000,A146,Compras!$H$5:$H$2000,"&gt;0")))</f>
        <v/>
      </c>
      <c r="E146" s="17" t="str">
        <f aca="false">IF(D146="","",SUMIFS(Compras!$H$5:$H$2000,Compras!$B$5:$B$2000,A146,Compras!$A$5:$A$2000,D146,Compras!$H$5:$H$2000,"&gt;0")/COUNTIFS(Compras!$B$5:$B$2000,A146,Compras!$A$5:$A$2000,D146,Compras!$H$5:$H$2000,"&gt;0"))</f>
        <v/>
      </c>
      <c r="F146" s="17" t="str">
        <f aca="false">IF(D146="","",SUMIFS(Compras!$F$5:$F$2000,Compras!$B$5:$B$2000,A146,Compras!$H$5:$H$2000,"&gt;0")/SUMIFS(Compras!$G$5:$G$2000,Compras!$B$5:$B$2000,A146,Compras!$H$5:$H$2000,"&gt;0"))</f>
        <v/>
      </c>
      <c r="G146" s="18" t="str">
        <f aca="false">IF(D146="","",IF(CFG_Metodo="Promedio",F146,E146))</f>
        <v/>
      </c>
      <c r="H146" s="19" t="str">
        <f aca="false">IF(G146="","",IF(C146="unidad",G146,G146*1000))</f>
        <v/>
      </c>
      <c r="I146" s="20" t="str">
        <f aca="false">IF(A146="","",IF(C146="","Falta unidad base",IF(D146="","Sin compras cargadas","OK")))</f>
        <v/>
      </c>
    </row>
    <row r="147" customFormat="false" ht="15" hidden="false" customHeight="false" outlineLevel="0" collapsed="false">
      <c r="A147" s="15"/>
      <c r="B147" s="15"/>
      <c r="C147" s="15"/>
      <c r="D147" s="16" t="str">
        <f aca="false">IF(A147="","",IF(COUNTIFS(Compras!$B$5:$B$2000,A147,Compras!$H$5:$H$2000,"&gt;0")=0,"",_xlfn.MAXIFS(Compras!$A$5:$A$2000,Compras!$B$5:$B$2000,A147,Compras!$H$5:$H$2000,"&gt;0")))</f>
        <v/>
      </c>
      <c r="E147" s="17" t="str">
        <f aca="false">IF(D147="","",SUMIFS(Compras!$H$5:$H$2000,Compras!$B$5:$B$2000,A147,Compras!$A$5:$A$2000,D147,Compras!$H$5:$H$2000,"&gt;0")/COUNTIFS(Compras!$B$5:$B$2000,A147,Compras!$A$5:$A$2000,D147,Compras!$H$5:$H$2000,"&gt;0"))</f>
        <v/>
      </c>
      <c r="F147" s="17" t="str">
        <f aca="false">IF(D147="","",SUMIFS(Compras!$F$5:$F$2000,Compras!$B$5:$B$2000,A147,Compras!$H$5:$H$2000,"&gt;0")/SUMIFS(Compras!$G$5:$G$2000,Compras!$B$5:$B$2000,A147,Compras!$H$5:$H$2000,"&gt;0"))</f>
        <v/>
      </c>
      <c r="G147" s="18" t="str">
        <f aca="false">IF(D147="","",IF(CFG_Metodo="Promedio",F147,E147))</f>
        <v/>
      </c>
      <c r="H147" s="19" t="str">
        <f aca="false">IF(G147="","",IF(C147="unidad",G147,G147*1000))</f>
        <v/>
      </c>
      <c r="I147" s="20" t="str">
        <f aca="false">IF(A147="","",IF(C147="","Falta unidad base",IF(D147="","Sin compras cargadas","OK")))</f>
        <v/>
      </c>
    </row>
    <row r="148" customFormat="false" ht="15" hidden="false" customHeight="false" outlineLevel="0" collapsed="false">
      <c r="A148" s="15"/>
      <c r="B148" s="15"/>
      <c r="C148" s="15"/>
      <c r="D148" s="16" t="str">
        <f aca="false">IF(A148="","",IF(COUNTIFS(Compras!$B$5:$B$2000,A148,Compras!$H$5:$H$2000,"&gt;0")=0,"",_xlfn.MAXIFS(Compras!$A$5:$A$2000,Compras!$B$5:$B$2000,A148,Compras!$H$5:$H$2000,"&gt;0")))</f>
        <v/>
      </c>
      <c r="E148" s="17" t="str">
        <f aca="false">IF(D148="","",SUMIFS(Compras!$H$5:$H$2000,Compras!$B$5:$B$2000,A148,Compras!$A$5:$A$2000,D148,Compras!$H$5:$H$2000,"&gt;0")/COUNTIFS(Compras!$B$5:$B$2000,A148,Compras!$A$5:$A$2000,D148,Compras!$H$5:$H$2000,"&gt;0"))</f>
        <v/>
      </c>
      <c r="F148" s="17" t="str">
        <f aca="false">IF(D148="","",SUMIFS(Compras!$F$5:$F$2000,Compras!$B$5:$B$2000,A148,Compras!$H$5:$H$2000,"&gt;0")/SUMIFS(Compras!$G$5:$G$2000,Compras!$B$5:$B$2000,A148,Compras!$H$5:$H$2000,"&gt;0"))</f>
        <v/>
      </c>
      <c r="G148" s="18" t="str">
        <f aca="false">IF(D148="","",IF(CFG_Metodo="Promedio",F148,E148))</f>
        <v/>
      </c>
      <c r="H148" s="19" t="str">
        <f aca="false">IF(G148="","",IF(C148="unidad",G148,G148*1000))</f>
        <v/>
      </c>
      <c r="I148" s="20" t="str">
        <f aca="false">IF(A148="","",IF(C148="","Falta unidad base",IF(D148="","Sin compras cargadas","OK")))</f>
        <v/>
      </c>
    </row>
    <row r="149" customFormat="false" ht="15" hidden="false" customHeight="false" outlineLevel="0" collapsed="false">
      <c r="A149" s="15"/>
      <c r="B149" s="15"/>
      <c r="C149" s="15"/>
      <c r="D149" s="16" t="str">
        <f aca="false">IF(A149="","",IF(COUNTIFS(Compras!$B$5:$B$2000,A149,Compras!$H$5:$H$2000,"&gt;0")=0,"",_xlfn.MAXIFS(Compras!$A$5:$A$2000,Compras!$B$5:$B$2000,A149,Compras!$H$5:$H$2000,"&gt;0")))</f>
        <v/>
      </c>
      <c r="E149" s="17" t="str">
        <f aca="false">IF(D149="","",SUMIFS(Compras!$H$5:$H$2000,Compras!$B$5:$B$2000,A149,Compras!$A$5:$A$2000,D149,Compras!$H$5:$H$2000,"&gt;0")/COUNTIFS(Compras!$B$5:$B$2000,A149,Compras!$A$5:$A$2000,D149,Compras!$H$5:$H$2000,"&gt;0"))</f>
        <v/>
      </c>
      <c r="F149" s="17" t="str">
        <f aca="false">IF(D149="","",SUMIFS(Compras!$F$5:$F$2000,Compras!$B$5:$B$2000,A149,Compras!$H$5:$H$2000,"&gt;0")/SUMIFS(Compras!$G$5:$G$2000,Compras!$B$5:$B$2000,A149,Compras!$H$5:$H$2000,"&gt;0"))</f>
        <v/>
      </c>
      <c r="G149" s="18" t="str">
        <f aca="false">IF(D149="","",IF(CFG_Metodo="Promedio",F149,E149))</f>
        <v/>
      </c>
      <c r="H149" s="19" t="str">
        <f aca="false">IF(G149="","",IF(C149="unidad",G149,G149*1000))</f>
        <v/>
      </c>
      <c r="I149" s="20" t="str">
        <f aca="false">IF(A149="","",IF(C149="","Falta unidad base",IF(D149="","Sin compras cargadas","OK")))</f>
        <v/>
      </c>
    </row>
    <row r="150" customFormat="false" ht="15" hidden="false" customHeight="false" outlineLevel="0" collapsed="false">
      <c r="A150" s="15"/>
      <c r="B150" s="15"/>
      <c r="C150" s="15"/>
      <c r="D150" s="16" t="str">
        <f aca="false">IF(A150="","",IF(COUNTIFS(Compras!$B$5:$B$2000,A150,Compras!$H$5:$H$2000,"&gt;0")=0,"",_xlfn.MAXIFS(Compras!$A$5:$A$2000,Compras!$B$5:$B$2000,A150,Compras!$H$5:$H$2000,"&gt;0")))</f>
        <v/>
      </c>
      <c r="E150" s="17" t="str">
        <f aca="false">IF(D150="","",SUMIFS(Compras!$H$5:$H$2000,Compras!$B$5:$B$2000,A150,Compras!$A$5:$A$2000,D150,Compras!$H$5:$H$2000,"&gt;0")/COUNTIFS(Compras!$B$5:$B$2000,A150,Compras!$A$5:$A$2000,D150,Compras!$H$5:$H$2000,"&gt;0"))</f>
        <v/>
      </c>
      <c r="F150" s="17" t="str">
        <f aca="false">IF(D150="","",SUMIFS(Compras!$F$5:$F$2000,Compras!$B$5:$B$2000,A150,Compras!$H$5:$H$2000,"&gt;0")/SUMIFS(Compras!$G$5:$G$2000,Compras!$B$5:$B$2000,A150,Compras!$H$5:$H$2000,"&gt;0"))</f>
        <v/>
      </c>
      <c r="G150" s="18" t="str">
        <f aca="false">IF(D150="","",IF(CFG_Metodo="Promedio",F150,E150))</f>
        <v/>
      </c>
      <c r="H150" s="19" t="str">
        <f aca="false">IF(G150="","",IF(C150="unidad",G150,G150*1000))</f>
        <v/>
      </c>
      <c r="I150" s="20" t="str">
        <f aca="false">IF(A150="","",IF(C150="","Falta unidad base",IF(D150="","Sin compras cargadas","OK")))</f>
        <v/>
      </c>
    </row>
    <row r="151" customFormat="false" ht="15" hidden="false" customHeight="false" outlineLevel="0" collapsed="false">
      <c r="A151" s="15"/>
      <c r="B151" s="15"/>
      <c r="C151" s="15"/>
      <c r="D151" s="16" t="str">
        <f aca="false">IF(A151="","",IF(COUNTIFS(Compras!$B$5:$B$2000,A151,Compras!$H$5:$H$2000,"&gt;0")=0,"",_xlfn.MAXIFS(Compras!$A$5:$A$2000,Compras!$B$5:$B$2000,A151,Compras!$H$5:$H$2000,"&gt;0")))</f>
        <v/>
      </c>
      <c r="E151" s="17" t="str">
        <f aca="false">IF(D151="","",SUMIFS(Compras!$H$5:$H$2000,Compras!$B$5:$B$2000,A151,Compras!$A$5:$A$2000,D151,Compras!$H$5:$H$2000,"&gt;0")/COUNTIFS(Compras!$B$5:$B$2000,A151,Compras!$A$5:$A$2000,D151,Compras!$H$5:$H$2000,"&gt;0"))</f>
        <v/>
      </c>
      <c r="F151" s="17" t="str">
        <f aca="false">IF(D151="","",SUMIFS(Compras!$F$5:$F$2000,Compras!$B$5:$B$2000,A151,Compras!$H$5:$H$2000,"&gt;0")/SUMIFS(Compras!$G$5:$G$2000,Compras!$B$5:$B$2000,A151,Compras!$H$5:$H$2000,"&gt;0"))</f>
        <v/>
      </c>
      <c r="G151" s="18" t="str">
        <f aca="false">IF(D151="","",IF(CFG_Metodo="Promedio",F151,E151))</f>
        <v/>
      </c>
      <c r="H151" s="19" t="str">
        <f aca="false">IF(G151="","",IF(C151="unidad",G151,G151*1000))</f>
        <v/>
      </c>
      <c r="I151" s="20" t="str">
        <f aca="false">IF(A151="","",IF(C151="","Falta unidad base",IF(D151="","Sin compras cargadas","OK")))</f>
        <v/>
      </c>
    </row>
    <row r="152" customFormat="false" ht="15" hidden="false" customHeight="false" outlineLevel="0" collapsed="false">
      <c r="A152" s="15"/>
      <c r="B152" s="15"/>
      <c r="C152" s="15"/>
      <c r="D152" s="16" t="str">
        <f aca="false">IF(A152="","",IF(COUNTIFS(Compras!$B$5:$B$2000,A152,Compras!$H$5:$H$2000,"&gt;0")=0,"",_xlfn.MAXIFS(Compras!$A$5:$A$2000,Compras!$B$5:$B$2000,A152,Compras!$H$5:$H$2000,"&gt;0")))</f>
        <v/>
      </c>
      <c r="E152" s="17" t="str">
        <f aca="false">IF(D152="","",SUMIFS(Compras!$H$5:$H$2000,Compras!$B$5:$B$2000,A152,Compras!$A$5:$A$2000,D152,Compras!$H$5:$H$2000,"&gt;0")/COUNTIFS(Compras!$B$5:$B$2000,A152,Compras!$A$5:$A$2000,D152,Compras!$H$5:$H$2000,"&gt;0"))</f>
        <v/>
      </c>
      <c r="F152" s="17" t="str">
        <f aca="false">IF(D152="","",SUMIFS(Compras!$F$5:$F$2000,Compras!$B$5:$B$2000,A152,Compras!$H$5:$H$2000,"&gt;0")/SUMIFS(Compras!$G$5:$G$2000,Compras!$B$5:$B$2000,A152,Compras!$H$5:$H$2000,"&gt;0"))</f>
        <v/>
      </c>
      <c r="G152" s="18" t="str">
        <f aca="false">IF(D152="","",IF(CFG_Metodo="Promedio",F152,E152))</f>
        <v/>
      </c>
      <c r="H152" s="19" t="str">
        <f aca="false">IF(G152="","",IF(C152="unidad",G152,G152*1000))</f>
        <v/>
      </c>
      <c r="I152" s="20" t="str">
        <f aca="false">IF(A152="","",IF(C152="","Falta unidad base",IF(D152="","Sin compras cargadas","OK")))</f>
        <v/>
      </c>
    </row>
    <row r="153" customFormat="false" ht="15" hidden="false" customHeight="false" outlineLevel="0" collapsed="false">
      <c r="A153" s="15"/>
      <c r="B153" s="15"/>
      <c r="C153" s="15"/>
      <c r="D153" s="16" t="str">
        <f aca="false">IF(A153="","",IF(COUNTIFS(Compras!$B$5:$B$2000,A153,Compras!$H$5:$H$2000,"&gt;0")=0,"",_xlfn.MAXIFS(Compras!$A$5:$A$2000,Compras!$B$5:$B$2000,A153,Compras!$H$5:$H$2000,"&gt;0")))</f>
        <v/>
      </c>
      <c r="E153" s="17" t="str">
        <f aca="false">IF(D153="","",SUMIFS(Compras!$H$5:$H$2000,Compras!$B$5:$B$2000,A153,Compras!$A$5:$A$2000,D153,Compras!$H$5:$H$2000,"&gt;0")/COUNTIFS(Compras!$B$5:$B$2000,A153,Compras!$A$5:$A$2000,D153,Compras!$H$5:$H$2000,"&gt;0"))</f>
        <v/>
      </c>
      <c r="F153" s="17" t="str">
        <f aca="false">IF(D153="","",SUMIFS(Compras!$F$5:$F$2000,Compras!$B$5:$B$2000,A153,Compras!$H$5:$H$2000,"&gt;0")/SUMIFS(Compras!$G$5:$G$2000,Compras!$B$5:$B$2000,A153,Compras!$H$5:$H$2000,"&gt;0"))</f>
        <v/>
      </c>
      <c r="G153" s="18" t="str">
        <f aca="false">IF(D153="","",IF(CFG_Metodo="Promedio",F153,E153))</f>
        <v/>
      </c>
      <c r="H153" s="19" t="str">
        <f aca="false">IF(G153="","",IF(C153="unidad",G153,G153*1000))</f>
        <v/>
      </c>
      <c r="I153" s="20" t="str">
        <f aca="false">IF(A153="","",IF(C153="","Falta unidad base",IF(D153="","Sin compras cargadas","OK")))</f>
        <v/>
      </c>
    </row>
    <row r="154" customFormat="false" ht="15" hidden="false" customHeight="false" outlineLevel="0" collapsed="false">
      <c r="A154" s="15"/>
      <c r="B154" s="15"/>
      <c r="C154" s="15"/>
      <c r="D154" s="16" t="str">
        <f aca="false">IF(A154="","",IF(COUNTIFS(Compras!$B$5:$B$2000,A154,Compras!$H$5:$H$2000,"&gt;0")=0,"",_xlfn.MAXIFS(Compras!$A$5:$A$2000,Compras!$B$5:$B$2000,A154,Compras!$H$5:$H$2000,"&gt;0")))</f>
        <v/>
      </c>
      <c r="E154" s="17" t="str">
        <f aca="false">IF(D154="","",SUMIFS(Compras!$H$5:$H$2000,Compras!$B$5:$B$2000,A154,Compras!$A$5:$A$2000,D154,Compras!$H$5:$H$2000,"&gt;0")/COUNTIFS(Compras!$B$5:$B$2000,A154,Compras!$A$5:$A$2000,D154,Compras!$H$5:$H$2000,"&gt;0"))</f>
        <v/>
      </c>
      <c r="F154" s="17" t="str">
        <f aca="false">IF(D154="","",SUMIFS(Compras!$F$5:$F$2000,Compras!$B$5:$B$2000,A154,Compras!$H$5:$H$2000,"&gt;0")/SUMIFS(Compras!$G$5:$G$2000,Compras!$B$5:$B$2000,A154,Compras!$H$5:$H$2000,"&gt;0"))</f>
        <v/>
      </c>
      <c r="G154" s="18" t="str">
        <f aca="false">IF(D154="","",IF(CFG_Metodo="Promedio",F154,E154))</f>
        <v/>
      </c>
      <c r="H154" s="19" t="str">
        <f aca="false">IF(G154="","",IF(C154="unidad",G154,G154*1000))</f>
        <v/>
      </c>
      <c r="I154" s="20" t="str">
        <f aca="false">IF(A154="","",IF(C154="","Falta unidad base",IF(D154="","Sin compras cargadas","OK")))</f>
        <v/>
      </c>
    </row>
    <row r="155" customFormat="false" ht="15" hidden="false" customHeight="false" outlineLevel="0" collapsed="false">
      <c r="A155" s="15"/>
      <c r="B155" s="15"/>
      <c r="C155" s="15"/>
      <c r="D155" s="16" t="str">
        <f aca="false">IF(A155="","",IF(COUNTIFS(Compras!$B$5:$B$2000,A155,Compras!$H$5:$H$2000,"&gt;0")=0,"",_xlfn.MAXIFS(Compras!$A$5:$A$2000,Compras!$B$5:$B$2000,A155,Compras!$H$5:$H$2000,"&gt;0")))</f>
        <v/>
      </c>
      <c r="E155" s="17" t="str">
        <f aca="false">IF(D155="","",SUMIFS(Compras!$H$5:$H$2000,Compras!$B$5:$B$2000,A155,Compras!$A$5:$A$2000,D155,Compras!$H$5:$H$2000,"&gt;0")/COUNTIFS(Compras!$B$5:$B$2000,A155,Compras!$A$5:$A$2000,D155,Compras!$H$5:$H$2000,"&gt;0"))</f>
        <v/>
      </c>
      <c r="F155" s="17" t="str">
        <f aca="false">IF(D155="","",SUMIFS(Compras!$F$5:$F$2000,Compras!$B$5:$B$2000,A155,Compras!$H$5:$H$2000,"&gt;0")/SUMIFS(Compras!$G$5:$G$2000,Compras!$B$5:$B$2000,A155,Compras!$H$5:$H$2000,"&gt;0"))</f>
        <v/>
      </c>
      <c r="G155" s="18" t="str">
        <f aca="false">IF(D155="","",IF(CFG_Metodo="Promedio",F155,E155))</f>
        <v/>
      </c>
      <c r="H155" s="19" t="str">
        <f aca="false">IF(G155="","",IF(C155="unidad",G155,G155*1000))</f>
        <v/>
      </c>
      <c r="I155" s="20" t="str">
        <f aca="false">IF(A155="","",IF(C155="","Falta unidad base",IF(D155="","Sin compras cargadas","OK")))</f>
        <v/>
      </c>
    </row>
    <row r="156" customFormat="false" ht="15" hidden="false" customHeight="false" outlineLevel="0" collapsed="false">
      <c r="A156" s="15"/>
      <c r="B156" s="15"/>
      <c r="C156" s="15"/>
      <c r="D156" s="16" t="str">
        <f aca="false">IF(A156="","",IF(COUNTIFS(Compras!$B$5:$B$2000,A156,Compras!$H$5:$H$2000,"&gt;0")=0,"",_xlfn.MAXIFS(Compras!$A$5:$A$2000,Compras!$B$5:$B$2000,A156,Compras!$H$5:$H$2000,"&gt;0")))</f>
        <v/>
      </c>
      <c r="E156" s="17" t="str">
        <f aca="false">IF(D156="","",SUMIFS(Compras!$H$5:$H$2000,Compras!$B$5:$B$2000,A156,Compras!$A$5:$A$2000,D156,Compras!$H$5:$H$2000,"&gt;0")/COUNTIFS(Compras!$B$5:$B$2000,A156,Compras!$A$5:$A$2000,D156,Compras!$H$5:$H$2000,"&gt;0"))</f>
        <v/>
      </c>
      <c r="F156" s="17" t="str">
        <f aca="false">IF(D156="","",SUMIFS(Compras!$F$5:$F$2000,Compras!$B$5:$B$2000,A156,Compras!$H$5:$H$2000,"&gt;0")/SUMIFS(Compras!$G$5:$G$2000,Compras!$B$5:$B$2000,A156,Compras!$H$5:$H$2000,"&gt;0"))</f>
        <v/>
      </c>
      <c r="G156" s="18" t="str">
        <f aca="false">IF(D156="","",IF(CFG_Metodo="Promedio",F156,E156))</f>
        <v/>
      </c>
      <c r="H156" s="19" t="str">
        <f aca="false">IF(G156="","",IF(C156="unidad",G156,G156*1000))</f>
        <v/>
      </c>
      <c r="I156" s="20" t="str">
        <f aca="false">IF(A156="","",IF(C156="","Falta unidad base",IF(D156="","Sin compras cargadas","OK")))</f>
        <v/>
      </c>
    </row>
    <row r="157" customFormat="false" ht="15" hidden="false" customHeight="false" outlineLevel="0" collapsed="false">
      <c r="A157" s="15"/>
      <c r="B157" s="15"/>
      <c r="C157" s="15"/>
      <c r="D157" s="16" t="str">
        <f aca="false">IF(A157="","",IF(COUNTIFS(Compras!$B$5:$B$2000,A157,Compras!$H$5:$H$2000,"&gt;0")=0,"",_xlfn.MAXIFS(Compras!$A$5:$A$2000,Compras!$B$5:$B$2000,A157,Compras!$H$5:$H$2000,"&gt;0")))</f>
        <v/>
      </c>
      <c r="E157" s="17" t="str">
        <f aca="false">IF(D157="","",SUMIFS(Compras!$H$5:$H$2000,Compras!$B$5:$B$2000,A157,Compras!$A$5:$A$2000,D157,Compras!$H$5:$H$2000,"&gt;0")/COUNTIFS(Compras!$B$5:$B$2000,A157,Compras!$A$5:$A$2000,D157,Compras!$H$5:$H$2000,"&gt;0"))</f>
        <v/>
      </c>
      <c r="F157" s="17" t="str">
        <f aca="false">IF(D157="","",SUMIFS(Compras!$F$5:$F$2000,Compras!$B$5:$B$2000,A157,Compras!$H$5:$H$2000,"&gt;0")/SUMIFS(Compras!$G$5:$G$2000,Compras!$B$5:$B$2000,A157,Compras!$H$5:$H$2000,"&gt;0"))</f>
        <v/>
      </c>
      <c r="G157" s="18" t="str">
        <f aca="false">IF(D157="","",IF(CFG_Metodo="Promedio",F157,E157))</f>
        <v/>
      </c>
      <c r="H157" s="19" t="str">
        <f aca="false">IF(G157="","",IF(C157="unidad",G157,G157*1000))</f>
        <v/>
      </c>
      <c r="I157" s="20" t="str">
        <f aca="false">IF(A157="","",IF(C157="","Falta unidad base",IF(D157="","Sin compras cargadas","OK")))</f>
        <v/>
      </c>
    </row>
    <row r="158" customFormat="false" ht="15" hidden="false" customHeight="false" outlineLevel="0" collapsed="false">
      <c r="A158" s="15"/>
      <c r="B158" s="15"/>
      <c r="C158" s="15"/>
      <c r="D158" s="16" t="str">
        <f aca="false">IF(A158="","",IF(COUNTIFS(Compras!$B$5:$B$2000,A158,Compras!$H$5:$H$2000,"&gt;0")=0,"",_xlfn.MAXIFS(Compras!$A$5:$A$2000,Compras!$B$5:$B$2000,A158,Compras!$H$5:$H$2000,"&gt;0")))</f>
        <v/>
      </c>
      <c r="E158" s="17" t="str">
        <f aca="false">IF(D158="","",SUMIFS(Compras!$H$5:$H$2000,Compras!$B$5:$B$2000,A158,Compras!$A$5:$A$2000,D158,Compras!$H$5:$H$2000,"&gt;0")/COUNTIFS(Compras!$B$5:$B$2000,A158,Compras!$A$5:$A$2000,D158,Compras!$H$5:$H$2000,"&gt;0"))</f>
        <v/>
      </c>
      <c r="F158" s="17" t="str">
        <f aca="false">IF(D158="","",SUMIFS(Compras!$F$5:$F$2000,Compras!$B$5:$B$2000,A158,Compras!$H$5:$H$2000,"&gt;0")/SUMIFS(Compras!$G$5:$G$2000,Compras!$B$5:$B$2000,A158,Compras!$H$5:$H$2000,"&gt;0"))</f>
        <v/>
      </c>
      <c r="G158" s="18" t="str">
        <f aca="false">IF(D158="","",IF(CFG_Metodo="Promedio",F158,E158))</f>
        <v/>
      </c>
      <c r="H158" s="19" t="str">
        <f aca="false">IF(G158="","",IF(C158="unidad",G158,G158*1000))</f>
        <v/>
      </c>
      <c r="I158" s="20" t="str">
        <f aca="false">IF(A158="","",IF(C158="","Falta unidad base",IF(D158="","Sin compras cargadas","OK")))</f>
        <v/>
      </c>
    </row>
    <row r="159" customFormat="false" ht="15" hidden="false" customHeight="false" outlineLevel="0" collapsed="false">
      <c r="A159" s="15"/>
      <c r="B159" s="15"/>
      <c r="C159" s="15"/>
      <c r="D159" s="16" t="str">
        <f aca="false">IF(A159="","",IF(COUNTIFS(Compras!$B$5:$B$2000,A159,Compras!$H$5:$H$2000,"&gt;0")=0,"",_xlfn.MAXIFS(Compras!$A$5:$A$2000,Compras!$B$5:$B$2000,A159,Compras!$H$5:$H$2000,"&gt;0")))</f>
        <v/>
      </c>
      <c r="E159" s="17" t="str">
        <f aca="false">IF(D159="","",SUMIFS(Compras!$H$5:$H$2000,Compras!$B$5:$B$2000,A159,Compras!$A$5:$A$2000,D159,Compras!$H$5:$H$2000,"&gt;0")/COUNTIFS(Compras!$B$5:$B$2000,A159,Compras!$A$5:$A$2000,D159,Compras!$H$5:$H$2000,"&gt;0"))</f>
        <v/>
      </c>
      <c r="F159" s="17" t="str">
        <f aca="false">IF(D159="","",SUMIFS(Compras!$F$5:$F$2000,Compras!$B$5:$B$2000,A159,Compras!$H$5:$H$2000,"&gt;0")/SUMIFS(Compras!$G$5:$G$2000,Compras!$B$5:$B$2000,A159,Compras!$H$5:$H$2000,"&gt;0"))</f>
        <v/>
      </c>
      <c r="G159" s="18" t="str">
        <f aca="false">IF(D159="","",IF(CFG_Metodo="Promedio",F159,E159))</f>
        <v/>
      </c>
      <c r="H159" s="19" t="str">
        <f aca="false">IF(G159="","",IF(C159="unidad",G159,G159*1000))</f>
        <v/>
      </c>
      <c r="I159" s="20" t="str">
        <f aca="false">IF(A159="","",IF(C159="","Falta unidad base",IF(D159="","Sin compras cargadas","OK")))</f>
        <v/>
      </c>
    </row>
    <row r="160" customFormat="false" ht="15" hidden="false" customHeight="false" outlineLevel="0" collapsed="false">
      <c r="A160" s="15"/>
      <c r="B160" s="15"/>
      <c r="C160" s="15"/>
      <c r="D160" s="16" t="str">
        <f aca="false">IF(A160="","",IF(COUNTIFS(Compras!$B$5:$B$2000,A160,Compras!$H$5:$H$2000,"&gt;0")=0,"",_xlfn.MAXIFS(Compras!$A$5:$A$2000,Compras!$B$5:$B$2000,A160,Compras!$H$5:$H$2000,"&gt;0")))</f>
        <v/>
      </c>
      <c r="E160" s="17" t="str">
        <f aca="false">IF(D160="","",SUMIFS(Compras!$H$5:$H$2000,Compras!$B$5:$B$2000,A160,Compras!$A$5:$A$2000,D160,Compras!$H$5:$H$2000,"&gt;0")/COUNTIFS(Compras!$B$5:$B$2000,A160,Compras!$A$5:$A$2000,D160,Compras!$H$5:$H$2000,"&gt;0"))</f>
        <v/>
      </c>
      <c r="F160" s="17" t="str">
        <f aca="false">IF(D160="","",SUMIFS(Compras!$F$5:$F$2000,Compras!$B$5:$B$2000,A160,Compras!$H$5:$H$2000,"&gt;0")/SUMIFS(Compras!$G$5:$G$2000,Compras!$B$5:$B$2000,A160,Compras!$H$5:$H$2000,"&gt;0"))</f>
        <v/>
      </c>
      <c r="G160" s="18" t="str">
        <f aca="false">IF(D160="","",IF(CFG_Metodo="Promedio",F160,E160))</f>
        <v/>
      </c>
      <c r="H160" s="19" t="str">
        <f aca="false">IF(G160="","",IF(C160="unidad",G160,G160*1000))</f>
        <v/>
      </c>
      <c r="I160" s="20" t="str">
        <f aca="false">IF(A160="","",IF(C160="","Falta unidad base",IF(D160="","Sin compras cargadas","OK")))</f>
        <v/>
      </c>
    </row>
    <row r="161" customFormat="false" ht="15" hidden="false" customHeight="false" outlineLevel="0" collapsed="false">
      <c r="A161" s="15"/>
      <c r="B161" s="15"/>
      <c r="C161" s="15"/>
      <c r="D161" s="16" t="str">
        <f aca="false">IF(A161="","",IF(COUNTIFS(Compras!$B$5:$B$2000,A161,Compras!$H$5:$H$2000,"&gt;0")=0,"",_xlfn.MAXIFS(Compras!$A$5:$A$2000,Compras!$B$5:$B$2000,A161,Compras!$H$5:$H$2000,"&gt;0")))</f>
        <v/>
      </c>
      <c r="E161" s="17" t="str">
        <f aca="false">IF(D161="","",SUMIFS(Compras!$H$5:$H$2000,Compras!$B$5:$B$2000,A161,Compras!$A$5:$A$2000,D161,Compras!$H$5:$H$2000,"&gt;0")/COUNTIFS(Compras!$B$5:$B$2000,A161,Compras!$A$5:$A$2000,D161,Compras!$H$5:$H$2000,"&gt;0"))</f>
        <v/>
      </c>
      <c r="F161" s="17" t="str">
        <f aca="false">IF(D161="","",SUMIFS(Compras!$F$5:$F$2000,Compras!$B$5:$B$2000,A161,Compras!$H$5:$H$2000,"&gt;0")/SUMIFS(Compras!$G$5:$G$2000,Compras!$B$5:$B$2000,A161,Compras!$H$5:$H$2000,"&gt;0"))</f>
        <v/>
      </c>
      <c r="G161" s="18" t="str">
        <f aca="false">IF(D161="","",IF(CFG_Metodo="Promedio",F161,E161))</f>
        <v/>
      </c>
      <c r="H161" s="19" t="str">
        <f aca="false">IF(G161="","",IF(C161="unidad",G161,G161*1000))</f>
        <v/>
      </c>
      <c r="I161" s="20" t="str">
        <f aca="false">IF(A161="","",IF(C161="","Falta unidad base",IF(D161="","Sin compras cargadas","OK")))</f>
        <v/>
      </c>
    </row>
    <row r="162" customFormat="false" ht="15" hidden="false" customHeight="false" outlineLevel="0" collapsed="false">
      <c r="A162" s="15"/>
      <c r="B162" s="15"/>
      <c r="C162" s="15"/>
      <c r="D162" s="16" t="str">
        <f aca="false">IF(A162="","",IF(COUNTIFS(Compras!$B$5:$B$2000,A162,Compras!$H$5:$H$2000,"&gt;0")=0,"",_xlfn.MAXIFS(Compras!$A$5:$A$2000,Compras!$B$5:$B$2000,A162,Compras!$H$5:$H$2000,"&gt;0")))</f>
        <v/>
      </c>
      <c r="E162" s="17" t="str">
        <f aca="false">IF(D162="","",SUMIFS(Compras!$H$5:$H$2000,Compras!$B$5:$B$2000,A162,Compras!$A$5:$A$2000,D162,Compras!$H$5:$H$2000,"&gt;0")/COUNTIFS(Compras!$B$5:$B$2000,A162,Compras!$A$5:$A$2000,D162,Compras!$H$5:$H$2000,"&gt;0"))</f>
        <v/>
      </c>
      <c r="F162" s="17" t="str">
        <f aca="false">IF(D162="","",SUMIFS(Compras!$F$5:$F$2000,Compras!$B$5:$B$2000,A162,Compras!$H$5:$H$2000,"&gt;0")/SUMIFS(Compras!$G$5:$G$2000,Compras!$B$5:$B$2000,A162,Compras!$H$5:$H$2000,"&gt;0"))</f>
        <v/>
      </c>
      <c r="G162" s="18" t="str">
        <f aca="false">IF(D162="","",IF(CFG_Metodo="Promedio",F162,E162))</f>
        <v/>
      </c>
      <c r="H162" s="19" t="str">
        <f aca="false">IF(G162="","",IF(C162="unidad",G162,G162*1000))</f>
        <v/>
      </c>
      <c r="I162" s="20" t="str">
        <f aca="false">IF(A162="","",IF(C162="","Falta unidad base",IF(D162="","Sin compras cargadas","OK")))</f>
        <v/>
      </c>
    </row>
    <row r="163" customFormat="false" ht="15" hidden="false" customHeight="false" outlineLevel="0" collapsed="false">
      <c r="A163" s="15"/>
      <c r="B163" s="15"/>
      <c r="C163" s="15"/>
      <c r="D163" s="16" t="str">
        <f aca="false">IF(A163="","",IF(COUNTIFS(Compras!$B$5:$B$2000,A163,Compras!$H$5:$H$2000,"&gt;0")=0,"",_xlfn.MAXIFS(Compras!$A$5:$A$2000,Compras!$B$5:$B$2000,A163,Compras!$H$5:$H$2000,"&gt;0")))</f>
        <v/>
      </c>
      <c r="E163" s="17" t="str">
        <f aca="false">IF(D163="","",SUMIFS(Compras!$H$5:$H$2000,Compras!$B$5:$B$2000,A163,Compras!$A$5:$A$2000,D163,Compras!$H$5:$H$2000,"&gt;0")/COUNTIFS(Compras!$B$5:$B$2000,A163,Compras!$A$5:$A$2000,D163,Compras!$H$5:$H$2000,"&gt;0"))</f>
        <v/>
      </c>
      <c r="F163" s="17" t="str">
        <f aca="false">IF(D163="","",SUMIFS(Compras!$F$5:$F$2000,Compras!$B$5:$B$2000,A163,Compras!$H$5:$H$2000,"&gt;0")/SUMIFS(Compras!$G$5:$G$2000,Compras!$B$5:$B$2000,A163,Compras!$H$5:$H$2000,"&gt;0"))</f>
        <v/>
      </c>
      <c r="G163" s="18" t="str">
        <f aca="false">IF(D163="","",IF(CFG_Metodo="Promedio",F163,E163))</f>
        <v/>
      </c>
      <c r="H163" s="19" t="str">
        <f aca="false">IF(G163="","",IF(C163="unidad",G163,G163*1000))</f>
        <v/>
      </c>
      <c r="I163" s="20" t="str">
        <f aca="false">IF(A163="","",IF(C163="","Falta unidad base",IF(D163="","Sin compras cargadas","OK")))</f>
        <v/>
      </c>
    </row>
    <row r="164" customFormat="false" ht="15" hidden="false" customHeight="false" outlineLevel="0" collapsed="false">
      <c r="A164" s="15"/>
      <c r="B164" s="15"/>
      <c r="C164" s="15"/>
      <c r="D164" s="16" t="str">
        <f aca="false">IF(A164="","",IF(COUNTIFS(Compras!$B$5:$B$2000,A164,Compras!$H$5:$H$2000,"&gt;0")=0,"",_xlfn.MAXIFS(Compras!$A$5:$A$2000,Compras!$B$5:$B$2000,A164,Compras!$H$5:$H$2000,"&gt;0")))</f>
        <v/>
      </c>
      <c r="E164" s="17" t="str">
        <f aca="false">IF(D164="","",SUMIFS(Compras!$H$5:$H$2000,Compras!$B$5:$B$2000,A164,Compras!$A$5:$A$2000,D164,Compras!$H$5:$H$2000,"&gt;0")/COUNTIFS(Compras!$B$5:$B$2000,A164,Compras!$A$5:$A$2000,D164,Compras!$H$5:$H$2000,"&gt;0"))</f>
        <v/>
      </c>
      <c r="F164" s="17" t="str">
        <f aca="false">IF(D164="","",SUMIFS(Compras!$F$5:$F$2000,Compras!$B$5:$B$2000,A164,Compras!$H$5:$H$2000,"&gt;0")/SUMIFS(Compras!$G$5:$G$2000,Compras!$B$5:$B$2000,A164,Compras!$H$5:$H$2000,"&gt;0"))</f>
        <v/>
      </c>
      <c r="G164" s="18" t="str">
        <f aca="false">IF(D164="","",IF(CFG_Metodo="Promedio",F164,E164))</f>
        <v/>
      </c>
      <c r="H164" s="19" t="str">
        <f aca="false">IF(G164="","",IF(C164="unidad",G164,G164*1000))</f>
        <v/>
      </c>
      <c r="I164" s="20" t="str">
        <f aca="false">IF(A164="","",IF(C164="","Falta unidad base",IF(D164="","Sin compras cargadas","OK")))</f>
        <v/>
      </c>
    </row>
    <row r="165" customFormat="false" ht="15" hidden="false" customHeight="false" outlineLevel="0" collapsed="false">
      <c r="A165" s="15"/>
      <c r="B165" s="15"/>
      <c r="C165" s="15"/>
      <c r="D165" s="16" t="str">
        <f aca="false">IF(A165="","",IF(COUNTIFS(Compras!$B$5:$B$2000,A165,Compras!$H$5:$H$2000,"&gt;0")=0,"",_xlfn.MAXIFS(Compras!$A$5:$A$2000,Compras!$B$5:$B$2000,A165,Compras!$H$5:$H$2000,"&gt;0")))</f>
        <v/>
      </c>
      <c r="E165" s="17" t="str">
        <f aca="false">IF(D165="","",SUMIFS(Compras!$H$5:$H$2000,Compras!$B$5:$B$2000,A165,Compras!$A$5:$A$2000,D165,Compras!$H$5:$H$2000,"&gt;0")/COUNTIFS(Compras!$B$5:$B$2000,A165,Compras!$A$5:$A$2000,D165,Compras!$H$5:$H$2000,"&gt;0"))</f>
        <v/>
      </c>
      <c r="F165" s="17" t="str">
        <f aca="false">IF(D165="","",SUMIFS(Compras!$F$5:$F$2000,Compras!$B$5:$B$2000,A165,Compras!$H$5:$H$2000,"&gt;0")/SUMIFS(Compras!$G$5:$G$2000,Compras!$B$5:$B$2000,A165,Compras!$H$5:$H$2000,"&gt;0"))</f>
        <v/>
      </c>
      <c r="G165" s="18" t="str">
        <f aca="false">IF(D165="","",IF(CFG_Metodo="Promedio",F165,E165))</f>
        <v/>
      </c>
      <c r="H165" s="19" t="str">
        <f aca="false">IF(G165="","",IF(C165="unidad",G165,G165*1000))</f>
        <v/>
      </c>
      <c r="I165" s="20" t="str">
        <f aca="false">IF(A165="","",IF(C165="","Falta unidad base",IF(D165="","Sin compras cargadas","OK")))</f>
        <v/>
      </c>
    </row>
    <row r="166" customFormat="false" ht="15" hidden="false" customHeight="false" outlineLevel="0" collapsed="false">
      <c r="A166" s="15"/>
      <c r="B166" s="15"/>
      <c r="C166" s="15"/>
      <c r="D166" s="16" t="str">
        <f aca="false">IF(A166="","",IF(COUNTIFS(Compras!$B$5:$B$2000,A166,Compras!$H$5:$H$2000,"&gt;0")=0,"",_xlfn.MAXIFS(Compras!$A$5:$A$2000,Compras!$B$5:$B$2000,A166,Compras!$H$5:$H$2000,"&gt;0")))</f>
        <v/>
      </c>
      <c r="E166" s="17" t="str">
        <f aca="false">IF(D166="","",SUMIFS(Compras!$H$5:$H$2000,Compras!$B$5:$B$2000,A166,Compras!$A$5:$A$2000,D166,Compras!$H$5:$H$2000,"&gt;0")/COUNTIFS(Compras!$B$5:$B$2000,A166,Compras!$A$5:$A$2000,D166,Compras!$H$5:$H$2000,"&gt;0"))</f>
        <v/>
      </c>
      <c r="F166" s="17" t="str">
        <f aca="false">IF(D166="","",SUMIFS(Compras!$F$5:$F$2000,Compras!$B$5:$B$2000,A166,Compras!$H$5:$H$2000,"&gt;0")/SUMIFS(Compras!$G$5:$G$2000,Compras!$B$5:$B$2000,A166,Compras!$H$5:$H$2000,"&gt;0"))</f>
        <v/>
      </c>
      <c r="G166" s="18" t="str">
        <f aca="false">IF(D166="","",IF(CFG_Metodo="Promedio",F166,E166))</f>
        <v/>
      </c>
      <c r="H166" s="19" t="str">
        <f aca="false">IF(G166="","",IF(C166="unidad",G166,G166*1000))</f>
        <v/>
      </c>
      <c r="I166" s="20" t="str">
        <f aca="false">IF(A166="","",IF(C166="","Falta unidad base",IF(D166="","Sin compras cargadas","OK")))</f>
        <v/>
      </c>
    </row>
    <row r="167" customFormat="false" ht="15" hidden="false" customHeight="false" outlineLevel="0" collapsed="false">
      <c r="A167" s="15"/>
      <c r="B167" s="15"/>
      <c r="C167" s="15"/>
      <c r="D167" s="16" t="str">
        <f aca="false">IF(A167="","",IF(COUNTIFS(Compras!$B$5:$B$2000,A167,Compras!$H$5:$H$2000,"&gt;0")=0,"",_xlfn.MAXIFS(Compras!$A$5:$A$2000,Compras!$B$5:$B$2000,A167,Compras!$H$5:$H$2000,"&gt;0")))</f>
        <v/>
      </c>
      <c r="E167" s="17" t="str">
        <f aca="false">IF(D167="","",SUMIFS(Compras!$H$5:$H$2000,Compras!$B$5:$B$2000,A167,Compras!$A$5:$A$2000,D167,Compras!$H$5:$H$2000,"&gt;0")/COUNTIFS(Compras!$B$5:$B$2000,A167,Compras!$A$5:$A$2000,D167,Compras!$H$5:$H$2000,"&gt;0"))</f>
        <v/>
      </c>
      <c r="F167" s="17" t="str">
        <f aca="false">IF(D167="","",SUMIFS(Compras!$F$5:$F$2000,Compras!$B$5:$B$2000,A167,Compras!$H$5:$H$2000,"&gt;0")/SUMIFS(Compras!$G$5:$G$2000,Compras!$B$5:$B$2000,A167,Compras!$H$5:$H$2000,"&gt;0"))</f>
        <v/>
      </c>
      <c r="G167" s="18" t="str">
        <f aca="false">IF(D167="","",IF(CFG_Metodo="Promedio",F167,E167))</f>
        <v/>
      </c>
      <c r="H167" s="19" t="str">
        <f aca="false">IF(G167="","",IF(C167="unidad",G167,G167*1000))</f>
        <v/>
      </c>
      <c r="I167" s="20" t="str">
        <f aca="false">IF(A167="","",IF(C167="","Falta unidad base",IF(D167="","Sin compras cargadas","OK")))</f>
        <v/>
      </c>
    </row>
    <row r="168" customFormat="false" ht="15" hidden="false" customHeight="false" outlineLevel="0" collapsed="false">
      <c r="A168" s="15"/>
      <c r="B168" s="15"/>
      <c r="C168" s="15"/>
      <c r="D168" s="16" t="str">
        <f aca="false">IF(A168="","",IF(COUNTIFS(Compras!$B$5:$B$2000,A168,Compras!$H$5:$H$2000,"&gt;0")=0,"",_xlfn.MAXIFS(Compras!$A$5:$A$2000,Compras!$B$5:$B$2000,A168,Compras!$H$5:$H$2000,"&gt;0")))</f>
        <v/>
      </c>
      <c r="E168" s="17" t="str">
        <f aca="false">IF(D168="","",SUMIFS(Compras!$H$5:$H$2000,Compras!$B$5:$B$2000,A168,Compras!$A$5:$A$2000,D168,Compras!$H$5:$H$2000,"&gt;0")/COUNTIFS(Compras!$B$5:$B$2000,A168,Compras!$A$5:$A$2000,D168,Compras!$H$5:$H$2000,"&gt;0"))</f>
        <v/>
      </c>
      <c r="F168" s="17" t="str">
        <f aca="false">IF(D168="","",SUMIFS(Compras!$F$5:$F$2000,Compras!$B$5:$B$2000,A168,Compras!$H$5:$H$2000,"&gt;0")/SUMIFS(Compras!$G$5:$G$2000,Compras!$B$5:$B$2000,A168,Compras!$H$5:$H$2000,"&gt;0"))</f>
        <v/>
      </c>
      <c r="G168" s="18" t="str">
        <f aca="false">IF(D168="","",IF(CFG_Metodo="Promedio",F168,E168))</f>
        <v/>
      </c>
      <c r="H168" s="19" t="str">
        <f aca="false">IF(G168="","",IF(C168="unidad",G168,G168*1000))</f>
        <v/>
      </c>
      <c r="I168" s="20" t="str">
        <f aca="false">IF(A168="","",IF(C168="","Falta unidad base",IF(D168="","Sin compras cargadas","OK")))</f>
        <v/>
      </c>
    </row>
    <row r="169" customFormat="false" ht="15" hidden="false" customHeight="false" outlineLevel="0" collapsed="false">
      <c r="A169" s="15"/>
      <c r="B169" s="15"/>
      <c r="C169" s="15"/>
      <c r="D169" s="16" t="str">
        <f aca="false">IF(A169="","",IF(COUNTIFS(Compras!$B$5:$B$2000,A169,Compras!$H$5:$H$2000,"&gt;0")=0,"",_xlfn.MAXIFS(Compras!$A$5:$A$2000,Compras!$B$5:$B$2000,A169,Compras!$H$5:$H$2000,"&gt;0")))</f>
        <v/>
      </c>
      <c r="E169" s="17" t="str">
        <f aca="false">IF(D169="","",SUMIFS(Compras!$H$5:$H$2000,Compras!$B$5:$B$2000,A169,Compras!$A$5:$A$2000,D169,Compras!$H$5:$H$2000,"&gt;0")/COUNTIFS(Compras!$B$5:$B$2000,A169,Compras!$A$5:$A$2000,D169,Compras!$H$5:$H$2000,"&gt;0"))</f>
        <v/>
      </c>
      <c r="F169" s="17" t="str">
        <f aca="false">IF(D169="","",SUMIFS(Compras!$F$5:$F$2000,Compras!$B$5:$B$2000,A169,Compras!$H$5:$H$2000,"&gt;0")/SUMIFS(Compras!$G$5:$G$2000,Compras!$B$5:$B$2000,A169,Compras!$H$5:$H$2000,"&gt;0"))</f>
        <v/>
      </c>
      <c r="G169" s="18" t="str">
        <f aca="false">IF(D169="","",IF(CFG_Metodo="Promedio",F169,E169))</f>
        <v/>
      </c>
      <c r="H169" s="19" t="str">
        <f aca="false">IF(G169="","",IF(C169="unidad",G169,G169*1000))</f>
        <v/>
      </c>
      <c r="I169" s="20" t="str">
        <f aca="false">IF(A169="","",IF(C169="","Falta unidad base",IF(D169="","Sin compras cargadas","OK")))</f>
        <v/>
      </c>
    </row>
    <row r="170" customFormat="false" ht="15" hidden="false" customHeight="false" outlineLevel="0" collapsed="false">
      <c r="A170" s="15"/>
      <c r="B170" s="15"/>
      <c r="C170" s="15"/>
      <c r="D170" s="16" t="str">
        <f aca="false">IF(A170="","",IF(COUNTIFS(Compras!$B$5:$B$2000,A170,Compras!$H$5:$H$2000,"&gt;0")=0,"",_xlfn.MAXIFS(Compras!$A$5:$A$2000,Compras!$B$5:$B$2000,A170,Compras!$H$5:$H$2000,"&gt;0")))</f>
        <v/>
      </c>
      <c r="E170" s="17" t="str">
        <f aca="false">IF(D170="","",SUMIFS(Compras!$H$5:$H$2000,Compras!$B$5:$B$2000,A170,Compras!$A$5:$A$2000,D170,Compras!$H$5:$H$2000,"&gt;0")/COUNTIFS(Compras!$B$5:$B$2000,A170,Compras!$A$5:$A$2000,D170,Compras!$H$5:$H$2000,"&gt;0"))</f>
        <v/>
      </c>
      <c r="F170" s="17" t="str">
        <f aca="false">IF(D170="","",SUMIFS(Compras!$F$5:$F$2000,Compras!$B$5:$B$2000,A170,Compras!$H$5:$H$2000,"&gt;0")/SUMIFS(Compras!$G$5:$G$2000,Compras!$B$5:$B$2000,A170,Compras!$H$5:$H$2000,"&gt;0"))</f>
        <v/>
      </c>
      <c r="G170" s="18" t="str">
        <f aca="false">IF(D170="","",IF(CFG_Metodo="Promedio",F170,E170))</f>
        <v/>
      </c>
      <c r="H170" s="19" t="str">
        <f aca="false">IF(G170="","",IF(C170="unidad",G170,G170*1000))</f>
        <v/>
      </c>
      <c r="I170" s="20" t="str">
        <f aca="false">IF(A170="","",IF(C170="","Falta unidad base",IF(D170="","Sin compras cargadas","OK")))</f>
        <v/>
      </c>
    </row>
    <row r="171" customFormat="false" ht="15" hidden="false" customHeight="false" outlineLevel="0" collapsed="false">
      <c r="A171" s="15"/>
      <c r="B171" s="15"/>
      <c r="C171" s="15"/>
      <c r="D171" s="16" t="str">
        <f aca="false">IF(A171="","",IF(COUNTIFS(Compras!$B$5:$B$2000,A171,Compras!$H$5:$H$2000,"&gt;0")=0,"",_xlfn.MAXIFS(Compras!$A$5:$A$2000,Compras!$B$5:$B$2000,A171,Compras!$H$5:$H$2000,"&gt;0")))</f>
        <v/>
      </c>
      <c r="E171" s="17" t="str">
        <f aca="false">IF(D171="","",SUMIFS(Compras!$H$5:$H$2000,Compras!$B$5:$B$2000,A171,Compras!$A$5:$A$2000,D171,Compras!$H$5:$H$2000,"&gt;0")/COUNTIFS(Compras!$B$5:$B$2000,A171,Compras!$A$5:$A$2000,D171,Compras!$H$5:$H$2000,"&gt;0"))</f>
        <v/>
      </c>
      <c r="F171" s="17" t="str">
        <f aca="false">IF(D171="","",SUMIFS(Compras!$F$5:$F$2000,Compras!$B$5:$B$2000,A171,Compras!$H$5:$H$2000,"&gt;0")/SUMIFS(Compras!$G$5:$G$2000,Compras!$B$5:$B$2000,A171,Compras!$H$5:$H$2000,"&gt;0"))</f>
        <v/>
      </c>
      <c r="G171" s="18" t="str">
        <f aca="false">IF(D171="","",IF(CFG_Metodo="Promedio",F171,E171))</f>
        <v/>
      </c>
      <c r="H171" s="19" t="str">
        <f aca="false">IF(G171="","",IF(C171="unidad",G171,G171*1000))</f>
        <v/>
      </c>
      <c r="I171" s="20" t="str">
        <f aca="false">IF(A171="","",IF(C171="","Falta unidad base",IF(D171="","Sin compras cargadas","OK")))</f>
        <v/>
      </c>
    </row>
    <row r="172" customFormat="false" ht="15" hidden="false" customHeight="false" outlineLevel="0" collapsed="false">
      <c r="A172" s="15"/>
      <c r="B172" s="15"/>
      <c r="C172" s="15"/>
      <c r="D172" s="16" t="str">
        <f aca="false">IF(A172="","",IF(COUNTIFS(Compras!$B$5:$B$2000,A172,Compras!$H$5:$H$2000,"&gt;0")=0,"",_xlfn.MAXIFS(Compras!$A$5:$A$2000,Compras!$B$5:$B$2000,A172,Compras!$H$5:$H$2000,"&gt;0")))</f>
        <v/>
      </c>
      <c r="E172" s="17" t="str">
        <f aca="false">IF(D172="","",SUMIFS(Compras!$H$5:$H$2000,Compras!$B$5:$B$2000,A172,Compras!$A$5:$A$2000,D172,Compras!$H$5:$H$2000,"&gt;0")/COUNTIFS(Compras!$B$5:$B$2000,A172,Compras!$A$5:$A$2000,D172,Compras!$H$5:$H$2000,"&gt;0"))</f>
        <v/>
      </c>
      <c r="F172" s="17" t="str">
        <f aca="false">IF(D172="","",SUMIFS(Compras!$F$5:$F$2000,Compras!$B$5:$B$2000,A172,Compras!$H$5:$H$2000,"&gt;0")/SUMIFS(Compras!$G$5:$G$2000,Compras!$B$5:$B$2000,A172,Compras!$H$5:$H$2000,"&gt;0"))</f>
        <v/>
      </c>
      <c r="G172" s="18" t="str">
        <f aca="false">IF(D172="","",IF(CFG_Metodo="Promedio",F172,E172))</f>
        <v/>
      </c>
      <c r="H172" s="19" t="str">
        <f aca="false">IF(G172="","",IF(C172="unidad",G172,G172*1000))</f>
        <v/>
      </c>
      <c r="I172" s="20" t="str">
        <f aca="false">IF(A172="","",IF(C172="","Falta unidad base",IF(D172="","Sin compras cargadas","OK")))</f>
        <v/>
      </c>
    </row>
    <row r="173" customFormat="false" ht="15" hidden="false" customHeight="false" outlineLevel="0" collapsed="false">
      <c r="A173" s="15"/>
      <c r="B173" s="15"/>
      <c r="C173" s="15"/>
      <c r="D173" s="16" t="str">
        <f aca="false">IF(A173="","",IF(COUNTIFS(Compras!$B$5:$B$2000,A173,Compras!$H$5:$H$2000,"&gt;0")=0,"",_xlfn.MAXIFS(Compras!$A$5:$A$2000,Compras!$B$5:$B$2000,A173,Compras!$H$5:$H$2000,"&gt;0")))</f>
        <v/>
      </c>
      <c r="E173" s="17" t="str">
        <f aca="false">IF(D173="","",SUMIFS(Compras!$H$5:$H$2000,Compras!$B$5:$B$2000,A173,Compras!$A$5:$A$2000,D173,Compras!$H$5:$H$2000,"&gt;0")/COUNTIFS(Compras!$B$5:$B$2000,A173,Compras!$A$5:$A$2000,D173,Compras!$H$5:$H$2000,"&gt;0"))</f>
        <v/>
      </c>
      <c r="F173" s="17" t="str">
        <f aca="false">IF(D173="","",SUMIFS(Compras!$F$5:$F$2000,Compras!$B$5:$B$2000,A173,Compras!$H$5:$H$2000,"&gt;0")/SUMIFS(Compras!$G$5:$G$2000,Compras!$B$5:$B$2000,A173,Compras!$H$5:$H$2000,"&gt;0"))</f>
        <v/>
      </c>
      <c r="G173" s="18" t="str">
        <f aca="false">IF(D173="","",IF(CFG_Metodo="Promedio",F173,E173))</f>
        <v/>
      </c>
      <c r="H173" s="19" t="str">
        <f aca="false">IF(G173="","",IF(C173="unidad",G173,G173*1000))</f>
        <v/>
      </c>
      <c r="I173" s="20" t="str">
        <f aca="false">IF(A173="","",IF(C173="","Falta unidad base",IF(D173="","Sin compras cargadas","OK")))</f>
        <v/>
      </c>
    </row>
    <row r="174" customFormat="false" ht="15" hidden="false" customHeight="false" outlineLevel="0" collapsed="false">
      <c r="A174" s="15"/>
      <c r="B174" s="15"/>
      <c r="C174" s="15"/>
      <c r="D174" s="16" t="str">
        <f aca="false">IF(A174="","",IF(COUNTIFS(Compras!$B$5:$B$2000,A174,Compras!$H$5:$H$2000,"&gt;0")=0,"",_xlfn.MAXIFS(Compras!$A$5:$A$2000,Compras!$B$5:$B$2000,A174,Compras!$H$5:$H$2000,"&gt;0")))</f>
        <v/>
      </c>
      <c r="E174" s="17" t="str">
        <f aca="false">IF(D174="","",SUMIFS(Compras!$H$5:$H$2000,Compras!$B$5:$B$2000,A174,Compras!$A$5:$A$2000,D174,Compras!$H$5:$H$2000,"&gt;0")/COUNTIFS(Compras!$B$5:$B$2000,A174,Compras!$A$5:$A$2000,D174,Compras!$H$5:$H$2000,"&gt;0"))</f>
        <v/>
      </c>
      <c r="F174" s="17" t="str">
        <f aca="false">IF(D174="","",SUMIFS(Compras!$F$5:$F$2000,Compras!$B$5:$B$2000,A174,Compras!$H$5:$H$2000,"&gt;0")/SUMIFS(Compras!$G$5:$G$2000,Compras!$B$5:$B$2000,A174,Compras!$H$5:$H$2000,"&gt;0"))</f>
        <v/>
      </c>
      <c r="G174" s="18" t="str">
        <f aca="false">IF(D174="","",IF(CFG_Metodo="Promedio",F174,E174))</f>
        <v/>
      </c>
      <c r="H174" s="19" t="str">
        <f aca="false">IF(G174="","",IF(C174="unidad",G174,G174*1000))</f>
        <v/>
      </c>
      <c r="I174" s="20" t="str">
        <f aca="false">IF(A174="","",IF(C174="","Falta unidad base",IF(D174="","Sin compras cargadas","OK")))</f>
        <v/>
      </c>
    </row>
    <row r="175" customFormat="false" ht="15" hidden="false" customHeight="false" outlineLevel="0" collapsed="false">
      <c r="A175" s="15"/>
      <c r="B175" s="15"/>
      <c r="C175" s="15"/>
      <c r="D175" s="16" t="str">
        <f aca="false">IF(A175="","",IF(COUNTIFS(Compras!$B$5:$B$2000,A175,Compras!$H$5:$H$2000,"&gt;0")=0,"",_xlfn.MAXIFS(Compras!$A$5:$A$2000,Compras!$B$5:$B$2000,A175,Compras!$H$5:$H$2000,"&gt;0")))</f>
        <v/>
      </c>
      <c r="E175" s="17" t="str">
        <f aca="false">IF(D175="","",SUMIFS(Compras!$H$5:$H$2000,Compras!$B$5:$B$2000,A175,Compras!$A$5:$A$2000,D175,Compras!$H$5:$H$2000,"&gt;0")/COUNTIFS(Compras!$B$5:$B$2000,A175,Compras!$A$5:$A$2000,D175,Compras!$H$5:$H$2000,"&gt;0"))</f>
        <v/>
      </c>
      <c r="F175" s="17" t="str">
        <f aca="false">IF(D175="","",SUMIFS(Compras!$F$5:$F$2000,Compras!$B$5:$B$2000,A175,Compras!$H$5:$H$2000,"&gt;0")/SUMIFS(Compras!$G$5:$G$2000,Compras!$B$5:$B$2000,A175,Compras!$H$5:$H$2000,"&gt;0"))</f>
        <v/>
      </c>
      <c r="G175" s="18" t="str">
        <f aca="false">IF(D175="","",IF(CFG_Metodo="Promedio",F175,E175))</f>
        <v/>
      </c>
      <c r="H175" s="19" t="str">
        <f aca="false">IF(G175="","",IF(C175="unidad",G175,G175*1000))</f>
        <v/>
      </c>
      <c r="I175" s="20" t="str">
        <f aca="false">IF(A175="","",IF(C175="","Falta unidad base",IF(D175="","Sin compras cargadas","OK")))</f>
        <v/>
      </c>
    </row>
    <row r="176" customFormat="false" ht="15" hidden="false" customHeight="false" outlineLevel="0" collapsed="false">
      <c r="A176" s="15"/>
      <c r="B176" s="15"/>
      <c r="C176" s="15"/>
      <c r="D176" s="16" t="str">
        <f aca="false">IF(A176="","",IF(COUNTIFS(Compras!$B$5:$B$2000,A176,Compras!$H$5:$H$2000,"&gt;0")=0,"",_xlfn.MAXIFS(Compras!$A$5:$A$2000,Compras!$B$5:$B$2000,A176,Compras!$H$5:$H$2000,"&gt;0")))</f>
        <v/>
      </c>
      <c r="E176" s="17" t="str">
        <f aca="false">IF(D176="","",SUMIFS(Compras!$H$5:$H$2000,Compras!$B$5:$B$2000,A176,Compras!$A$5:$A$2000,D176,Compras!$H$5:$H$2000,"&gt;0")/COUNTIFS(Compras!$B$5:$B$2000,A176,Compras!$A$5:$A$2000,D176,Compras!$H$5:$H$2000,"&gt;0"))</f>
        <v/>
      </c>
      <c r="F176" s="17" t="str">
        <f aca="false">IF(D176="","",SUMIFS(Compras!$F$5:$F$2000,Compras!$B$5:$B$2000,A176,Compras!$H$5:$H$2000,"&gt;0")/SUMIFS(Compras!$G$5:$G$2000,Compras!$B$5:$B$2000,A176,Compras!$H$5:$H$2000,"&gt;0"))</f>
        <v/>
      </c>
      <c r="G176" s="18" t="str">
        <f aca="false">IF(D176="","",IF(CFG_Metodo="Promedio",F176,E176))</f>
        <v/>
      </c>
      <c r="H176" s="19" t="str">
        <f aca="false">IF(G176="","",IF(C176="unidad",G176,G176*1000))</f>
        <v/>
      </c>
      <c r="I176" s="20" t="str">
        <f aca="false">IF(A176="","",IF(C176="","Falta unidad base",IF(D176="","Sin compras cargadas","OK")))</f>
        <v/>
      </c>
    </row>
    <row r="177" customFormat="false" ht="15" hidden="false" customHeight="false" outlineLevel="0" collapsed="false">
      <c r="A177" s="15"/>
      <c r="B177" s="15"/>
      <c r="C177" s="15"/>
      <c r="D177" s="16" t="str">
        <f aca="false">IF(A177="","",IF(COUNTIFS(Compras!$B$5:$B$2000,A177,Compras!$H$5:$H$2000,"&gt;0")=0,"",_xlfn.MAXIFS(Compras!$A$5:$A$2000,Compras!$B$5:$B$2000,A177,Compras!$H$5:$H$2000,"&gt;0")))</f>
        <v/>
      </c>
      <c r="E177" s="17" t="str">
        <f aca="false">IF(D177="","",SUMIFS(Compras!$H$5:$H$2000,Compras!$B$5:$B$2000,A177,Compras!$A$5:$A$2000,D177,Compras!$H$5:$H$2000,"&gt;0")/COUNTIFS(Compras!$B$5:$B$2000,A177,Compras!$A$5:$A$2000,D177,Compras!$H$5:$H$2000,"&gt;0"))</f>
        <v/>
      </c>
      <c r="F177" s="17" t="str">
        <f aca="false">IF(D177="","",SUMIFS(Compras!$F$5:$F$2000,Compras!$B$5:$B$2000,A177,Compras!$H$5:$H$2000,"&gt;0")/SUMIFS(Compras!$G$5:$G$2000,Compras!$B$5:$B$2000,A177,Compras!$H$5:$H$2000,"&gt;0"))</f>
        <v/>
      </c>
      <c r="G177" s="18" t="str">
        <f aca="false">IF(D177="","",IF(CFG_Metodo="Promedio",F177,E177))</f>
        <v/>
      </c>
      <c r="H177" s="19" t="str">
        <f aca="false">IF(G177="","",IF(C177="unidad",G177,G177*1000))</f>
        <v/>
      </c>
      <c r="I177" s="20" t="str">
        <f aca="false">IF(A177="","",IF(C177="","Falta unidad base",IF(D177="","Sin compras cargadas","OK")))</f>
        <v/>
      </c>
    </row>
    <row r="178" customFormat="false" ht="15" hidden="false" customHeight="false" outlineLevel="0" collapsed="false">
      <c r="A178" s="15"/>
      <c r="B178" s="15"/>
      <c r="C178" s="15"/>
      <c r="D178" s="16" t="str">
        <f aca="false">IF(A178="","",IF(COUNTIFS(Compras!$B$5:$B$2000,A178,Compras!$H$5:$H$2000,"&gt;0")=0,"",_xlfn.MAXIFS(Compras!$A$5:$A$2000,Compras!$B$5:$B$2000,A178,Compras!$H$5:$H$2000,"&gt;0")))</f>
        <v/>
      </c>
      <c r="E178" s="17" t="str">
        <f aca="false">IF(D178="","",SUMIFS(Compras!$H$5:$H$2000,Compras!$B$5:$B$2000,A178,Compras!$A$5:$A$2000,D178,Compras!$H$5:$H$2000,"&gt;0")/COUNTIFS(Compras!$B$5:$B$2000,A178,Compras!$A$5:$A$2000,D178,Compras!$H$5:$H$2000,"&gt;0"))</f>
        <v/>
      </c>
      <c r="F178" s="17" t="str">
        <f aca="false">IF(D178="","",SUMIFS(Compras!$F$5:$F$2000,Compras!$B$5:$B$2000,A178,Compras!$H$5:$H$2000,"&gt;0")/SUMIFS(Compras!$G$5:$G$2000,Compras!$B$5:$B$2000,A178,Compras!$H$5:$H$2000,"&gt;0"))</f>
        <v/>
      </c>
      <c r="G178" s="18" t="str">
        <f aca="false">IF(D178="","",IF(CFG_Metodo="Promedio",F178,E178))</f>
        <v/>
      </c>
      <c r="H178" s="19" t="str">
        <f aca="false">IF(G178="","",IF(C178="unidad",G178,G178*1000))</f>
        <v/>
      </c>
      <c r="I178" s="20" t="str">
        <f aca="false">IF(A178="","",IF(C178="","Falta unidad base",IF(D178="","Sin compras cargadas","OK")))</f>
        <v/>
      </c>
    </row>
    <row r="179" customFormat="false" ht="15" hidden="false" customHeight="false" outlineLevel="0" collapsed="false">
      <c r="A179" s="15"/>
      <c r="B179" s="15"/>
      <c r="C179" s="15"/>
      <c r="D179" s="16" t="str">
        <f aca="false">IF(A179="","",IF(COUNTIFS(Compras!$B$5:$B$2000,A179,Compras!$H$5:$H$2000,"&gt;0")=0,"",_xlfn.MAXIFS(Compras!$A$5:$A$2000,Compras!$B$5:$B$2000,A179,Compras!$H$5:$H$2000,"&gt;0")))</f>
        <v/>
      </c>
      <c r="E179" s="17" t="str">
        <f aca="false">IF(D179="","",SUMIFS(Compras!$H$5:$H$2000,Compras!$B$5:$B$2000,A179,Compras!$A$5:$A$2000,D179,Compras!$H$5:$H$2000,"&gt;0")/COUNTIFS(Compras!$B$5:$B$2000,A179,Compras!$A$5:$A$2000,D179,Compras!$H$5:$H$2000,"&gt;0"))</f>
        <v/>
      </c>
      <c r="F179" s="17" t="str">
        <f aca="false">IF(D179="","",SUMIFS(Compras!$F$5:$F$2000,Compras!$B$5:$B$2000,A179,Compras!$H$5:$H$2000,"&gt;0")/SUMIFS(Compras!$G$5:$G$2000,Compras!$B$5:$B$2000,A179,Compras!$H$5:$H$2000,"&gt;0"))</f>
        <v/>
      </c>
      <c r="G179" s="18" t="str">
        <f aca="false">IF(D179="","",IF(CFG_Metodo="Promedio",F179,E179))</f>
        <v/>
      </c>
      <c r="H179" s="19" t="str">
        <f aca="false">IF(G179="","",IF(C179="unidad",G179,G179*1000))</f>
        <v/>
      </c>
      <c r="I179" s="20" t="str">
        <f aca="false">IF(A179="","",IF(C179="","Falta unidad base",IF(D179="","Sin compras cargadas","OK")))</f>
        <v/>
      </c>
    </row>
    <row r="180" customFormat="false" ht="15" hidden="false" customHeight="false" outlineLevel="0" collapsed="false">
      <c r="A180" s="15"/>
      <c r="B180" s="15"/>
      <c r="C180" s="15"/>
      <c r="D180" s="16" t="str">
        <f aca="false">IF(A180="","",IF(COUNTIFS(Compras!$B$5:$B$2000,A180,Compras!$H$5:$H$2000,"&gt;0")=0,"",_xlfn.MAXIFS(Compras!$A$5:$A$2000,Compras!$B$5:$B$2000,A180,Compras!$H$5:$H$2000,"&gt;0")))</f>
        <v/>
      </c>
      <c r="E180" s="17" t="str">
        <f aca="false">IF(D180="","",SUMIFS(Compras!$H$5:$H$2000,Compras!$B$5:$B$2000,A180,Compras!$A$5:$A$2000,D180,Compras!$H$5:$H$2000,"&gt;0")/COUNTIFS(Compras!$B$5:$B$2000,A180,Compras!$A$5:$A$2000,D180,Compras!$H$5:$H$2000,"&gt;0"))</f>
        <v/>
      </c>
      <c r="F180" s="17" t="str">
        <f aca="false">IF(D180="","",SUMIFS(Compras!$F$5:$F$2000,Compras!$B$5:$B$2000,A180,Compras!$H$5:$H$2000,"&gt;0")/SUMIFS(Compras!$G$5:$G$2000,Compras!$B$5:$B$2000,A180,Compras!$H$5:$H$2000,"&gt;0"))</f>
        <v/>
      </c>
      <c r="G180" s="18" t="str">
        <f aca="false">IF(D180="","",IF(CFG_Metodo="Promedio",F180,E180))</f>
        <v/>
      </c>
      <c r="H180" s="19" t="str">
        <f aca="false">IF(G180="","",IF(C180="unidad",G180,G180*1000))</f>
        <v/>
      </c>
      <c r="I180" s="20" t="str">
        <f aca="false">IF(A180="","",IF(C180="","Falta unidad base",IF(D180="","Sin compras cargadas","OK")))</f>
        <v/>
      </c>
    </row>
    <row r="181" customFormat="false" ht="15" hidden="false" customHeight="false" outlineLevel="0" collapsed="false">
      <c r="A181" s="15"/>
      <c r="B181" s="15"/>
      <c r="C181" s="15"/>
      <c r="D181" s="16" t="str">
        <f aca="false">IF(A181="","",IF(COUNTIFS(Compras!$B$5:$B$2000,A181,Compras!$H$5:$H$2000,"&gt;0")=0,"",_xlfn.MAXIFS(Compras!$A$5:$A$2000,Compras!$B$5:$B$2000,A181,Compras!$H$5:$H$2000,"&gt;0")))</f>
        <v/>
      </c>
      <c r="E181" s="17" t="str">
        <f aca="false">IF(D181="","",SUMIFS(Compras!$H$5:$H$2000,Compras!$B$5:$B$2000,A181,Compras!$A$5:$A$2000,D181,Compras!$H$5:$H$2000,"&gt;0")/COUNTIFS(Compras!$B$5:$B$2000,A181,Compras!$A$5:$A$2000,D181,Compras!$H$5:$H$2000,"&gt;0"))</f>
        <v/>
      </c>
      <c r="F181" s="17" t="str">
        <f aca="false">IF(D181="","",SUMIFS(Compras!$F$5:$F$2000,Compras!$B$5:$B$2000,A181,Compras!$H$5:$H$2000,"&gt;0")/SUMIFS(Compras!$G$5:$G$2000,Compras!$B$5:$B$2000,A181,Compras!$H$5:$H$2000,"&gt;0"))</f>
        <v/>
      </c>
      <c r="G181" s="18" t="str">
        <f aca="false">IF(D181="","",IF(CFG_Metodo="Promedio",F181,E181))</f>
        <v/>
      </c>
      <c r="H181" s="19" t="str">
        <f aca="false">IF(G181="","",IF(C181="unidad",G181,G181*1000))</f>
        <v/>
      </c>
      <c r="I181" s="20" t="str">
        <f aca="false">IF(A181="","",IF(C181="","Falta unidad base",IF(D181="","Sin compras cargadas","OK")))</f>
        <v/>
      </c>
    </row>
    <row r="182" customFormat="false" ht="15" hidden="false" customHeight="false" outlineLevel="0" collapsed="false">
      <c r="A182" s="15"/>
      <c r="B182" s="15"/>
      <c r="C182" s="15"/>
      <c r="D182" s="16" t="str">
        <f aca="false">IF(A182="","",IF(COUNTIFS(Compras!$B$5:$B$2000,A182,Compras!$H$5:$H$2000,"&gt;0")=0,"",_xlfn.MAXIFS(Compras!$A$5:$A$2000,Compras!$B$5:$B$2000,A182,Compras!$H$5:$H$2000,"&gt;0")))</f>
        <v/>
      </c>
      <c r="E182" s="17" t="str">
        <f aca="false">IF(D182="","",SUMIFS(Compras!$H$5:$H$2000,Compras!$B$5:$B$2000,A182,Compras!$A$5:$A$2000,D182,Compras!$H$5:$H$2000,"&gt;0")/COUNTIFS(Compras!$B$5:$B$2000,A182,Compras!$A$5:$A$2000,D182,Compras!$H$5:$H$2000,"&gt;0"))</f>
        <v/>
      </c>
      <c r="F182" s="17" t="str">
        <f aca="false">IF(D182="","",SUMIFS(Compras!$F$5:$F$2000,Compras!$B$5:$B$2000,A182,Compras!$H$5:$H$2000,"&gt;0")/SUMIFS(Compras!$G$5:$G$2000,Compras!$B$5:$B$2000,A182,Compras!$H$5:$H$2000,"&gt;0"))</f>
        <v/>
      </c>
      <c r="G182" s="18" t="str">
        <f aca="false">IF(D182="","",IF(CFG_Metodo="Promedio",F182,E182))</f>
        <v/>
      </c>
      <c r="H182" s="19" t="str">
        <f aca="false">IF(G182="","",IF(C182="unidad",G182,G182*1000))</f>
        <v/>
      </c>
      <c r="I182" s="20" t="str">
        <f aca="false">IF(A182="","",IF(C182="","Falta unidad base",IF(D182="","Sin compras cargadas","OK")))</f>
        <v/>
      </c>
    </row>
    <row r="183" customFormat="false" ht="15" hidden="false" customHeight="false" outlineLevel="0" collapsed="false">
      <c r="A183" s="15"/>
      <c r="B183" s="15"/>
      <c r="C183" s="15"/>
      <c r="D183" s="16" t="str">
        <f aca="false">IF(A183="","",IF(COUNTIFS(Compras!$B$5:$B$2000,A183,Compras!$H$5:$H$2000,"&gt;0")=0,"",_xlfn.MAXIFS(Compras!$A$5:$A$2000,Compras!$B$5:$B$2000,A183,Compras!$H$5:$H$2000,"&gt;0")))</f>
        <v/>
      </c>
      <c r="E183" s="17" t="str">
        <f aca="false">IF(D183="","",SUMIFS(Compras!$H$5:$H$2000,Compras!$B$5:$B$2000,A183,Compras!$A$5:$A$2000,D183,Compras!$H$5:$H$2000,"&gt;0")/COUNTIFS(Compras!$B$5:$B$2000,A183,Compras!$A$5:$A$2000,D183,Compras!$H$5:$H$2000,"&gt;0"))</f>
        <v/>
      </c>
      <c r="F183" s="17" t="str">
        <f aca="false">IF(D183="","",SUMIFS(Compras!$F$5:$F$2000,Compras!$B$5:$B$2000,A183,Compras!$H$5:$H$2000,"&gt;0")/SUMIFS(Compras!$G$5:$G$2000,Compras!$B$5:$B$2000,A183,Compras!$H$5:$H$2000,"&gt;0"))</f>
        <v/>
      </c>
      <c r="G183" s="18" t="str">
        <f aca="false">IF(D183="","",IF(CFG_Metodo="Promedio",F183,E183))</f>
        <v/>
      </c>
      <c r="H183" s="19" t="str">
        <f aca="false">IF(G183="","",IF(C183="unidad",G183,G183*1000))</f>
        <v/>
      </c>
      <c r="I183" s="20" t="str">
        <f aca="false">IF(A183="","",IF(C183="","Falta unidad base",IF(D183="","Sin compras cargadas","OK")))</f>
        <v/>
      </c>
    </row>
    <row r="184" customFormat="false" ht="15" hidden="false" customHeight="false" outlineLevel="0" collapsed="false">
      <c r="A184" s="15"/>
      <c r="B184" s="15"/>
      <c r="C184" s="15"/>
      <c r="D184" s="16" t="str">
        <f aca="false">IF(A184="","",IF(COUNTIFS(Compras!$B$5:$B$2000,A184,Compras!$H$5:$H$2000,"&gt;0")=0,"",_xlfn.MAXIFS(Compras!$A$5:$A$2000,Compras!$B$5:$B$2000,A184,Compras!$H$5:$H$2000,"&gt;0")))</f>
        <v/>
      </c>
      <c r="E184" s="17" t="str">
        <f aca="false">IF(D184="","",SUMIFS(Compras!$H$5:$H$2000,Compras!$B$5:$B$2000,A184,Compras!$A$5:$A$2000,D184,Compras!$H$5:$H$2000,"&gt;0")/COUNTIFS(Compras!$B$5:$B$2000,A184,Compras!$A$5:$A$2000,D184,Compras!$H$5:$H$2000,"&gt;0"))</f>
        <v/>
      </c>
      <c r="F184" s="17" t="str">
        <f aca="false">IF(D184="","",SUMIFS(Compras!$F$5:$F$2000,Compras!$B$5:$B$2000,A184,Compras!$H$5:$H$2000,"&gt;0")/SUMIFS(Compras!$G$5:$G$2000,Compras!$B$5:$B$2000,A184,Compras!$H$5:$H$2000,"&gt;0"))</f>
        <v/>
      </c>
      <c r="G184" s="18" t="str">
        <f aca="false">IF(D184="","",IF(CFG_Metodo="Promedio",F184,E184))</f>
        <v/>
      </c>
      <c r="H184" s="19" t="str">
        <f aca="false">IF(G184="","",IF(C184="unidad",G184,G184*1000))</f>
        <v/>
      </c>
      <c r="I184" s="20" t="str">
        <f aca="false">IF(A184="","",IF(C184="","Falta unidad base",IF(D184="","Sin compras cargadas","OK")))</f>
        <v/>
      </c>
    </row>
    <row r="185" customFormat="false" ht="15" hidden="false" customHeight="false" outlineLevel="0" collapsed="false">
      <c r="A185" s="15"/>
      <c r="B185" s="15"/>
      <c r="C185" s="15"/>
      <c r="D185" s="16" t="str">
        <f aca="false">IF(A185="","",IF(COUNTIFS(Compras!$B$5:$B$2000,A185,Compras!$H$5:$H$2000,"&gt;0")=0,"",_xlfn.MAXIFS(Compras!$A$5:$A$2000,Compras!$B$5:$B$2000,A185,Compras!$H$5:$H$2000,"&gt;0")))</f>
        <v/>
      </c>
      <c r="E185" s="17" t="str">
        <f aca="false">IF(D185="","",SUMIFS(Compras!$H$5:$H$2000,Compras!$B$5:$B$2000,A185,Compras!$A$5:$A$2000,D185,Compras!$H$5:$H$2000,"&gt;0")/COUNTIFS(Compras!$B$5:$B$2000,A185,Compras!$A$5:$A$2000,D185,Compras!$H$5:$H$2000,"&gt;0"))</f>
        <v/>
      </c>
      <c r="F185" s="17" t="str">
        <f aca="false">IF(D185="","",SUMIFS(Compras!$F$5:$F$2000,Compras!$B$5:$B$2000,A185,Compras!$H$5:$H$2000,"&gt;0")/SUMIFS(Compras!$G$5:$G$2000,Compras!$B$5:$B$2000,A185,Compras!$H$5:$H$2000,"&gt;0"))</f>
        <v/>
      </c>
      <c r="G185" s="18" t="str">
        <f aca="false">IF(D185="","",IF(CFG_Metodo="Promedio",F185,E185))</f>
        <v/>
      </c>
      <c r="H185" s="19" t="str">
        <f aca="false">IF(G185="","",IF(C185="unidad",G185,G185*1000))</f>
        <v/>
      </c>
      <c r="I185" s="20" t="str">
        <f aca="false">IF(A185="","",IF(C185="","Falta unidad base",IF(D185="","Sin compras cargadas","OK")))</f>
        <v/>
      </c>
    </row>
    <row r="186" customFormat="false" ht="15" hidden="false" customHeight="false" outlineLevel="0" collapsed="false">
      <c r="A186" s="15"/>
      <c r="B186" s="15"/>
      <c r="C186" s="15"/>
      <c r="D186" s="16" t="str">
        <f aca="false">IF(A186="","",IF(COUNTIFS(Compras!$B$5:$B$2000,A186,Compras!$H$5:$H$2000,"&gt;0")=0,"",_xlfn.MAXIFS(Compras!$A$5:$A$2000,Compras!$B$5:$B$2000,A186,Compras!$H$5:$H$2000,"&gt;0")))</f>
        <v/>
      </c>
      <c r="E186" s="17" t="str">
        <f aca="false">IF(D186="","",SUMIFS(Compras!$H$5:$H$2000,Compras!$B$5:$B$2000,A186,Compras!$A$5:$A$2000,D186,Compras!$H$5:$H$2000,"&gt;0")/COUNTIFS(Compras!$B$5:$B$2000,A186,Compras!$A$5:$A$2000,D186,Compras!$H$5:$H$2000,"&gt;0"))</f>
        <v/>
      </c>
      <c r="F186" s="17" t="str">
        <f aca="false">IF(D186="","",SUMIFS(Compras!$F$5:$F$2000,Compras!$B$5:$B$2000,A186,Compras!$H$5:$H$2000,"&gt;0")/SUMIFS(Compras!$G$5:$G$2000,Compras!$B$5:$B$2000,A186,Compras!$H$5:$H$2000,"&gt;0"))</f>
        <v/>
      </c>
      <c r="G186" s="18" t="str">
        <f aca="false">IF(D186="","",IF(CFG_Metodo="Promedio",F186,E186))</f>
        <v/>
      </c>
      <c r="H186" s="19" t="str">
        <f aca="false">IF(G186="","",IF(C186="unidad",G186,G186*1000))</f>
        <v/>
      </c>
      <c r="I186" s="20" t="str">
        <f aca="false">IF(A186="","",IF(C186="","Falta unidad base",IF(D186="","Sin compras cargadas","OK")))</f>
        <v/>
      </c>
    </row>
    <row r="187" customFormat="false" ht="15" hidden="false" customHeight="false" outlineLevel="0" collapsed="false">
      <c r="A187" s="15"/>
      <c r="B187" s="15"/>
      <c r="C187" s="15"/>
      <c r="D187" s="16" t="str">
        <f aca="false">IF(A187="","",IF(COUNTIFS(Compras!$B$5:$B$2000,A187,Compras!$H$5:$H$2000,"&gt;0")=0,"",_xlfn.MAXIFS(Compras!$A$5:$A$2000,Compras!$B$5:$B$2000,A187,Compras!$H$5:$H$2000,"&gt;0")))</f>
        <v/>
      </c>
      <c r="E187" s="17" t="str">
        <f aca="false">IF(D187="","",SUMIFS(Compras!$H$5:$H$2000,Compras!$B$5:$B$2000,A187,Compras!$A$5:$A$2000,D187,Compras!$H$5:$H$2000,"&gt;0")/COUNTIFS(Compras!$B$5:$B$2000,A187,Compras!$A$5:$A$2000,D187,Compras!$H$5:$H$2000,"&gt;0"))</f>
        <v/>
      </c>
      <c r="F187" s="17" t="str">
        <f aca="false">IF(D187="","",SUMIFS(Compras!$F$5:$F$2000,Compras!$B$5:$B$2000,A187,Compras!$H$5:$H$2000,"&gt;0")/SUMIFS(Compras!$G$5:$G$2000,Compras!$B$5:$B$2000,A187,Compras!$H$5:$H$2000,"&gt;0"))</f>
        <v/>
      </c>
      <c r="G187" s="18" t="str">
        <f aca="false">IF(D187="","",IF(CFG_Metodo="Promedio",F187,E187))</f>
        <v/>
      </c>
      <c r="H187" s="19" t="str">
        <f aca="false">IF(G187="","",IF(C187="unidad",G187,G187*1000))</f>
        <v/>
      </c>
      <c r="I187" s="20" t="str">
        <f aca="false">IF(A187="","",IF(C187="","Falta unidad base",IF(D187="","Sin compras cargadas","OK")))</f>
        <v/>
      </c>
    </row>
    <row r="188" customFormat="false" ht="15" hidden="false" customHeight="false" outlineLevel="0" collapsed="false">
      <c r="A188" s="15"/>
      <c r="B188" s="15"/>
      <c r="C188" s="15"/>
      <c r="D188" s="16" t="str">
        <f aca="false">IF(A188="","",IF(COUNTIFS(Compras!$B$5:$B$2000,A188,Compras!$H$5:$H$2000,"&gt;0")=0,"",_xlfn.MAXIFS(Compras!$A$5:$A$2000,Compras!$B$5:$B$2000,A188,Compras!$H$5:$H$2000,"&gt;0")))</f>
        <v/>
      </c>
      <c r="E188" s="17" t="str">
        <f aca="false">IF(D188="","",SUMIFS(Compras!$H$5:$H$2000,Compras!$B$5:$B$2000,A188,Compras!$A$5:$A$2000,D188,Compras!$H$5:$H$2000,"&gt;0")/COUNTIFS(Compras!$B$5:$B$2000,A188,Compras!$A$5:$A$2000,D188,Compras!$H$5:$H$2000,"&gt;0"))</f>
        <v/>
      </c>
      <c r="F188" s="17" t="str">
        <f aca="false">IF(D188="","",SUMIFS(Compras!$F$5:$F$2000,Compras!$B$5:$B$2000,A188,Compras!$H$5:$H$2000,"&gt;0")/SUMIFS(Compras!$G$5:$G$2000,Compras!$B$5:$B$2000,A188,Compras!$H$5:$H$2000,"&gt;0"))</f>
        <v/>
      </c>
      <c r="G188" s="18" t="str">
        <f aca="false">IF(D188="","",IF(CFG_Metodo="Promedio",F188,E188))</f>
        <v/>
      </c>
      <c r="H188" s="19" t="str">
        <f aca="false">IF(G188="","",IF(C188="unidad",G188,G188*1000))</f>
        <v/>
      </c>
      <c r="I188" s="20" t="str">
        <f aca="false">IF(A188="","",IF(C188="","Falta unidad base",IF(D188="","Sin compras cargadas","OK")))</f>
        <v/>
      </c>
    </row>
    <row r="189" customFormat="false" ht="15" hidden="false" customHeight="false" outlineLevel="0" collapsed="false">
      <c r="A189" s="15"/>
      <c r="B189" s="15"/>
      <c r="C189" s="15"/>
      <c r="D189" s="16" t="str">
        <f aca="false">IF(A189="","",IF(COUNTIFS(Compras!$B$5:$B$2000,A189,Compras!$H$5:$H$2000,"&gt;0")=0,"",_xlfn.MAXIFS(Compras!$A$5:$A$2000,Compras!$B$5:$B$2000,A189,Compras!$H$5:$H$2000,"&gt;0")))</f>
        <v/>
      </c>
      <c r="E189" s="17" t="str">
        <f aca="false">IF(D189="","",SUMIFS(Compras!$H$5:$H$2000,Compras!$B$5:$B$2000,A189,Compras!$A$5:$A$2000,D189,Compras!$H$5:$H$2000,"&gt;0")/COUNTIFS(Compras!$B$5:$B$2000,A189,Compras!$A$5:$A$2000,D189,Compras!$H$5:$H$2000,"&gt;0"))</f>
        <v/>
      </c>
      <c r="F189" s="17" t="str">
        <f aca="false">IF(D189="","",SUMIFS(Compras!$F$5:$F$2000,Compras!$B$5:$B$2000,A189,Compras!$H$5:$H$2000,"&gt;0")/SUMIFS(Compras!$G$5:$G$2000,Compras!$B$5:$B$2000,A189,Compras!$H$5:$H$2000,"&gt;0"))</f>
        <v/>
      </c>
      <c r="G189" s="18" t="str">
        <f aca="false">IF(D189="","",IF(CFG_Metodo="Promedio",F189,E189))</f>
        <v/>
      </c>
      <c r="H189" s="19" t="str">
        <f aca="false">IF(G189="","",IF(C189="unidad",G189,G189*1000))</f>
        <v/>
      </c>
      <c r="I189" s="20" t="str">
        <f aca="false">IF(A189="","",IF(C189="","Falta unidad base",IF(D189="","Sin compras cargadas","OK")))</f>
        <v/>
      </c>
    </row>
    <row r="190" customFormat="false" ht="15" hidden="false" customHeight="false" outlineLevel="0" collapsed="false">
      <c r="A190" s="15"/>
      <c r="B190" s="15"/>
      <c r="C190" s="15"/>
      <c r="D190" s="16" t="str">
        <f aca="false">IF(A190="","",IF(COUNTIFS(Compras!$B$5:$B$2000,A190,Compras!$H$5:$H$2000,"&gt;0")=0,"",_xlfn.MAXIFS(Compras!$A$5:$A$2000,Compras!$B$5:$B$2000,A190,Compras!$H$5:$H$2000,"&gt;0")))</f>
        <v/>
      </c>
      <c r="E190" s="17" t="str">
        <f aca="false">IF(D190="","",SUMIFS(Compras!$H$5:$H$2000,Compras!$B$5:$B$2000,A190,Compras!$A$5:$A$2000,D190,Compras!$H$5:$H$2000,"&gt;0")/COUNTIFS(Compras!$B$5:$B$2000,A190,Compras!$A$5:$A$2000,D190,Compras!$H$5:$H$2000,"&gt;0"))</f>
        <v/>
      </c>
      <c r="F190" s="17" t="str">
        <f aca="false">IF(D190="","",SUMIFS(Compras!$F$5:$F$2000,Compras!$B$5:$B$2000,A190,Compras!$H$5:$H$2000,"&gt;0")/SUMIFS(Compras!$G$5:$G$2000,Compras!$B$5:$B$2000,A190,Compras!$H$5:$H$2000,"&gt;0"))</f>
        <v/>
      </c>
      <c r="G190" s="18" t="str">
        <f aca="false">IF(D190="","",IF(CFG_Metodo="Promedio",F190,E190))</f>
        <v/>
      </c>
      <c r="H190" s="19" t="str">
        <f aca="false">IF(G190="","",IF(C190="unidad",G190,G190*1000))</f>
        <v/>
      </c>
      <c r="I190" s="20" t="str">
        <f aca="false">IF(A190="","",IF(C190="","Falta unidad base",IF(D190="","Sin compras cargadas","OK")))</f>
        <v/>
      </c>
    </row>
    <row r="191" customFormat="false" ht="15" hidden="false" customHeight="false" outlineLevel="0" collapsed="false">
      <c r="A191" s="15"/>
      <c r="B191" s="15"/>
      <c r="C191" s="15"/>
      <c r="D191" s="16" t="str">
        <f aca="false">IF(A191="","",IF(COUNTIFS(Compras!$B$5:$B$2000,A191,Compras!$H$5:$H$2000,"&gt;0")=0,"",_xlfn.MAXIFS(Compras!$A$5:$A$2000,Compras!$B$5:$B$2000,A191,Compras!$H$5:$H$2000,"&gt;0")))</f>
        <v/>
      </c>
      <c r="E191" s="17" t="str">
        <f aca="false">IF(D191="","",SUMIFS(Compras!$H$5:$H$2000,Compras!$B$5:$B$2000,A191,Compras!$A$5:$A$2000,D191,Compras!$H$5:$H$2000,"&gt;0")/COUNTIFS(Compras!$B$5:$B$2000,A191,Compras!$A$5:$A$2000,D191,Compras!$H$5:$H$2000,"&gt;0"))</f>
        <v/>
      </c>
      <c r="F191" s="17" t="str">
        <f aca="false">IF(D191="","",SUMIFS(Compras!$F$5:$F$2000,Compras!$B$5:$B$2000,A191,Compras!$H$5:$H$2000,"&gt;0")/SUMIFS(Compras!$G$5:$G$2000,Compras!$B$5:$B$2000,A191,Compras!$H$5:$H$2000,"&gt;0"))</f>
        <v/>
      </c>
      <c r="G191" s="18" t="str">
        <f aca="false">IF(D191="","",IF(CFG_Metodo="Promedio",F191,E191))</f>
        <v/>
      </c>
      <c r="H191" s="19" t="str">
        <f aca="false">IF(G191="","",IF(C191="unidad",G191,G191*1000))</f>
        <v/>
      </c>
      <c r="I191" s="20" t="str">
        <f aca="false">IF(A191="","",IF(C191="","Falta unidad base",IF(D191="","Sin compras cargadas","OK")))</f>
        <v/>
      </c>
    </row>
    <row r="192" customFormat="false" ht="15" hidden="false" customHeight="false" outlineLevel="0" collapsed="false">
      <c r="A192" s="15"/>
      <c r="B192" s="15"/>
      <c r="C192" s="15"/>
      <c r="D192" s="16" t="str">
        <f aca="false">IF(A192="","",IF(COUNTIFS(Compras!$B$5:$B$2000,A192,Compras!$H$5:$H$2000,"&gt;0")=0,"",_xlfn.MAXIFS(Compras!$A$5:$A$2000,Compras!$B$5:$B$2000,A192,Compras!$H$5:$H$2000,"&gt;0")))</f>
        <v/>
      </c>
      <c r="E192" s="17" t="str">
        <f aca="false">IF(D192="","",SUMIFS(Compras!$H$5:$H$2000,Compras!$B$5:$B$2000,A192,Compras!$A$5:$A$2000,D192,Compras!$H$5:$H$2000,"&gt;0")/COUNTIFS(Compras!$B$5:$B$2000,A192,Compras!$A$5:$A$2000,D192,Compras!$H$5:$H$2000,"&gt;0"))</f>
        <v/>
      </c>
      <c r="F192" s="17" t="str">
        <f aca="false">IF(D192="","",SUMIFS(Compras!$F$5:$F$2000,Compras!$B$5:$B$2000,A192,Compras!$H$5:$H$2000,"&gt;0")/SUMIFS(Compras!$G$5:$G$2000,Compras!$B$5:$B$2000,A192,Compras!$H$5:$H$2000,"&gt;0"))</f>
        <v/>
      </c>
      <c r="G192" s="18" t="str">
        <f aca="false">IF(D192="","",IF(CFG_Metodo="Promedio",F192,E192))</f>
        <v/>
      </c>
      <c r="H192" s="19" t="str">
        <f aca="false">IF(G192="","",IF(C192="unidad",G192,G192*1000))</f>
        <v/>
      </c>
      <c r="I192" s="20" t="str">
        <f aca="false">IF(A192="","",IF(C192="","Falta unidad base",IF(D192="","Sin compras cargadas","OK")))</f>
        <v/>
      </c>
    </row>
    <row r="193" customFormat="false" ht="15" hidden="false" customHeight="false" outlineLevel="0" collapsed="false">
      <c r="A193" s="15"/>
      <c r="B193" s="15"/>
      <c r="C193" s="15"/>
      <c r="D193" s="16" t="str">
        <f aca="false">IF(A193="","",IF(COUNTIFS(Compras!$B$5:$B$2000,A193,Compras!$H$5:$H$2000,"&gt;0")=0,"",_xlfn.MAXIFS(Compras!$A$5:$A$2000,Compras!$B$5:$B$2000,A193,Compras!$H$5:$H$2000,"&gt;0")))</f>
        <v/>
      </c>
      <c r="E193" s="17" t="str">
        <f aca="false">IF(D193="","",SUMIFS(Compras!$H$5:$H$2000,Compras!$B$5:$B$2000,A193,Compras!$A$5:$A$2000,D193,Compras!$H$5:$H$2000,"&gt;0")/COUNTIFS(Compras!$B$5:$B$2000,A193,Compras!$A$5:$A$2000,D193,Compras!$H$5:$H$2000,"&gt;0"))</f>
        <v/>
      </c>
      <c r="F193" s="17" t="str">
        <f aca="false">IF(D193="","",SUMIFS(Compras!$F$5:$F$2000,Compras!$B$5:$B$2000,A193,Compras!$H$5:$H$2000,"&gt;0")/SUMIFS(Compras!$G$5:$G$2000,Compras!$B$5:$B$2000,A193,Compras!$H$5:$H$2000,"&gt;0"))</f>
        <v/>
      </c>
      <c r="G193" s="18" t="str">
        <f aca="false">IF(D193="","",IF(CFG_Metodo="Promedio",F193,E193))</f>
        <v/>
      </c>
      <c r="H193" s="19" t="str">
        <f aca="false">IF(G193="","",IF(C193="unidad",G193,G193*1000))</f>
        <v/>
      </c>
      <c r="I193" s="20" t="str">
        <f aca="false">IF(A193="","",IF(C193="","Falta unidad base",IF(D193="","Sin compras cargadas","OK")))</f>
        <v/>
      </c>
    </row>
    <row r="194" customFormat="false" ht="15" hidden="false" customHeight="false" outlineLevel="0" collapsed="false">
      <c r="A194" s="15"/>
      <c r="B194" s="15"/>
      <c r="C194" s="15"/>
      <c r="D194" s="16" t="str">
        <f aca="false">IF(A194="","",IF(COUNTIFS(Compras!$B$5:$B$2000,A194,Compras!$H$5:$H$2000,"&gt;0")=0,"",_xlfn.MAXIFS(Compras!$A$5:$A$2000,Compras!$B$5:$B$2000,A194,Compras!$H$5:$H$2000,"&gt;0")))</f>
        <v/>
      </c>
      <c r="E194" s="17" t="str">
        <f aca="false">IF(D194="","",SUMIFS(Compras!$H$5:$H$2000,Compras!$B$5:$B$2000,A194,Compras!$A$5:$A$2000,D194,Compras!$H$5:$H$2000,"&gt;0")/COUNTIFS(Compras!$B$5:$B$2000,A194,Compras!$A$5:$A$2000,D194,Compras!$H$5:$H$2000,"&gt;0"))</f>
        <v/>
      </c>
      <c r="F194" s="17" t="str">
        <f aca="false">IF(D194="","",SUMIFS(Compras!$F$5:$F$2000,Compras!$B$5:$B$2000,A194,Compras!$H$5:$H$2000,"&gt;0")/SUMIFS(Compras!$G$5:$G$2000,Compras!$B$5:$B$2000,A194,Compras!$H$5:$H$2000,"&gt;0"))</f>
        <v/>
      </c>
      <c r="G194" s="18" t="str">
        <f aca="false">IF(D194="","",IF(CFG_Metodo="Promedio",F194,E194))</f>
        <v/>
      </c>
      <c r="H194" s="19" t="str">
        <f aca="false">IF(G194="","",IF(C194="unidad",G194,G194*1000))</f>
        <v/>
      </c>
      <c r="I194" s="20" t="str">
        <f aca="false">IF(A194="","",IF(C194="","Falta unidad base",IF(D194="","Sin compras cargadas","OK")))</f>
        <v/>
      </c>
    </row>
    <row r="195" customFormat="false" ht="15" hidden="false" customHeight="false" outlineLevel="0" collapsed="false">
      <c r="A195" s="15"/>
      <c r="B195" s="15"/>
      <c r="C195" s="15"/>
      <c r="D195" s="16" t="str">
        <f aca="false">IF(A195="","",IF(COUNTIFS(Compras!$B$5:$B$2000,A195,Compras!$H$5:$H$2000,"&gt;0")=0,"",_xlfn.MAXIFS(Compras!$A$5:$A$2000,Compras!$B$5:$B$2000,A195,Compras!$H$5:$H$2000,"&gt;0")))</f>
        <v/>
      </c>
      <c r="E195" s="17" t="str">
        <f aca="false">IF(D195="","",SUMIFS(Compras!$H$5:$H$2000,Compras!$B$5:$B$2000,A195,Compras!$A$5:$A$2000,D195,Compras!$H$5:$H$2000,"&gt;0")/COUNTIFS(Compras!$B$5:$B$2000,A195,Compras!$A$5:$A$2000,D195,Compras!$H$5:$H$2000,"&gt;0"))</f>
        <v/>
      </c>
      <c r="F195" s="17" t="str">
        <f aca="false">IF(D195="","",SUMIFS(Compras!$F$5:$F$2000,Compras!$B$5:$B$2000,A195,Compras!$H$5:$H$2000,"&gt;0")/SUMIFS(Compras!$G$5:$G$2000,Compras!$B$5:$B$2000,A195,Compras!$H$5:$H$2000,"&gt;0"))</f>
        <v/>
      </c>
      <c r="G195" s="18" t="str">
        <f aca="false">IF(D195="","",IF(CFG_Metodo="Promedio",F195,E195))</f>
        <v/>
      </c>
      <c r="H195" s="19" t="str">
        <f aca="false">IF(G195="","",IF(C195="unidad",G195,G195*1000))</f>
        <v/>
      </c>
      <c r="I195" s="20" t="str">
        <f aca="false">IF(A195="","",IF(C195="","Falta unidad base",IF(D195="","Sin compras cargadas","OK")))</f>
        <v/>
      </c>
    </row>
    <row r="196" customFormat="false" ht="15" hidden="false" customHeight="false" outlineLevel="0" collapsed="false">
      <c r="A196" s="15"/>
      <c r="B196" s="15"/>
      <c r="C196" s="15"/>
      <c r="D196" s="16" t="str">
        <f aca="false">IF(A196="","",IF(COUNTIFS(Compras!$B$5:$B$2000,A196,Compras!$H$5:$H$2000,"&gt;0")=0,"",_xlfn.MAXIFS(Compras!$A$5:$A$2000,Compras!$B$5:$B$2000,A196,Compras!$H$5:$H$2000,"&gt;0")))</f>
        <v/>
      </c>
      <c r="E196" s="17" t="str">
        <f aca="false">IF(D196="","",SUMIFS(Compras!$H$5:$H$2000,Compras!$B$5:$B$2000,A196,Compras!$A$5:$A$2000,D196,Compras!$H$5:$H$2000,"&gt;0")/COUNTIFS(Compras!$B$5:$B$2000,A196,Compras!$A$5:$A$2000,D196,Compras!$H$5:$H$2000,"&gt;0"))</f>
        <v/>
      </c>
      <c r="F196" s="17" t="str">
        <f aca="false">IF(D196="","",SUMIFS(Compras!$F$5:$F$2000,Compras!$B$5:$B$2000,A196,Compras!$H$5:$H$2000,"&gt;0")/SUMIFS(Compras!$G$5:$G$2000,Compras!$B$5:$B$2000,A196,Compras!$H$5:$H$2000,"&gt;0"))</f>
        <v/>
      </c>
      <c r="G196" s="18" t="str">
        <f aca="false">IF(D196="","",IF(CFG_Metodo="Promedio",F196,E196))</f>
        <v/>
      </c>
      <c r="H196" s="19" t="str">
        <f aca="false">IF(G196="","",IF(C196="unidad",G196,G196*1000))</f>
        <v/>
      </c>
      <c r="I196" s="20" t="str">
        <f aca="false">IF(A196="","",IF(C196="","Falta unidad base",IF(D196="","Sin compras cargadas","OK")))</f>
        <v/>
      </c>
    </row>
    <row r="197" customFormat="false" ht="15" hidden="false" customHeight="false" outlineLevel="0" collapsed="false">
      <c r="A197" s="15"/>
      <c r="B197" s="15"/>
      <c r="C197" s="15"/>
      <c r="D197" s="16" t="str">
        <f aca="false">IF(A197="","",IF(COUNTIFS(Compras!$B$5:$B$2000,A197,Compras!$H$5:$H$2000,"&gt;0")=0,"",_xlfn.MAXIFS(Compras!$A$5:$A$2000,Compras!$B$5:$B$2000,A197,Compras!$H$5:$H$2000,"&gt;0")))</f>
        <v/>
      </c>
      <c r="E197" s="17" t="str">
        <f aca="false">IF(D197="","",SUMIFS(Compras!$H$5:$H$2000,Compras!$B$5:$B$2000,A197,Compras!$A$5:$A$2000,D197,Compras!$H$5:$H$2000,"&gt;0")/COUNTIFS(Compras!$B$5:$B$2000,A197,Compras!$A$5:$A$2000,D197,Compras!$H$5:$H$2000,"&gt;0"))</f>
        <v/>
      </c>
      <c r="F197" s="17" t="str">
        <f aca="false">IF(D197="","",SUMIFS(Compras!$F$5:$F$2000,Compras!$B$5:$B$2000,A197,Compras!$H$5:$H$2000,"&gt;0")/SUMIFS(Compras!$G$5:$G$2000,Compras!$B$5:$B$2000,A197,Compras!$H$5:$H$2000,"&gt;0"))</f>
        <v/>
      </c>
      <c r="G197" s="18" t="str">
        <f aca="false">IF(D197="","",IF(CFG_Metodo="Promedio",F197,E197))</f>
        <v/>
      </c>
      <c r="H197" s="19" t="str">
        <f aca="false">IF(G197="","",IF(C197="unidad",G197,G197*1000))</f>
        <v/>
      </c>
      <c r="I197" s="20" t="str">
        <f aca="false">IF(A197="","",IF(C197="","Falta unidad base",IF(D197="","Sin compras cargadas","OK")))</f>
        <v/>
      </c>
    </row>
    <row r="198" customFormat="false" ht="15" hidden="false" customHeight="false" outlineLevel="0" collapsed="false">
      <c r="A198" s="15"/>
      <c r="B198" s="15"/>
      <c r="C198" s="15"/>
      <c r="D198" s="16" t="str">
        <f aca="false">IF(A198="","",IF(COUNTIFS(Compras!$B$5:$B$2000,A198,Compras!$H$5:$H$2000,"&gt;0")=0,"",_xlfn.MAXIFS(Compras!$A$5:$A$2000,Compras!$B$5:$B$2000,A198,Compras!$H$5:$H$2000,"&gt;0")))</f>
        <v/>
      </c>
      <c r="E198" s="17" t="str">
        <f aca="false">IF(D198="","",SUMIFS(Compras!$H$5:$H$2000,Compras!$B$5:$B$2000,A198,Compras!$A$5:$A$2000,D198,Compras!$H$5:$H$2000,"&gt;0")/COUNTIFS(Compras!$B$5:$B$2000,A198,Compras!$A$5:$A$2000,D198,Compras!$H$5:$H$2000,"&gt;0"))</f>
        <v/>
      </c>
      <c r="F198" s="17" t="str">
        <f aca="false">IF(D198="","",SUMIFS(Compras!$F$5:$F$2000,Compras!$B$5:$B$2000,A198,Compras!$H$5:$H$2000,"&gt;0")/SUMIFS(Compras!$G$5:$G$2000,Compras!$B$5:$B$2000,A198,Compras!$H$5:$H$2000,"&gt;0"))</f>
        <v/>
      </c>
      <c r="G198" s="18" t="str">
        <f aca="false">IF(D198="","",IF(CFG_Metodo="Promedio",F198,E198))</f>
        <v/>
      </c>
      <c r="H198" s="19" t="str">
        <f aca="false">IF(G198="","",IF(C198="unidad",G198,G198*1000))</f>
        <v/>
      </c>
      <c r="I198" s="20" t="str">
        <f aca="false">IF(A198="","",IF(C198="","Falta unidad base",IF(D198="","Sin compras cargadas","OK")))</f>
        <v/>
      </c>
    </row>
    <row r="199" customFormat="false" ht="15" hidden="false" customHeight="false" outlineLevel="0" collapsed="false">
      <c r="A199" s="15"/>
      <c r="B199" s="15"/>
      <c r="C199" s="15"/>
      <c r="D199" s="16" t="str">
        <f aca="false">IF(A199="","",IF(COUNTIFS(Compras!$B$5:$B$2000,A199,Compras!$H$5:$H$2000,"&gt;0")=0,"",_xlfn.MAXIFS(Compras!$A$5:$A$2000,Compras!$B$5:$B$2000,A199,Compras!$H$5:$H$2000,"&gt;0")))</f>
        <v/>
      </c>
      <c r="E199" s="17" t="str">
        <f aca="false">IF(D199="","",SUMIFS(Compras!$H$5:$H$2000,Compras!$B$5:$B$2000,A199,Compras!$A$5:$A$2000,D199,Compras!$H$5:$H$2000,"&gt;0")/COUNTIFS(Compras!$B$5:$B$2000,A199,Compras!$A$5:$A$2000,D199,Compras!$H$5:$H$2000,"&gt;0"))</f>
        <v/>
      </c>
      <c r="F199" s="17" t="str">
        <f aca="false">IF(D199="","",SUMIFS(Compras!$F$5:$F$2000,Compras!$B$5:$B$2000,A199,Compras!$H$5:$H$2000,"&gt;0")/SUMIFS(Compras!$G$5:$G$2000,Compras!$B$5:$B$2000,A199,Compras!$H$5:$H$2000,"&gt;0"))</f>
        <v/>
      </c>
      <c r="G199" s="18" t="str">
        <f aca="false">IF(D199="","",IF(CFG_Metodo="Promedio",F199,E199))</f>
        <v/>
      </c>
      <c r="H199" s="19" t="str">
        <f aca="false">IF(G199="","",IF(C199="unidad",G199,G199*1000))</f>
        <v/>
      </c>
      <c r="I199" s="20" t="str">
        <f aca="false">IF(A199="","",IF(C199="","Falta unidad base",IF(D199="","Sin compras cargadas","OK")))</f>
        <v/>
      </c>
    </row>
    <row r="200" customFormat="false" ht="15" hidden="false" customHeight="false" outlineLevel="0" collapsed="false">
      <c r="A200" s="15"/>
      <c r="B200" s="15"/>
      <c r="C200" s="15"/>
      <c r="D200" s="16" t="str">
        <f aca="false">IF(A200="","",IF(COUNTIFS(Compras!$B$5:$B$2000,A200,Compras!$H$5:$H$2000,"&gt;0")=0,"",_xlfn.MAXIFS(Compras!$A$5:$A$2000,Compras!$B$5:$B$2000,A200,Compras!$H$5:$H$2000,"&gt;0")))</f>
        <v/>
      </c>
      <c r="E200" s="17" t="str">
        <f aca="false">IF(D200="","",SUMIFS(Compras!$H$5:$H$2000,Compras!$B$5:$B$2000,A200,Compras!$A$5:$A$2000,D200,Compras!$H$5:$H$2000,"&gt;0")/COUNTIFS(Compras!$B$5:$B$2000,A200,Compras!$A$5:$A$2000,D200,Compras!$H$5:$H$2000,"&gt;0"))</f>
        <v/>
      </c>
      <c r="F200" s="17" t="str">
        <f aca="false">IF(D200="","",SUMIFS(Compras!$F$5:$F$2000,Compras!$B$5:$B$2000,A200,Compras!$H$5:$H$2000,"&gt;0")/SUMIFS(Compras!$G$5:$G$2000,Compras!$B$5:$B$2000,A200,Compras!$H$5:$H$2000,"&gt;0"))</f>
        <v/>
      </c>
      <c r="G200" s="18" t="str">
        <f aca="false">IF(D200="","",IF(CFG_Metodo="Promedio",F200,E200))</f>
        <v/>
      </c>
      <c r="H200" s="19" t="str">
        <f aca="false">IF(G200="","",IF(C200="unidad",G200,G200*1000))</f>
        <v/>
      </c>
      <c r="I200" s="20" t="str">
        <f aca="false">IF(A200="","",IF(C200="","Falta unidad base",IF(D200="","Sin compras cargadas","OK")))</f>
        <v/>
      </c>
    </row>
    <row r="201" customFormat="false" ht="15" hidden="false" customHeight="false" outlineLevel="0" collapsed="false">
      <c r="A201" s="15"/>
      <c r="B201" s="15"/>
      <c r="C201" s="15"/>
      <c r="D201" s="16" t="str">
        <f aca="false">IF(A201="","",IF(COUNTIFS(Compras!$B$5:$B$2000,A201,Compras!$H$5:$H$2000,"&gt;0")=0,"",_xlfn.MAXIFS(Compras!$A$5:$A$2000,Compras!$B$5:$B$2000,A201,Compras!$H$5:$H$2000,"&gt;0")))</f>
        <v/>
      </c>
      <c r="E201" s="17" t="str">
        <f aca="false">IF(D201="","",SUMIFS(Compras!$H$5:$H$2000,Compras!$B$5:$B$2000,A201,Compras!$A$5:$A$2000,D201,Compras!$H$5:$H$2000,"&gt;0")/COUNTIFS(Compras!$B$5:$B$2000,A201,Compras!$A$5:$A$2000,D201,Compras!$H$5:$H$2000,"&gt;0"))</f>
        <v/>
      </c>
      <c r="F201" s="17" t="str">
        <f aca="false">IF(D201="","",SUMIFS(Compras!$F$5:$F$2000,Compras!$B$5:$B$2000,A201,Compras!$H$5:$H$2000,"&gt;0")/SUMIFS(Compras!$G$5:$G$2000,Compras!$B$5:$B$2000,A201,Compras!$H$5:$H$2000,"&gt;0"))</f>
        <v/>
      </c>
      <c r="G201" s="18" t="str">
        <f aca="false">IF(D201="","",IF(CFG_Metodo="Promedio",F201,E201))</f>
        <v/>
      </c>
      <c r="H201" s="19" t="str">
        <f aca="false">IF(G201="","",IF(C201="unidad",G201,G201*1000))</f>
        <v/>
      </c>
      <c r="I201" s="20" t="str">
        <f aca="false">IF(A201="","",IF(C201="","Falta unidad base",IF(D201="","Sin compras cargadas","OK")))</f>
        <v/>
      </c>
    </row>
    <row r="202" customFormat="false" ht="15" hidden="false" customHeight="false" outlineLevel="0" collapsed="false">
      <c r="A202" s="15"/>
      <c r="B202" s="15"/>
      <c r="C202" s="15"/>
      <c r="D202" s="16" t="str">
        <f aca="false">IF(A202="","",IF(COUNTIFS(Compras!$B$5:$B$2000,A202,Compras!$H$5:$H$2000,"&gt;0")=0,"",_xlfn.MAXIFS(Compras!$A$5:$A$2000,Compras!$B$5:$B$2000,A202,Compras!$H$5:$H$2000,"&gt;0")))</f>
        <v/>
      </c>
      <c r="E202" s="17" t="str">
        <f aca="false">IF(D202="","",SUMIFS(Compras!$H$5:$H$2000,Compras!$B$5:$B$2000,A202,Compras!$A$5:$A$2000,D202,Compras!$H$5:$H$2000,"&gt;0")/COUNTIFS(Compras!$B$5:$B$2000,A202,Compras!$A$5:$A$2000,D202,Compras!$H$5:$H$2000,"&gt;0"))</f>
        <v/>
      </c>
      <c r="F202" s="17" t="str">
        <f aca="false">IF(D202="","",SUMIFS(Compras!$F$5:$F$2000,Compras!$B$5:$B$2000,A202,Compras!$H$5:$H$2000,"&gt;0")/SUMIFS(Compras!$G$5:$G$2000,Compras!$B$5:$B$2000,A202,Compras!$H$5:$H$2000,"&gt;0"))</f>
        <v/>
      </c>
      <c r="G202" s="18" t="str">
        <f aca="false">IF(D202="","",IF(CFG_Metodo="Promedio",F202,E202))</f>
        <v/>
      </c>
      <c r="H202" s="19" t="str">
        <f aca="false">IF(G202="","",IF(C202="unidad",G202,G202*1000))</f>
        <v/>
      </c>
      <c r="I202" s="20" t="str">
        <f aca="false">IF(A202="","",IF(C202="","Falta unidad base",IF(D202="","Sin compras cargadas","OK")))</f>
        <v/>
      </c>
    </row>
    <row r="203" customFormat="false" ht="15" hidden="false" customHeight="false" outlineLevel="0" collapsed="false">
      <c r="A203" s="15"/>
      <c r="B203" s="15"/>
      <c r="C203" s="15"/>
      <c r="D203" s="16" t="str">
        <f aca="false">IF(A203="","",IF(COUNTIFS(Compras!$B$5:$B$2000,A203,Compras!$H$5:$H$2000,"&gt;0")=0,"",_xlfn.MAXIFS(Compras!$A$5:$A$2000,Compras!$B$5:$B$2000,A203,Compras!$H$5:$H$2000,"&gt;0")))</f>
        <v/>
      </c>
      <c r="E203" s="17" t="str">
        <f aca="false">IF(D203="","",SUMIFS(Compras!$H$5:$H$2000,Compras!$B$5:$B$2000,A203,Compras!$A$5:$A$2000,D203,Compras!$H$5:$H$2000,"&gt;0")/COUNTIFS(Compras!$B$5:$B$2000,A203,Compras!$A$5:$A$2000,D203,Compras!$H$5:$H$2000,"&gt;0"))</f>
        <v/>
      </c>
      <c r="F203" s="17" t="str">
        <f aca="false">IF(D203="","",SUMIFS(Compras!$F$5:$F$2000,Compras!$B$5:$B$2000,A203,Compras!$H$5:$H$2000,"&gt;0")/SUMIFS(Compras!$G$5:$G$2000,Compras!$B$5:$B$2000,A203,Compras!$H$5:$H$2000,"&gt;0"))</f>
        <v/>
      </c>
      <c r="G203" s="18" t="str">
        <f aca="false">IF(D203="","",IF(CFG_Metodo="Promedio",F203,E203))</f>
        <v/>
      </c>
      <c r="H203" s="19" t="str">
        <f aca="false">IF(G203="","",IF(C203="unidad",G203,G203*1000))</f>
        <v/>
      </c>
      <c r="I203" s="20" t="str">
        <f aca="false">IF(A203="","",IF(C203="","Falta unidad base",IF(D203="","Sin compras cargadas","OK")))</f>
        <v/>
      </c>
    </row>
    <row r="204" customFormat="false" ht="15" hidden="false" customHeight="false" outlineLevel="0" collapsed="false">
      <c r="A204" s="15"/>
      <c r="B204" s="15"/>
      <c r="C204" s="15"/>
      <c r="D204" s="16" t="str">
        <f aca="false">IF(A204="","",IF(COUNTIFS(Compras!$B$5:$B$2000,A204,Compras!$H$5:$H$2000,"&gt;0")=0,"",_xlfn.MAXIFS(Compras!$A$5:$A$2000,Compras!$B$5:$B$2000,A204,Compras!$H$5:$H$2000,"&gt;0")))</f>
        <v/>
      </c>
      <c r="E204" s="17" t="str">
        <f aca="false">IF(D204="","",SUMIFS(Compras!$H$5:$H$2000,Compras!$B$5:$B$2000,A204,Compras!$A$5:$A$2000,D204,Compras!$H$5:$H$2000,"&gt;0")/COUNTIFS(Compras!$B$5:$B$2000,A204,Compras!$A$5:$A$2000,D204,Compras!$H$5:$H$2000,"&gt;0"))</f>
        <v/>
      </c>
      <c r="F204" s="17" t="str">
        <f aca="false">IF(D204="","",SUMIFS(Compras!$F$5:$F$2000,Compras!$B$5:$B$2000,A204,Compras!$H$5:$H$2000,"&gt;0")/SUMIFS(Compras!$G$5:$G$2000,Compras!$B$5:$B$2000,A204,Compras!$H$5:$H$2000,"&gt;0"))</f>
        <v/>
      </c>
      <c r="G204" s="18" t="str">
        <f aca="false">IF(D204="","",IF(CFG_Metodo="Promedio",F204,E204))</f>
        <v/>
      </c>
      <c r="H204" s="19" t="str">
        <f aca="false">IF(G204="","",IF(C204="unidad",G204,G204*1000))</f>
        <v/>
      </c>
      <c r="I204" s="20" t="str">
        <f aca="false">IF(A204="","",IF(C204="","Falta unidad base",IF(D204="","Sin compras cargadas","OK")))</f>
        <v/>
      </c>
    </row>
    <row r="205" customFormat="false" ht="15" hidden="false" customHeight="false" outlineLevel="0" collapsed="false">
      <c r="A205" s="15"/>
      <c r="B205" s="15"/>
      <c r="C205" s="15"/>
      <c r="D205" s="16" t="str">
        <f aca="false">IF(A205="","",IF(COUNTIFS(Compras!$B$5:$B$2000,A205,Compras!$H$5:$H$2000,"&gt;0")=0,"",_xlfn.MAXIFS(Compras!$A$5:$A$2000,Compras!$B$5:$B$2000,A205,Compras!$H$5:$H$2000,"&gt;0")))</f>
        <v/>
      </c>
      <c r="E205" s="17" t="str">
        <f aca="false">IF(D205="","",SUMIFS(Compras!$H$5:$H$2000,Compras!$B$5:$B$2000,A205,Compras!$A$5:$A$2000,D205,Compras!$H$5:$H$2000,"&gt;0")/COUNTIFS(Compras!$B$5:$B$2000,A205,Compras!$A$5:$A$2000,D205,Compras!$H$5:$H$2000,"&gt;0"))</f>
        <v/>
      </c>
      <c r="F205" s="17" t="str">
        <f aca="false">IF(D205="","",SUMIFS(Compras!$F$5:$F$2000,Compras!$B$5:$B$2000,A205,Compras!$H$5:$H$2000,"&gt;0")/SUMIFS(Compras!$G$5:$G$2000,Compras!$B$5:$B$2000,A205,Compras!$H$5:$H$2000,"&gt;0"))</f>
        <v/>
      </c>
      <c r="G205" s="18" t="str">
        <f aca="false">IF(D205="","",IF(CFG_Metodo="Promedio",F205,E205))</f>
        <v/>
      </c>
      <c r="H205" s="19" t="str">
        <f aca="false">IF(G205="","",IF(C205="unidad",G205,G205*1000))</f>
        <v/>
      </c>
      <c r="I205" s="20" t="str">
        <f aca="false">IF(A205="","",IF(C205="","Falta unidad base",IF(D205="","Sin compras cargadas","OK")))</f>
        <v/>
      </c>
    </row>
    <row r="206" customFormat="false" ht="15" hidden="false" customHeight="false" outlineLevel="0" collapsed="false">
      <c r="A206" s="15"/>
      <c r="B206" s="15"/>
      <c r="C206" s="15"/>
      <c r="D206" s="16" t="str">
        <f aca="false">IF(A206="","",IF(COUNTIFS(Compras!$B$5:$B$2000,A206,Compras!$H$5:$H$2000,"&gt;0")=0,"",_xlfn.MAXIFS(Compras!$A$5:$A$2000,Compras!$B$5:$B$2000,A206,Compras!$H$5:$H$2000,"&gt;0")))</f>
        <v/>
      </c>
      <c r="E206" s="17" t="str">
        <f aca="false">IF(D206="","",SUMIFS(Compras!$H$5:$H$2000,Compras!$B$5:$B$2000,A206,Compras!$A$5:$A$2000,D206,Compras!$H$5:$H$2000,"&gt;0")/COUNTIFS(Compras!$B$5:$B$2000,A206,Compras!$A$5:$A$2000,D206,Compras!$H$5:$H$2000,"&gt;0"))</f>
        <v/>
      </c>
      <c r="F206" s="17" t="str">
        <f aca="false">IF(D206="","",SUMIFS(Compras!$F$5:$F$2000,Compras!$B$5:$B$2000,A206,Compras!$H$5:$H$2000,"&gt;0")/SUMIFS(Compras!$G$5:$G$2000,Compras!$B$5:$B$2000,A206,Compras!$H$5:$H$2000,"&gt;0"))</f>
        <v/>
      </c>
      <c r="G206" s="18" t="str">
        <f aca="false">IF(D206="","",IF(CFG_Metodo="Promedio",F206,E206))</f>
        <v/>
      </c>
      <c r="H206" s="19" t="str">
        <f aca="false">IF(G206="","",IF(C206="unidad",G206,G206*1000))</f>
        <v/>
      </c>
      <c r="I206" s="20" t="str">
        <f aca="false">IF(A206="","",IF(C206="","Falta unidad base",IF(D206="","Sin compras cargadas","OK")))</f>
        <v/>
      </c>
    </row>
    <row r="207" customFormat="false" ht="15" hidden="false" customHeight="false" outlineLevel="0" collapsed="false">
      <c r="A207" s="15"/>
      <c r="B207" s="15"/>
      <c r="C207" s="15"/>
      <c r="D207" s="16" t="str">
        <f aca="false">IF(A207="","",IF(COUNTIFS(Compras!$B$5:$B$2000,A207,Compras!$H$5:$H$2000,"&gt;0")=0,"",_xlfn.MAXIFS(Compras!$A$5:$A$2000,Compras!$B$5:$B$2000,A207,Compras!$H$5:$H$2000,"&gt;0")))</f>
        <v/>
      </c>
      <c r="E207" s="17" t="str">
        <f aca="false">IF(D207="","",SUMIFS(Compras!$H$5:$H$2000,Compras!$B$5:$B$2000,A207,Compras!$A$5:$A$2000,D207,Compras!$H$5:$H$2000,"&gt;0")/COUNTIFS(Compras!$B$5:$B$2000,A207,Compras!$A$5:$A$2000,D207,Compras!$H$5:$H$2000,"&gt;0"))</f>
        <v/>
      </c>
      <c r="F207" s="17" t="str">
        <f aca="false">IF(D207="","",SUMIFS(Compras!$F$5:$F$2000,Compras!$B$5:$B$2000,A207,Compras!$H$5:$H$2000,"&gt;0")/SUMIFS(Compras!$G$5:$G$2000,Compras!$B$5:$B$2000,A207,Compras!$H$5:$H$2000,"&gt;0"))</f>
        <v/>
      </c>
      <c r="G207" s="18" t="str">
        <f aca="false">IF(D207="","",IF(CFG_Metodo="Promedio",F207,E207))</f>
        <v/>
      </c>
      <c r="H207" s="19" t="str">
        <f aca="false">IF(G207="","",IF(C207="unidad",G207,G207*1000))</f>
        <v/>
      </c>
      <c r="I207" s="20" t="str">
        <f aca="false">IF(A207="","",IF(C207="","Falta unidad base",IF(D207="","Sin compras cargadas","OK")))</f>
        <v/>
      </c>
    </row>
    <row r="208" customFormat="false" ht="15" hidden="false" customHeight="false" outlineLevel="0" collapsed="false">
      <c r="A208" s="15"/>
      <c r="B208" s="15"/>
      <c r="C208" s="15"/>
      <c r="D208" s="16" t="str">
        <f aca="false">IF(A208="","",IF(COUNTIFS(Compras!$B$5:$B$2000,A208,Compras!$H$5:$H$2000,"&gt;0")=0,"",_xlfn.MAXIFS(Compras!$A$5:$A$2000,Compras!$B$5:$B$2000,A208,Compras!$H$5:$H$2000,"&gt;0")))</f>
        <v/>
      </c>
      <c r="E208" s="17" t="str">
        <f aca="false">IF(D208="","",SUMIFS(Compras!$H$5:$H$2000,Compras!$B$5:$B$2000,A208,Compras!$A$5:$A$2000,D208,Compras!$H$5:$H$2000,"&gt;0")/COUNTIFS(Compras!$B$5:$B$2000,A208,Compras!$A$5:$A$2000,D208,Compras!$H$5:$H$2000,"&gt;0"))</f>
        <v/>
      </c>
      <c r="F208" s="17" t="str">
        <f aca="false">IF(D208="","",SUMIFS(Compras!$F$5:$F$2000,Compras!$B$5:$B$2000,A208,Compras!$H$5:$H$2000,"&gt;0")/SUMIFS(Compras!$G$5:$G$2000,Compras!$B$5:$B$2000,A208,Compras!$H$5:$H$2000,"&gt;0"))</f>
        <v/>
      </c>
      <c r="G208" s="18" t="str">
        <f aca="false">IF(D208="","",IF(CFG_Metodo="Promedio",F208,E208))</f>
        <v/>
      </c>
      <c r="H208" s="19" t="str">
        <f aca="false">IF(G208="","",IF(C208="unidad",G208,G208*1000))</f>
        <v/>
      </c>
      <c r="I208" s="20" t="str">
        <f aca="false">IF(A208="","",IF(C208="","Falta unidad base",IF(D208="","Sin compras cargadas","OK")))</f>
        <v/>
      </c>
    </row>
    <row r="209" customFormat="false" ht="15" hidden="false" customHeight="false" outlineLevel="0" collapsed="false">
      <c r="A209" s="15"/>
      <c r="B209" s="15"/>
      <c r="C209" s="15"/>
      <c r="D209" s="16" t="str">
        <f aca="false">IF(A209="","",IF(COUNTIFS(Compras!$B$5:$B$2000,A209,Compras!$H$5:$H$2000,"&gt;0")=0,"",_xlfn.MAXIFS(Compras!$A$5:$A$2000,Compras!$B$5:$B$2000,A209,Compras!$H$5:$H$2000,"&gt;0")))</f>
        <v/>
      </c>
      <c r="E209" s="17" t="str">
        <f aca="false">IF(D209="","",SUMIFS(Compras!$H$5:$H$2000,Compras!$B$5:$B$2000,A209,Compras!$A$5:$A$2000,D209,Compras!$H$5:$H$2000,"&gt;0")/COUNTIFS(Compras!$B$5:$B$2000,A209,Compras!$A$5:$A$2000,D209,Compras!$H$5:$H$2000,"&gt;0"))</f>
        <v/>
      </c>
      <c r="F209" s="17" t="str">
        <f aca="false">IF(D209="","",SUMIFS(Compras!$F$5:$F$2000,Compras!$B$5:$B$2000,A209,Compras!$H$5:$H$2000,"&gt;0")/SUMIFS(Compras!$G$5:$G$2000,Compras!$B$5:$B$2000,A209,Compras!$H$5:$H$2000,"&gt;0"))</f>
        <v/>
      </c>
      <c r="G209" s="18" t="str">
        <f aca="false">IF(D209="","",IF(CFG_Metodo="Promedio",F209,E209))</f>
        <v/>
      </c>
      <c r="H209" s="19" t="str">
        <f aca="false">IF(G209="","",IF(C209="unidad",G209,G209*1000))</f>
        <v/>
      </c>
      <c r="I209" s="20" t="str">
        <f aca="false">IF(A209="","",IF(C209="","Falta unidad base",IF(D209="","Sin compras cargadas","OK")))</f>
        <v/>
      </c>
    </row>
    <row r="210" customFormat="false" ht="15" hidden="false" customHeight="false" outlineLevel="0" collapsed="false">
      <c r="A210" s="15"/>
      <c r="B210" s="15"/>
      <c r="C210" s="15"/>
      <c r="D210" s="16" t="str">
        <f aca="false">IF(A210="","",IF(COUNTIFS(Compras!$B$5:$B$2000,A210,Compras!$H$5:$H$2000,"&gt;0")=0,"",_xlfn.MAXIFS(Compras!$A$5:$A$2000,Compras!$B$5:$B$2000,A210,Compras!$H$5:$H$2000,"&gt;0")))</f>
        <v/>
      </c>
      <c r="E210" s="17" t="str">
        <f aca="false">IF(D210="","",SUMIFS(Compras!$H$5:$H$2000,Compras!$B$5:$B$2000,A210,Compras!$A$5:$A$2000,D210,Compras!$H$5:$H$2000,"&gt;0")/COUNTIFS(Compras!$B$5:$B$2000,A210,Compras!$A$5:$A$2000,D210,Compras!$H$5:$H$2000,"&gt;0"))</f>
        <v/>
      </c>
      <c r="F210" s="17" t="str">
        <f aca="false">IF(D210="","",SUMIFS(Compras!$F$5:$F$2000,Compras!$B$5:$B$2000,A210,Compras!$H$5:$H$2000,"&gt;0")/SUMIFS(Compras!$G$5:$G$2000,Compras!$B$5:$B$2000,A210,Compras!$H$5:$H$2000,"&gt;0"))</f>
        <v/>
      </c>
      <c r="G210" s="18" t="str">
        <f aca="false">IF(D210="","",IF(CFG_Metodo="Promedio",F210,E210))</f>
        <v/>
      </c>
      <c r="H210" s="19" t="str">
        <f aca="false">IF(G210="","",IF(C210="unidad",G210,G210*1000))</f>
        <v/>
      </c>
      <c r="I210" s="20" t="str">
        <f aca="false">IF(A210="","",IF(C210="","Falta unidad base",IF(D210="","Sin compras cargadas","OK")))</f>
        <v/>
      </c>
    </row>
    <row r="211" customFormat="false" ht="15" hidden="false" customHeight="false" outlineLevel="0" collapsed="false">
      <c r="A211" s="15"/>
      <c r="B211" s="15"/>
      <c r="C211" s="15"/>
      <c r="D211" s="16" t="str">
        <f aca="false">IF(A211="","",IF(COUNTIFS(Compras!$B$5:$B$2000,A211,Compras!$H$5:$H$2000,"&gt;0")=0,"",_xlfn.MAXIFS(Compras!$A$5:$A$2000,Compras!$B$5:$B$2000,A211,Compras!$H$5:$H$2000,"&gt;0")))</f>
        <v/>
      </c>
      <c r="E211" s="17" t="str">
        <f aca="false">IF(D211="","",SUMIFS(Compras!$H$5:$H$2000,Compras!$B$5:$B$2000,A211,Compras!$A$5:$A$2000,D211,Compras!$H$5:$H$2000,"&gt;0")/COUNTIFS(Compras!$B$5:$B$2000,A211,Compras!$A$5:$A$2000,D211,Compras!$H$5:$H$2000,"&gt;0"))</f>
        <v/>
      </c>
      <c r="F211" s="17" t="str">
        <f aca="false">IF(D211="","",SUMIFS(Compras!$F$5:$F$2000,Compras!$B$5:$B$2000,A211,Compras!$H$5:$H$2000,"&gt;0")/SUMIFS(Compras!$G$5:$G$2000,Compras!$B$5:$B$2000,A211,Compras!$H$5:$H$2000,"&gt;0"))</f>
        <v/>
      </c>
      <c r="G211" s="18" t="str">
        <f aca="false">IF(D211="","",IF(CFG_Metodo="Promedio",F211,E211))</f>
        <v/>
      </c>
      <c r="H211" s="19" t="str">
        <f aca="false">IF(G211="","",IF(C211="unidad",G211,G211*1000))</f>
        <v/>
      </c>
      <c r="I211" s="20" t="str">
        <f aca="false">IF(A211="","",IF(C211="","Falta unidad base",IF(D211="","Sin compras cargadas","OK")))</f>
        <v/>
      </c>
    </row>
    <row r="212" customFormat="false" ht="15" hidden="false" customHeight="false" outlineLevel="0" collapsed="false">
      <c r="A212" s="15"/>
      <c r="B212" s="15"/>
      <c r="C212" s="15"/>
      <c r="D212" s="16" t="str">
        <f aca="false">IF(A212="","",IF(COUNTIFS(Compras!$B$5:$B$2000,A212,Compras!$H$5:$H$2000,"&gt;0")=0,"",_xlfn.MAXIFS(Compras!$A$5:$A$2000,Compras!$B$5:$B$2000,A212,Compras!$H$5:$H$2000,"&gt;0")))</f>
        <v/>
      </c>
      <c r="E212" s="17" t="str">
        <f aca="false">IF(D212="","",SUMIFS(Compras!$H$5:$H$2000,Compras!$B$5:$B$2000,A212,Compras!$A$5:$A$2000,D212,Compras!$H$5:$H$2000,"&gt;0")/COUNTIFS(Compras!$B$5:$B$2000,A212,Compras!$A$5:$A$2000,D212,Compras!$H$5:$H$2000,"&gt;0"))</f>
        <v/>
      </c>
      <c r="F212" s="17" t="str">
        <f aca="false">IF(D212="","",SUMIFS(Compras!$F$5:$F$2000,Compras!$B$5:$B$2000,A212,Compras!$H$5:$H$2000,"&gt;0")/SUMIFS(Compras!$G$5:$G$2000,Compras!$B$5:$B$2000,A212,Compras!$H$5:$H$2000,"&gt;0"))</f>
        <v/>
      </c>
      <c r="G212" s="18" t="str">
        <f aca="false">IF(D212="","",IF(CFG_Metodo="Promedio",F212,E212))</f>
        <v/>
      </c>
      <c r="H212" s="19" t="str">
        <f aca="false">IF(G212="","",IF(C212="unidad",G212,G212*1000))</f>
        <v/>
      </c>
      <c r="I212" s="20" t="str">
        <f aca="false">IF(A212="","",IF(C212="","Falta unidad base",IF(D212="","Sin compras cargadas","OK")))</f>
        <v/>
      </c>
    </row>
    <row r="213" customFormat="false" ht="15" hidden="false" customHeight="false" outlineLevel="0" collapsed="false">
      <c r="A213" s="15"/>
      <c r="B213" s="15"/>
      <c r="C213" s="15"/>
      <c r="D213" s="16" t="str">
        <f aca="false">IF(A213="","",IF(COUNTIFS(Compras!$B$5:$B$2000,A213,Compras!$H$5:$H$2000,"&gt;0")=0,"",_xlfn.MAXIFS(Compras!$A$5:$A$2000,Compras!$B$5:$B$2000,A213,Compras!$H$5:$H$2000,"&gt;0")))</f>
        <v/>
      </c>
      <c r="E213" s="17" t="str">
        <f aca="false">IF(D213="","",SUMIFS(Compras!$H$5:$H$2000,Compras!$B$5:$B$2000,A213,Compras!$A$5:$A$2000,D213,Compras!$H$5:$H$2000,"&gt;0")/COUNTIFS(Compras!$B$5:$B$2000,A213,Compras!$A$5:$A$2000,D213,Compras!$H$5:$H$2000,"&gt;0"))</f>
        <v/>
      </c>
      <c r="F213" s="17" t="str">
        <f aca="false">IF(D213="","",SUMIFS(Compras!$F$5:$F$2000,Compras!$B$5:$B$2000,A213,Compras!$H$5:$H$2000,"&gt;0")/SUMIFS(Compras!$G$5:$G$2000,Compras!$B$5:$B$2000,A213,Compras!$H$5:$H$2000,"&gt;0"))</f>
        <v/>
      </c>
      <c r="G213" s="18" t="str">
        <f aca="false">IF(D213="","",IF(CFG_Metodo="Promedio",F213,E213))</f>
        <v/>
      </c>
      <c r="H213" s="19" t="str">
        <f aca="false">IF(G213="","",IF(C213="unidad",G213,G213*1000))</f>
        <v/>
      </c>
      <c r="I213" s="20" t="str">
        <f aca="false">IF(A213="","",IF(C213="","Falta unidad base",IF(D213="","Sin compras cargadas","OK")))</f>
        <v/>
      </c>
    </row>
    <row r="214" customFormat="false" ht="15" hidden="false" customHeight="false" outlineLevel="0" collapsed="false">
      <c r="A214" s="15"/>
      <c r="B214" s="15"/>
      <c r="C214" s="15"/>
      <c r="D214" s="16" t="str">
        <f aca="false">IF(A214="","",IF(COUNTIFS(Compras!$B$5:$B$2000,A214,Compras!$H$5:$H$2000,"&gt;0")=0,"",_xlfn.MAXIFS(Compras!$A$5:$A$2000,Compras!$B$5:$B$2000,A214,Compras!$H$5:$H$2000,"&gt;0")))</f>
        <v/>
      </c>
      <c r="E214" s="17" t="str">
        <f aca="false">IF(D214="","",SUMIFS(Compras!$H$5:$H$2000,Compras!$B$5:$B$2000,A214,Compras!$A$5:$A$2000,D214,Compras!$H$5:$H$2000,"&gt;0")/COUNTIFS(Compras!$B$5:$B$2000,A214,Compras!$A$5:$A$2000,D214,Compras!$H$5:$H$2000,"&gt;0"))</f>
        <v/>
      </c>
      <c r="F214" s="17" t="str">
        <f aca="false">IF(D214="","",SUMIFS(Compras!$F$5:$F$2000,Compras!$B$5:$B$2000,A214,Compras!$H$5:$H$2000,"&gt;0")/SUMIFS(Compras!$G$5:$G$2000,Compras!$B$5:$B$2000,A214,Compras!$H$5:$H$2000,"&gt;0"))</f>
        <v/>
      </c>
      <c r="G214" s="18" t="str">
        <f aca="false">IF(D214="","",IF(CFG_Metodo="Promedio",F214,E214))</f>
        <v/>
      </c>
      <c r="H214" s="19" t="str">
        <f aca="false">IF(G214="","",IF(C214="unidad",G214,G214*1000))</f>
        <v/>
      </c>
      <c r="I214" s="20" t="str">
        <f aca="false">IF(A214="","",IF(C214="","Falta unidad base",IF(D214="","Sin compras cargadas","OK")))</f>
        <v/>
      </c>
    </row>
    <row r="215" customFormat="false" ht="15" hidden="false" customHeight="false" outlineLevel="0" collapsed="false">
      <c r="A215" s="15"/>
      <c r="B215" s="15"/>
      <c r="C215" s="15"/>
      <c r="D215" s="16" t="str">
        <f aca="false">IF(A215="","",IF(COUNTIFS(Compras!$B$5:$B$2000,A215,Compras!$H$5:$H$2000,"&gt;0")=0,"",_xlfn.MAXIFS(Compras!$A$5:$A$2000,Compras!$B$5:$B$2000,A215,Compras!$H$5:$H$2000,"&gt;0")))</f>
        <v/>
      </c>
      <c r="E215" s="17" t="str">
        <f aca="false">IF(D215="","",SUMIFS(Compras!$H$5:$H$2000,Compras!$B$5:$B$2000,A215,Compras!$A$5:$A$2000,D215,Compras!$H$5:$H$2000,"&gt;0")/COUNTIFS(Compras!$B$5:$B$2000,A215,Compras!$A$5:$A$2000,D215,Compras!$H$5:$H$2000,"&gt;0"))</f>
        <v/>
      </c>
      <c r="F215" s="17" t="str">
        <f aca="false">IF(D215="","",SUMIFS(Compras!$F$5:$F$2000,Compras!$B$5:$B$2000,A215,Compras!$H$5:$H$2000,"&gt;0")/SUMIFS(Compras!$G$5:$G$2000,Compras!$B$5:$B$2000,A215,Compras!$H$5:$H$2000,"&gt;0"))</f>
        <v/>
      </c>
      <c r="G215" s="18" t="str">
        <f aca="false">IF(D215="","",IF(CFG_Metodo="Promedio",F215,E215))</f>
        <v/>
      </c>
      <c r="H215" s="19" t="str">
        <f aca="false">IF(G215="","",IF(C215="unidad",G215,G215*1000))</f>
        <v/>
      </c>
      <c r="I215" s="20" t="str">
        <f aca="false">IF(A215="","",IF(C215="","Falta unidad base",IF(D215="","Sin compras cargadas","OK")))</f>
        <v/>
      </c>
    </row>
    <row r="216" customFormat="false" ht="15" hidden="false" customHeight="false" outlineLevel="0" collapsed="false">
      <c r="A216" s="15"/>
      <c r="B216" s="15"/>
      <c r="C216" s="15"/>
      <c r="D216" s="16" t="str">
        <f aca="false">IF(A216="","",IF(COUNTIFS(Compras!$B$5:$B$2000,A216,Compras!$H$5:$H$2000,"&gt;0")=0,"",_xlfn.MAXIFS(Compras!$A$5:$A$2000,Compras!$B$5:$B$2000,A216,Compras!$H$5:$H$2000,"&gt;0")))</f>
        <v/>
      </c>
      <c r="E216" s="17" t="str">
        <f aca="false">IF(D216="","",SUMIFS(Compras!$H$5:$H$2000,Compras!$B$5:$B$2000,A216,Compras!$A$5:$A$2000,D216,Compras!$H$5:$H$2000,"&gt;0")/COUNTIFS(Compras!$B$5:$B$2000,A216,Compras!$A$5:$A$2000,D216,Compras!$H$5:$H$2000,"&gt;0"))</f>
        <v/>
      </c>
      <c r="F216" s="17" t="str">
        <f aca="false">IF(D216="","",SUMIFS(Compras!$F$5:$F$2000,Compras!$B$5:$B$2000,A216,Compras!$H$5:$H$2000,"&gt;0")/SUMIFS(Compras!$G$5:$G$2000,Compras!$B$5:$B$2000,A216,Compras!$H$5:$H$2000,"&gt;0"))</f>
        <v/>
      </c>
      <c r="G216" s="18" t="str">
        <f aca="false">IF(D216="","",IF(CFG_Metodo="Promedio",F216,E216))</f>
        <v/>
      </c>
      <c r="H216" s="19" t="str">
        <f aca="false">IF(G216="","",IF(C216="unidad",G216,G216*1000))</f>
        <v/>
      </c>
      <c r="I216" s="20" t="str">
        <f aca="false">IF(A216="","",IF(C216="","Falta unidad base",IF(D216="","Sin compras cargadas","OK")))</f>
        <v/>
      </c>
    </row>
    <row r="217" customFormat="false" ht="15" hidden="false" customHeight="false" outlineLevel="0" collapsed="false">
      <c r="A217" s="15"/>
      <c r="B217" s="15"/>
      <c r="C217" s="15"/>
      <c r="D217" s="16" t="str">
        <f aca="false">IF(A217="","",IF(COUNTIFS(Compras!$B$5:$B$2000,A217,Compras!$H$5:$H$2000,"&gt;0")=0,"",_xlfn.MAXIFS(Compras!$A$5:$A$2000,Compras!$B$5:$B$2000,A217,Compras!$H$5:$H$2000,"&gt;0")))</f>
        <v/>
      </c>
      <c r="E217" s="17" t="str">
        <f aca="false">IF(D217="","",SUMIFS(Compras!$H$5:$H$2000,Compras!$B$5:$B$2000,A217,Compras!$A$5:$A$2000,D217,Compras!$H$5:$H$2000,"&gt;0")/COUNTIFS(Compras!$B$5:$B$2000,A217,Compras!$A$5:$A$2000,D217,Compras!$H$5:$H$2000,"&gt;0"))</f>
        <v/>
      </c>
      <c r="F217" s="17" t="str">
        <f aca="false">IF(D217="","",SUMIFS(Compras!$F$5:$F$2000,Compras!$B$5:$B$2000,A217,Compras!$H$5:$H$2000,"&gt;0")/SUMIFS(Compras!$G$5:$G$2000,Compras!$B$5:$B$2000,A217,Compras!$H$5:$H$2000,"&gt;0"))</f>
        <v/>
      </c>
      <c r="G217" s="18" t="str">
        <f aca="false">IF(D217="","",IF(CFG_Metodo="Promedio",F217,E217))</f>
        <v/>
      </c>
      <c r="H217" s="19" t="str">
        <f aca="false">IF(G217="","",IF(C217="unidad",G217,G217*1000))</f>
        <v/>
      </c>
      <c r="I217" s="20" t="str">
        <f aca="false">IF(A217="","",IF(C217="","Falta unidad base",IF(D217="","Sin compras cargadas","OK")))</f>
        <v/>
      </c>
    </row>
    <row r="218" customFormat="false" ht="15" hidden="false" customHeight="false" outlineLevel="0" collapsed="false">
      <c r="A218" s="15"/>
      <c r="B218" s="15"/>
      <c r="C218" s="15"/>
      <c r="D218" s="16" t="str">
        <f aca="false">IF(A218="","",IF(COUNTIFS(Compras!$B$5:$B$2000,A218,Compras!$H$5:$H$2000,"&gt;0")=0,"",_xlfn.MAXIFS(Compras!$A$5:$A$2000,Compras!$B$5:$B$2000,A218,Compras!$H$5:$H$2000,"&gt;0")))</f>
        <v/>
      </c>
      <c r="E218" s="17" t="str">
        <f aca="false">IF(D218="","",SUMIFS(Compras!$H$5:$H$2000,Compras!$B$5:$B$2000,A218,Compras!$A$5:$A$2000,D218,Compras!$H$5:$H$2000,"&gt;0")/COUNTIFS(Compras!$B$5:$B$2000,A218,Compras!$A$5:$A$2000,D218,Compras!$H$5:$H$2000,"&gt;0"))</f>
        <v/>
      </c>
      <c r="F218" s="17" t="str">
        <f aca="false">IF(D218="","",SUMIFS(Compras!$F$5:$F$2000,Compras!$B$5:$B$2000,A218,Compras!$H$5:$H$2000,"&gt;0")/SUMIFS(Compras!$G$5:$G$2000,Compras!$B$5:$B$2000,A218,Compras!$H$5:$H$2000,"&gt;0"))</f>
        <v/>
      </c>
      <c r="G218" s="18" t="str">
        <f aca="false">IF(D218="","",IF(CFG_Metodo="Promedio",F218,E218))</f>
        <v/>
      </c>
      <c r="H218" s="19" t="str">
        <f aca="false">IF(G218="","",IF(C218="unidad",G218,G218*1000))</f>
        <v/>
      </c>
      <c r="I218" s="20" t="str">
        <f aca="false">IF(A218="","",IF(C218="","Falta unidad base",IF(D218="","Sin compras cargadas","OK")))</f>
        <v/>
      </c>
    </row>
    <row r="219" customFormat="false" ht="15" hidden="false" customHeight="false" outlineLevel="0" collapsed="false">
      <c r="A219" s="15"/>
      <c r="B219" s="15"/>
      <c r="C219" s="15"/>
      <c r="D219" s="16" t="str">
        <f aca="false">IF(A219="","",IF(COUNTIFS(Compras!$B$5:$B$2000,A219,Compras!$H$5:$H$2000,"&gt;0")=0,"",_xlfn.MAXIFS(Compras!$A$5:$A$2000,Compras!$B$5:$B$2000,A219,Compras!$H$5:$H$2000,"&gt;0")))</f>
        <v/>
      </c>
      <c r="E219" s="17" t="str">
        <f aca="false">IF(D219="","",SUMIFS(Compras!$H$5:$H$2000,Compras!$B$5:$B$2000,A219,Compras!$A$5:$A$2000,D219,Compras!$H$5:$H$2000,"&gt;0")/COUNTIFS(Compras!$B$5:$B$2000,A219,Compras!$A$5:$A$2000,D219,Compras!$H$5:$H$2000,"&gt;0"))</f>
        <v/>
      </c>
      <c r="F219" s="17" t="str">
        <f aca="false">IF(D219="","",SUMIFS(Compras!$F$5:$F$2000,Compras!$B$5:$B$2000,A219,Compras!$H$5:$H$2000,"&gt;0")/SUMIFS(Compras!$G$5:$G$2000,Compras!$B$5:$B$2000,A219,Compras!$H$5:$H$2000,"&gt;0"))</f>
        <v/>
      </c>
      <c r="G219" s="18" t="str">
        <f aca="false">IF(D219="","",IF(CFG_Metodo="Promedio",F219,E219))</f>
        <v/>
      </c>
      <c r="H219" s="19" t="str">
        <f aca="false">IF(G219="","",IF(C219="unidad",G219,G219*1000))</f>
        <v/>
      </c>
      <c r="I219" s="20" t="str">
        <f aca="false">IF(A219="","",IF(C219="","Falta unidad base",IF(D219="","Sin compras cargadas","OK")))</f>
        <v/>
      </c>
    </row>
    <row r="220" customFormat="false" ht="15" hidden="false" customHeight="false" outlineLevel="0" collapsed="false">
      <c r="A220" s="15"/>
      <c r="B220" s="15"/>
      <c r="C220" s="15"/>
      <c r="D220" s="16" t="str">
        <f aca="false">IF(A220="","",IF(COUNTIFS(Compras!$B$5:$B$2000,A220,Compras!$H$5:$H$2000,"&gt;0")=0,"",_xlfn.MAXIFS(Compras!$A$5:$A$2000,Compras!$B$5:$B$2000,A220,Compras!$H$5:$H$2000,"&gt;0")))</f>
        <v/>
      </c>
      <c r="E220" s="17" t="str">
        <f aca="false">IF(D220="","",SUMIFS(Compras!$H$5:$H$2000,Compras!$B$5:$B$2000,A220,Compras!$A$5:$A$2000,D220,Compras!$H$5:$H$2000,"&gt;0")/COUNTIFS(Compras!$B$5:$B$2000,A220,Compras!$A$5:$A$2000,D220,Compras!$H$5:$H$2000,"&gt;0"))</f>
        <v/>
      </c>
      <c r="F220" s="17" t="str">
        <f aca="false">IF(D220="","",SUMIFS(Compras!$F$5:$F$2000,Compras!$B$5:$B$2000,A220,Compras!$H$5:$H$2000,"&gt;0")/SUMIFS(Compras!$G$5:$G$2000,Compras!$B$5:$B$2000,A220,Compras!$H$5:$H$2000,"&gt;0"))</f>
        <v/>
      </c>
      <c r="G220" s="18" t="str">
        <f aca="false">IF(D220="","",IF(CFG_Metodo="Promedio",F220,E220))</f>
        <v/>
      </c>
      <c r="H220" s="19" t="str">
        <f aca="false">IF(G220="","",IF(C220="unidad",G220,G220*1000))</f>
        <v/>
      </c>
      <c r="I220" s="20" t="str">
        <f aca="false">IF(A220="","",IF(C220="","Falta unidad base",IF(D220="","Sin compras cargadas","OK")))</f>
        <v/>
      </c>
    </row>
    <row r="221" customFormat="false" ht="15" hidden="false" customHeight="false" outlineLevel="0" collapsed="false">
      <c r="A221" s="15"/>
      <c r="B221" s="15"/>
      <c r="C221" s="15"/>
      <c r="D221" s="16" t="str">
        <f aca="false">IF(A221="","",IF(COUNTIFS(Compras!$B$5:$B$2000,A221,Compras!$H$5:$H$2000,"&gt;0")=0,"",_xlfn.MAXIFS(Compras!$A$5:$A$2000,Compras!$B$5:$B$2000,A221,Compras!$H$5:$H$2000,"&gt;0")))</f>
        <v/>
      </c>
      <c r="E221" s="17" t="str">
        <f aca="false">IF(D221="","",SUMIFS(Compras!$H$5:$H$2000,Compras!$B$5:$B$2000,A221,Compras!$A$5:$A$2000,D221,Compras!$H$5:$H$2000,"&gt;0")/COUNTIFS(Compras!$B$5:$B$2000,A221,Compras!$A$5:$A$2000,D221,Compras!$H$5:$H$2000,"&gt;0"))</f>
        <v/>
      </c>
      <c r="F221" s="17" t="str">
        <f aca="false">IF(D221="","",SUMIFS(Compras!$F$5:$F$2000,Compras!$B$5:$B$2000,A221,Compras!$H$5:$H$2000,"&gt;0")/SUMIFS(Compras!$G$5:$G$2000,Compras!$B$5:$B$2000,A221,Compras!$H$5:$H$2000,"&gt;0"))</f>
        <v/>
      </c>
      <c r="G221" s="18" t="str">
        <f aca="false">IF(D221="","",IF(CFG_Metodo="Promedio",F221,E221))</f>
        <v/>
      </c>
      <c r="H221" s="19" t="str">
        <f aca="false">IF(G221="","",IF(C221="unidad",G221,G221*1000))</f>
        <v/>
      </c>
      <c r="I221" s="20" t="str">
        <f aca="false">IF(A221="","",IF(C221="","Falta unidad base",IF(D221="","Sin compras cargadas","OK")))</f>
        <v/>
      </c>
    </row>
    <row r="222" customFormat="false" ht="15" hidden="false" customHeight="false" outlineLevel="0" collapsed="false">
      <c r="A222" s="15"/>
      <c r="B222" s="15"/>
      <c r="C222" s="15"/>
      <c r="D222" s="16" t="str">
        <f aca="false">IF(A222="","",IF(COUNTIFS(Compras!$B$5:$B$2000,A222,Compras!$H$5:$H$2000,"&gt;0")=0,"",_xlfn.MAXIFS(Compras!$A$5:$A$2000,Compras!$B$5:$B$2000,A222,Compras!$H$5:$H$2000,"&gt;0")))</f>
        <v/>
      </c>
      <c r="E222" s="17" t="str">
        <f aca="false">IF(D222="","",SUMIFS(Compras!$H$5:$H$2000,Compras!$B$5:$B$2000,A222,Compras!$A$5:$A$2000,D222,Compras!$H$5:$H$2000,"&gt;0")/COUNTIFS(Compras!$B$5:$B$2000,A222,Compras!$A$5:$A$2000,D222,Compras!$H$5:$H$2000,"&gt;0"))</f>
        <v/>
      </c>
      <c r="F222" s="17" t="str">
        <f aca="false">IF(D222="","",SUMIFS(Compras!$F$5:$F$2000,Compras!$B$5:$B$2000,A222,Compras!$H$5:$H$2000,"&gt;0")/SUMIFS(Compras!$G$5:$G$2000,Compras!$B$5:$B$2000,A222,Compras!$H$5:$H$2000,"&gt;0"))</f>
        <v/>
      </c>
      <c r="G222" s="18" t="str">
        <f aca="false">IF(D222="","",IF(CFG_Metodo="Promedio",F222,E222))</f>
        <v/>
      </c>
      <c r="H222" s="19" t="str">
        <f aca="false">IF(G222="","",IF(C222="unidad",G222,G222*1000))</f>
        <v/>
      </c>
      <c r="I222" s="20" t="str">
        <f aca="false">IF(A222="","",IF(C222="","Falta unidad base",IF(D222="","Sin compras cargadas","OK")))</f>
        <v/>
      </c>
    </row>
    <row r="223" customFormat="false" ht="15" hidden="false" customHeight="false" outlineLevel="0" collapsed="false">
      <c r="A223" s="15"/>
      <c r="B223" s="15"/>
      <c r="C223" s="15"/>
      <c r="D223" s="16" t="str">
        <f aca="false">IF(A223="","",IF(COUNTIFS(Compras!$B$5:$B$2000,A223,Compras!$H$5:$H$2000,"&gt;0")=0,"",_xlfn.MAXIFS(Compras!$A$5:$A$2000,Compras!$B$5:$B$2000,A223,Compras!$H$5:$H$2000,"&gt;0")))</f>
        <v/>
      </c>
      <c r="E223" s="17" t="str">
        <f aca="false">IF(D223="","",SUMIFS(Compras!$H$5:$H$2000,Compras!$B$5:$B$2000,A223,Compras!$A$5:$A$2000,D223,Compras!$H$5:$H$2000,"&gt;0")/COUNTIFS(Compras!$B$5:$B$2000,A223,Compras!$A$5:$A$2000,D223,Compras!$H$5:$H$2000,"&gt;0"))</f>
        <v/>
      </c>
      <c r="F223" s="17" t="str">
        <f aca="false">IF(D223="","",SUMIFS(Compras!$F$5:$F$2000,Compras!$B$5:$B$2000,A223,Compras!$H$5:$H$2000,"&gt;0")/SUMIFS(Compras!$G$5:$G$2000,Compras!$B$5:$B$2000,A223,Compras!$H$5:$H$2000,"&gt;0"))</f>
        <v/>
      </c>
      <c r="G223" s="18" t="str">
        <f aca="false">IF(D223="","",IF(CFG_Metodo="Promedio",F223,E223))</f>
        <v/>
      </c>
      <c r="H223" s="19" t="str">
        <f aca="false">IF(G223="","",IF(C223="unidad",G223,G223*1000))</f>
        <v/>
      </c>
      <c r="I223" s="20" t="str">
        <f aca="false">IF(A223="","",IF(C223="","Falta unidad base",IF(D223="","Sin compras cargadas","OK")))</f>
        <v/>
      </c>
    </row>
    <row r="224" customFormat="false" ht="15" hidden="false" customHeight="false" outlineLevel="0" collapsed="false">
      <c r="A224" s="15"/>
      <c r="B224" s="15"/>
      <c r="C224" s="15"/>
      <c r="D224" s="16" t="str">
        <f aca="false">IF(A224="","",IF(COUNTIFS(Compras!$B$5:$B$2000,A224,Compras!$H$5:$H$2000,"&gt;0")=0,"",_xlfn.MAXIFS(Compras!$A$5:$A$2000,Compras!$B$5:$B$2000,A224,Compras!$H$5:$H$2000,"&gt;0")))</f>
        <v/>
      </c>
      <c r="E224" s="17" t="str">
        <f aca="false">IF(D224="","",SUMIFS(Compras!$H$5:$H$2000,Compras!$B$5:$B$2000,A224,Compras!$A$5:$A$2000,D224,Compras!$H$5:$H$2000,"&gt;0")/COUNTIFS(Compras!$B$5:$B$2000,A224,Compras!$A$5:$A$2000,D224,Compras!$H$5:$H$2000,"&gt;0"))</f>
        <v/>
      </c>
      <c r="F224" s="17" t="str">
        <f aca="false">IF(D224="","",SUMIFS(Compras!$F$5:$F$2000,Compras!$B$5:$B$2000,A224,Compras!$H$5:$H$2000,"&gt;0")/SUMIFS(Compras!$G$5:$G$2000,Compras!$B$5:$B$2000,A224,Compras!$H$5:$H$2000,"&gt;0"))</f>
        <v/>
      </c>
      <c r="G224" s="18" t="str">
        <f aca="false">IF(D224="","",IF(CFG_Metodo="Promedio",F224,E224))</f>
        <v/>
      </c>
      <c r="H224" s="19" t="str">
        <f aca="false">IF(G224="","",IF(C224="unidad",G224,G224*1000))</f>
        <v/>
      </c>
      <c r="I224" s="20" t="str">
        <f aca="false">IF(A224="","",IF(C224="","Falta unidad base",IF(D224="","Sin compras cargadas","OK")))</f>
        <v/>
      </c>
    </row>
    <row r="225" customFormat="false" ht="15" hidden="false" customHeight="false" outlineLevel="0" collapsed="false">
      <c r="A225" s="15"/>
      <c r="B225" s="15"/>
      <c r="C225" s="15"/>
      <c r="D225" s="16" t="str">
        <f aca="false">IF(A225="","",IF(COUNTIFS(Compras!$B$5:$B$2000,A225,Compras!$H$5:$H$2000,"&gt;0")=0,"",_xlfn.MAXIFS(Compras!$A$5:$A$2000,Compras!$B$5:$B$2000,A225,Compras!$H$5:$H$2000,"&gt;0")))</f>
        <v/>
      </c>
      <c r="E225" s="17" t="str">
        <f aca="false">IF(D225="","",SUMIFS(Compras!$H$5:$H$2000,Compras!$B$5:$B$2000,A225,Compras!$A$5:$A$2000,D225,Compras!$H$5:$H$2000,"&gt;0")/COUNTIFS(Compras!$B$5:$B$2000,A225,Compras!$A$5:$A$2000,D225,Compras!$H$5:$H$2000,"&gt;0"))</f>
        <v/>
      </c>
      <c r="F225" s="17" t="str">
        <f aca="false">IF(D225="","",SUMIFS(Compras!$F$5:$F$2000,Compras!$B$5:$B$2000,A225,Compras!$H$5:$H$2000,"&gt;0")/SUMIFS(Compras!$G$5:$G$2000,Compras!$B$5:$B$2000,A225,Compras!$H$5:$H$2000,"&gt;0"))</f>
        <v/>
      </c>
      <c r="G225" s="18" t="str">
        <f aca="false">IF(D225="","",IF(CFG_Metodo="Promedio",F225,E225))</f>
        <v/>
      </c>
      <c r="H225" s="19" t="str">
        <f aca="false">IF(G225="","",IF(C225="unidad",G225,G225*1000))</f>
        <v/>
      </c>
      <c r="I225" s="20" t="str">
        <f aca="false">IF(A225="","",IF(C225="","Falta unidad base",IF(D225="","Sin compras cargadas","OK")))</f>
        <v/>
      </c>
    </row>
    <row r="226" customFormat="false" ht="15" hidden="false" customHeight="false" outlineLevel="0" collapsed="false">
      <c r="A226" s="15"/>
      <c r="B226" s="15"/>
      <c r="C226" s="15"/>
      <c r="D226" s="16" t="str">
        <f aca="false">IF(A226="","",IF(COUNTIFS(Compras!$B$5:$B$2000,A226,Compras!$H$5:$H$2000,"&gt;0")=0,"",_xlfn.MAXIFS(Compras!$A$5:$A$2000,Compras!$B$5:$B$2000,A226,Compras!$H$5:$H$2000,"&gt;0")))</f>
        <v/>
      </c>
      <c r="E226" s="17" t="str">
        <f aca="false">IF(D226="","",SUMIFS(Compras!$H$5:$H$2000,Compras!$B$5:$B$2000,A226,Compras!$A$5:$A$2000,D226,Compras!$H$5:$H$2000,"&gt;0")/COUNTIFS(Compras!$B$5:$B$2000,A226,Compras!$A$5:$A$2000,D226,Compras!$H$5:$H$2000,"&gt;0"))</f>
        <v/>
      </c>
      <c r="F226" s="17" t="str">
        <f aca="false">IF(D226="","",SUMIFS(Compras!$F$5:$F$2000,Compras!$B$5:$B$2000,A226,Compras!$H$5:$H$2000,"&gt;0")/SUMIFS(Compras!$G$5:$G$2000,Compras!$B$5:$B$2000,A226,Compras!$H$5:$H$2000,"&gt;0"))</f>
        <v/>
      </c>
      <c r="G226" s="18" t="str">
        <f aca="false">IF(D226="","",IF(CFG_Metodo="Promedio",F226,E226))</f>
        <v/>
      </c>
      <c r="H226" s="19" t="str">
        <f aca="false">IF(G226="","",IF(C226="unidad",G226,G226*1000))</f>
        <v/>
      </c>
      <c r="I226" s="20" t="str">
        <f aca="false">IF(A226="","",IF(C226="","Falta unidad base",IF(D226="","Sin compras cargadas","OK")))</f>
        <v/>
      </c>
    </row>
    <row r="227" customFormat="false" ht="15" hidden="false" customHeight="false" outlineLevel="0" collapsed="false">
      <c r="A227" s="15"/>
      <c r="B227" s="15"/>
      <c r="C227" s="15"/>
      <c r="D227" s="16" t="str">
        <f aca="false">IF(A227="","",IF(COUNTIFS(Compras!$B$5:$B$2000,A227,Compras!$H$5:$H$2000,"&gt;0")=0,"",_xlfn.MAXIFS(Compras!$A$5:$A$2000,Compras!$B$5:$B$2000,A227,Compras!$H$5:$H$2000,"&gt;0")))</f>
        <v/>
      </c>
      <c r="E227" s="17" t="str">
        <f aca="false">IF(D227="","",SUMIFS(Compras!$H$5:$H$2000,Compras!$B$5:$B$2000,A227,Compras!$A$5:$A$2000,D227,Compras!$H$5:$H$2000,"&gt;0")/COUNTIFS(Compras!$B$5:$B$2000,A227,Compras!$A$5:$A$2000,D227,Compras!$H$5:$H$2000,"&gt;0"))</f>
        <v/>
      </c>
      <c r="F227" s="17" t="str">
        <f aca="false">IF(D227="","",SUMIFS(Compras!$F$5:$F$2000,Compras!$B$5:$B$2000,A227,Compras!$H$5:$H$2000,"&gt;0")/SUMIFS(Compras!$G$5:$G$2000,Compras!$B$5:$B$2000,A227,Compras!$H$5:$H$2000,"&gt;0"))</f>
        <v/>
      </c>
      <c r="G227" s="18" t="str">
        <f aca="false">IF(D227="","",IF(CFG_Metodo="Promedio",F227,E227))</f>
        <v/>
      </c>
      <c r="H227" s="19" t="str">
        <f aca="false">IF(G227="","",IF(C227="unidad",G227,G227*1000))</f>
        <v/>
      </c>
      <c r="I227" s="20" t="str">
        <f aca="false">IF(A227="","",IF(C227="","Falta unidad base",IF(D227="","Sin compras cargadas","OK")))</f>
        <v/>
      </c>
    </row>
    <row r="228" customFormat="false" ht="15" hidden="false" customHeight="false" outlineLevel="0" collapsed="false">
      <c r="A228" s="15"/>
      <c r="B228" s="15"/>
      <c r="C228" s="15"/>
      <c r="D228" s="16" t="str">
        <f aca="false">IF(A228="","",IF(COUNTIFS(Compras!$B$5:$B$2000,A228,Compras!$H$5:$H$2000,"&gt;0")=0,"",_xlfn.MAXIFS(Compras!$A$5:$A$2000,Compras!$B$5:$B$2000,A228,Compras!$H$5:$H$2000,"&gt;0")))</f>
        <v/>
      </c>
      <c r="E228" s="17" t="str">
        <f aca="false">IF(D228="","",SUMIFS(Compras!$H$5:$H$2000,Compras!$B$5:$B$2000,A228,Compras!$A$5:$A$2000,D228,Compras!$H$5:$H$2000,"&gt;0")/COUNTIFS(Compras!$B$5:$B$2000,A228,Compras!$A$5:$A$2000,D228,Compras!$H$5:$H$2000,"&gt;0"))</f>
        <v/>
      </c>
      <c r="F228" s="17" t="str">
        <f aca="false">IF(D228="","",SUMIFS(Compras!$F$5:$F$2000,Compras!$B$5:$B$2000,A228,Compras!$H$5:$H$2000,"&gt;0")/SUMIFS(Compras!$G$5:$G$2000,Compras!$B$5:$B$2000,A228,Compras!$H$5:$H$2000,"&gt;0"))</f>
        <v/>
      </c>
      <c r="G228" s="18" t="str">
        <f aca="false">IF(D228="","",IF(CFG_Metodo="Promedio",F228,E228))</f>
        <v/>
      </c>
      <c r="H228" s="19" t="str">
        <f aca="false">IF(G228="","",IF(C228="unidad",G228,G228*1000))</f>
        <v/>
      </c>
      <c r="I228" s="20" t="str">
        <f aca="false">IF(A228="","",IF(C228="","Falta unidad base",IF(D228="","Sin compras cargadas","OK")))</f>
        <v/>
      </c>
    </row>
    <row r="229" customFormat="false" ht="15" hidden="false" customHeight="false" outlineLevel="0" collapsed="false">
      <c r="A229" s="15"/>
      <c r="B229" s="15"/>
      <c r="C229" s="15"/>
      <c r="D229" s="16" t="str">
        <f aca="false">IF(A229="","",IF(COUNTIFS(Compras!$B$5:$B$2000,A229,Compras!$H$5:$H$2000,"&gt;0")=0,"",_xlfn.MAXIFS(Compras!$A$5:$A$2000,Compras!$B$5:$B$2000,A229,Compras!$H$5:$H$2000,"&gt;0")))</f>
        <v/>
      </c>
      <c r="E229" s="17" t="str">
        <f aca="false">IF(D229="","",SUMIFS(Compras!$H$5:$H$2000,Compras!$B$5:$B$2000,A229,Compras!$A$5:$A$2000,D229,Compras!$H$5:$H$2000,"&gt;0")/COUNTIFS(Compras!$B$5:$B$2000,A229,Compras!$A$5:$A$2000,D229,Compras!$H$5:$H$2000,"&gt;0"))</f>
        <v/>
      </c>
      <c r="F229" s="17" t="str">
        <f aca="false">IF(D229="","",SUMIFS(Compras!$F$5:$F$2000,Compras!$B$5:$B$2000,A229,Compras!$H$5:$H$2000,"&gt;0")/SUMIFS(Compras!$G$5:$G$2000,Compras!$B$5:$B$2000,A229,Compras!$H$5:$H$2000,"&gt;0"))</f>
        <v/>
      </c>
      <c r="G229" s="18" t="str">
        <f aca="false">IF(D229="","",IF(CFG_Metodo="Promedio",F229,E229))</f>
        <v/>
      </c>
      <c r="H229" s="19" t="str">
        <f aca="false">IF(G229="","",IF(C229="unidad",G229,G229*1000))</f>
        <v/>
      </c>
      <c r="I229" s="20" t="str">
        <f aca="false">IF(A229="","",IF(C229="","Falta unidad base",IF(D229="","Sin compras cargadas","OK")))</f>
        <v/>
      </c>
    </row>
    <row r="230" customFormat="false" ht="15" hidden="false" customHeight="false" outlineLevel="0" collapsed="false">
      <c r="A230" s="15"/>
      <c r="B230" s="15"/>
      <c r="C230" s="15"/>
      <c r="D230" s="16" t="str">
        <f aca="false">IF(A230="","",IF(COUNTIFS(Compras!$B$5:$B$2000,A230,Compras!$H$5:$H$2000,"&gt;0")=0,"",_xlfn.MAXIFS(Compras!$A$5:$A$2000,Compras!$B$5:$B$2000,A230,Compras!$H$5:$H$2000,"&gt;0")))</f>
        <v/>
      </c>
      <c r="E230" s="17" t="str">
        <f aca="false">IF(D230="","",SUMIFS(Compras!$H$5:$H$2000,Compras!$B$5:$B$2000,A230,Compras!$A$5:$A$2000,D230,Compras!$H$5:$H$2000,"&gt;0")/COUNTIFS(Compras!$B$5:$B$2000,A230,Compras!$A$5:$A$2000,D230,Compras!$H$5:$H$2000,"&gt;0"))</f>
        <v/>
      </c>
      <c r="F230" s="17" t="str">
        <f aca="false">IF(D230="","",SUMIFS(Compras!$F$5:$F$2000,Compras!$B$5:$B$2000,A230,Compras!$H$5:$H$2000,"&gt;0")/SUMIFS(Compras!$G$5:$G$2000,Compras!$B$5:$B$2000,A230,Compras!$H$5:$H$2000,"&gt;0"))</f>
        <v/>
      </c>
      <c r="G230" s="18" t="str">
        <f aca="false">IF(D230="","",IF(CFG_Metodo="Promedio",F230,E230))</f>
        <v/>
      </c>
      <c r="H230" s="19" t="str">
        <f aca="false">IF(G230="","",IF(C230="unidad",G230,G230*1000))</f>
        <v/>
      </c>
      <c r="I230" s="20" t="str">
        <f aca="false">IF(A230="","",IF(C230="","Falta unidad base",IF(D230="","Sin compras cargadas","OK")))</f>
        <v/>
      </c>
    </row>
    <row r="231" customFormat="false" ht="15" hidden="false" customHeight="false" outlineLevel="0" collapsed="false">
      <c r="A231" s="15"/>
      <c r="B231" s="15"/>
      <c r="C231" s="15"/>
      <c r="D231" s="16" t="str">
        <f aca="false">IF(A231="","",IF(COUNTIFS(Compras!$B$5:$B$2000,A231,Compras!$H$5:$H$2000,"&gt;0")=0,"",_xlfn.MAXIFS(Compras!$A$5:$A$2000,Compras!$B$5:$B$2000,A231,Compras!$H$5:$H$2000,"&gt;0")))</f>
        <v/>
      </c>
      <c r="E231" s="17" t="str">
        <f aca="false">IF(D231="","",SUMIFS(Compras!$H$5:$H$2000,Compras!$B$5:$B$2000,A231,Compras!$A$5:$A$2000,D231,Compras!$H$5:$H$2000,"&gt;0")/COUNTIFS(Compras!$B$5:$B$2000,A231,Compras!$A$5:$A$2000,D231,Compras!$H$5:$H$2000,"&gt;0"))</f>
        <v/>
      </c>
      <c r="F231" s="17" t="str">
        <f aca="false">IF(D231="","",SUMIFS(Compras!$F$5:$F$2000,Compras!$B$5:$B$2000,A231,Compras!$H$5:$H$2000,"&gt;0")/SUMIFS(Compras!$G$5:$G$2000,Compras!$B$5:$B$2000,A231,Compras!$H$5:$H$2000,"&gt;0"))</f>
        <v/>
      </c>
      <c r="G231" s="18" t="str">
        <f aca="false">IF(D231="","",IF(CFG_Metodo="Promedio",F231,E231))</f>
        <v/>
      </c>
      <c r="H231" s="19" t="str">
        <f aca="false">IF(G231="","",IF(C231="unidad",G231,G231*1000))</f>
        <v/>
      </c>
      <c r="I231" s="20" t="str">
        <f aca="false">IF(A231="","",IF(C231="","Falta unidad base",IF(D231="","Sin compras cargadas","OK")))</f>
        <v/>
      </c>
    </row>
    <row r="232" customFormat="false" ht="15" hidden="false" customHeight="false" outlineLevel="0" collapsed="false">
      <c r="A232" s="15"/>
      <c r="B232" s="15"/>
      <c r="C232" s="15"/>
      <c r="D232" s="16" t="str">
        <f aca="false">IF(A232="","",IF(COUNTIFS(Compras!$B$5:$B$2000,A232,Compras!$H$5:$H$2000,"&gt;0")=0,"",_xlfn.MAXIFS(Compras!$A$5:$A$2000,Compras!$B$5:$B$2000,A232,Compras!$H$5:$H$2000,"&gt;0")))</f>
        <v/>
      </c>
      <c r="E232" s="17" t="str">
        <f aca="false">IF(D232="","",SUMIFS(Compras!$H$5:$H$2000,Compras!$B$5:$B$2000,A232,Compras!$A$5:$A$2000,D232,Compras!$H$5:$H$2000,"&gt;0")/COUNTIFS(Compras!$B$5:$B$2000,A232,Compras!$A$5:$A$2000,D232,Compras!$H$5:$H$2000,"&gt;0"))</f>
        <v/>
      </c>
      <c r="F232" s="17" t="str">
        <f aca="false">IF(D232="","",SUMIFS(Compras!$F$5:$F$2000,Compras!$B$5:$B$2000,A232,Compras!$H$5:$H$2000,"&gt;0")/SUMIFS(Compras!$G$5:$G$2000,Compras!$B$5:$B$2000,A232,Compras!$H$5:$H$2000,"&gt;0"))</f>
        <v/>
      </c>
      <c r="G232" s="18" t="str">
        <f aca="false">IF(D232="","",IF(CFG_Metodo="Promedio",F232,E232))</f>
        <v/>
      </c>
      <c r="H232" s="19" t="str">
        <f aca="false">IF(G232="","",IF(C232="unidad",G232,G232*1000))</f>
        <v/>
      </c>
      <c r="I232" s="20" t="str">
        <f aca="false">IF(A232="","",IF(C232="","Falta unidad base",IF(D232="","Sin compras cargadas","OK")))</f>
        <v/>
      </c>
    </row>
    <row r="233" customFormat="false" ht="15" hidden="false" customHeight="false" outlineLevel="0" collapsed="false">
      <c r="A233" s="15"/>
      <c r="B233" s="15"/>
      <c r="C233" s="15"/>
      <c r="D233" s="16" t="str">
        <f aca="false">IF(A233="","",IF(COUNTIFS(Compras!$B$5:$B$2000,A233,Compras!$H$5:$H$2000,"&gt;0")=0,"",_xlfn.MAXIFS(Compras!$A$5:$A$2000,Compras!$B$5:$B$2000,A233,Compras!$H$5:$H$2000,"&gt;0")))</f>
        <v/>
      </c>
      <c r="E233" s="17" t="str">
        <f aca="false">IF(D233="","",SUMIFS(Compras!$H$5:$H$2000,Compras!$B$5:$B$2000,A233,Compras!$A$5:$A$2000,D233,Compras!$H$5:$H$2000,"&gt;0")/COUNTIFS(Compras!$B$5:$B$2000,A233,Compras!$A$5:$A$2000,D233,Compras!$H$5:$H$2000,"&gt;0"))</f>
        <v/>
      </c>
      <c r="F233" s="17" t="str">
        <f aca="false">IF(D233="","",SUMIFS(Compras!$F$5:$F$2000,Compras!$B$5:$B$2000,A233,Compras!$H$5:$H$2000,"&gt;0")/SUMIFS(Compras!$G$5:$G$2000,Compras!$B$5:$B$2000,A233,Compras!$H$5:$H$2000,"&gt;0"))</f>
        <v/>
      </c>
      <c r="G233" s="18" t="str">
        <f aca="false">IF(D233="","",IF(CFG_Metodo="Promedio",F233,E233))</f>
        <v/>
      </c>
      <c r="H233" s="19" t="str">
        <f aca="false">IF(G233="","",IF(C233="unidad",G233,G233*1000))</f>
        <v/>
      </c>
      <c r="I233" s="20" t="str">
        <f aca="false">IF(A233="","",IF(C233="","Falta unidad base",IF(D233="","Sin compras cargadas","OK")))</f>
        <v/>
      </c>
    </row>
    <row r="234" customFormat="false" ht="15" hidden="false" customHeight="false" outlineLevel="0" collapsed="false">
      <c r="A234" s="15"/>
      <c r="B234" s="15"/>
      <c r="C234" s="15"/>
      <c r="D234" s="16" t="str">
        <f aca="false">IF(A234="","",IF(COUNTIFS(Compras!$B$5:$B$2000,A234,Compras!$H$5:$H$2000,"&gt;0")=0,"",_xlfn.MAXIFS(Compras!$A$5:$A$2000,Compras!$B$5:$B$2000,A234,Compras!$H$5:$H$2000,"&gt;0")))</f>
        <v/>
      </c>
      <c r="E234" s="17" t="str">
        <f aca="false">IF(D234="","",SUMIFS(Compras!$H$5:$H$2000,Compras!$B$5:$B$2000,A234,Compras!$A$5:$A$2000,D234,Compras!$H$5:$H$2000,"&gt;0")/COUNTIFS(Compras!$B$5:$B$2000,A234,Compras!$A$5:$A$2000,D234,Compras!$H$5:$H$2000,"&gt;0"))</f>
        <v/>
      </c>
      <c r="F234" s="17" t="str">
        <f aca="false">IF(D234="","",SUMIFS(Compras!$F$5:$F$2000,Compras!$B$5:$B$2000,A234,Compras!$H$5:$H$2000,"&gt;0")/SUMIFS(Compras!$G$5:$G$2000,Compras!$B$5:$B$2000,A234,Compras!$H$5:$H$2000,"&gt;0"))</f>
        <v/>
      </c>
      <c r="G234" s="18" t="str">
        <f aca="false">IF(D234="","",IF(CFG_Metodo="Promedio",F234,E234))</f>
        <v/>
      </c>
      <c r="H234" s="19" t="str">
        <f aca="false">IF(G234="","",IF(C234="unidad",G234,G234*1000))</f>
        <v/>
      </c>
      <c r="I234" s="20" t="str">
        <f aca="false">IF(A234="","",IF(C234="","Falta unidad base",IF(D234="","Sin compras cargadas","OK")))</f>
        <v/>
      </c>
    </row>
    <row r="235" customFormat="false" ht="15" hidden="false" customHeight="false" outlineLevel="0" collapsed="false">
      <c r="A235" s="15"/>
      <c r="B235" s="15"/>
      <c r="C235" s="15"/>
      <c r="D235" s="16" t="str">
        <f aca="false">IF(A235="","",IF(COUNTIFS(Compras!$B$5:$B$2000,A235,Compras!$H$5:$H$2000,"&gt;0")=0,"",_xlfn.MAXIFS(Compras!$A$5:$A$2000,Compras!$B$5:$B$2000,A235,Compras!$H$5:$H$2000,"&gt;0")))</f>
        <v/>
      </c>
      <c r="E235" s="17" t="str">
        <f aca="false">IF(D235="","",SUMIFS(Compras!$H$5:$H$2000,Compras!$B$5:$B$2000,A235,Compras!$A$5:$A$2000,D235,Compras!$H$5:$H$2000,"&gt;0")/COUNTIFS(Compras!$B$5:$B$2000,A235,Compras!$A$5:$A$2000,D235,Compras!$H$5:$H$2000,"&gt;0"))</f>
        <v/>
      </c>
      <c r="F235" s="17" t="str">
        <f aca="false">IF(D235="","",SUMIFS(Compras!$F$5:$F$2000,Compras!$B$5:$B$2000,A235,Compras!$H$5:$H$2000,"&gt;0")/SUMIFS(Compras!$G$5:$G$2000,Compras!$B$5:$B$2000,A235,Compras!$H$5:$H$2000,"&gt;0"))</f>
        <v/>
      </c>
      <c r="G235" s="18" t="str">
        <f aca="false">IF(D235="","",IF(CFG_Metodo="Promedio",F235,E235))</f>
        <v/>
      </c>
      <c r="H235" s="19" t="str">
        <f aca="false">IF(G235="","",IF(C235="unidad",G235,G235*1000))</f>
        <v/>
      </c>
      <c r="I235" s="20" t="str">
        <f aca="false">IF(A235="","",IF(C235="","Falta unidad base",IF(D235="","Sin compras cargadas","OK")))</f>
        <v/>
      </c>
    </row>
    <row r="236" customFormat="false" ht="15" hidden="false" customHeight="false" outlineLevel="0" collapsed="false">
      <c r="A236" s="15"/>
      <c r="B236" s="15"/>
      <c r="C236" s="15"/>
      <c r="D236" s="16" t="str">
        <f aca="false">IF(A236="","",IF(COUNTIFS(Compras!$B$5:$B$2000,A236,Compras!$H$5:$H$2000,"&gt;0")=0,"",_xlfn.MAXIFS(Compras!$A$5:$A$2000,Compras!$B$5:$B$2000,A236,Compras!$H$5:$H$2000,"&gt;0")))</f>
        <v/>
      </c>
      <c r="E236" s="17" t="str">
        <f aca="false">IF(D236="","",SUMIFS(Compras!$H$5:$H$2000,Compras!$B$5:$B$2000,A236,Compras!$A$5:$A$2000,D236,Compras!$H$5:$H$2000,"&gt;0")/COUNTIFS(Compras!$B$5:$B$2000,A236,Compras!$A$5:$A$2000,D236,Compras!$H$5:$H$2000,"&gt;0"))</f>
        <v/>
      </c>
      <c r="F236" s="17" t="str">
        <f aca="false">IF(D236="","",SUMIFS(Compras!$F$5:$F$2000,Compras!$B$5:$B$2000,A236,Compras!$H$5:$H$2000,"&gt;0")/SUMIFS(Compras!$G$5:$G$2000,Compras!$B$5:$B$2000,A236,Compras!$H$5:$H$2000,"&gt;0"))</f>
        <v/>
      </c>
      <c r="G236" s="18" t="str">
        <f aca="false">IF(D236="","",IF(CFG_Metodo="Promedio",F236,E236))</f>
        <v/>
      </c>
      <c r="H236" s="19" t="str">
        <f aca="false">IF(G236="","",IF(C236="unidad",G236,G236*1000))</f>
        <v/>
      </c>
      <c r="I236" s="20" t="str">
        <f aca="false">IF(A236="","",IF(C236="","Falta unidad base",IF(D236="","Sin compras cargadas","OK")))</f>
        <v/>
      </c>
    </row>
    <row r="237" customFormat="false" ht="15" hidden="false" customHeight="false" outlineLevel="0" collapsed="false">
      <c r="A237" s="15"/>
      <c r="B237" s="15"/>
      <c r="C237" s="15"/>
      <c r="D237" s="16" t="str">
        <f aca="false">IF(A237="","",IF(COUNTIFS(Compras!$B$5:$B$2000,A237,Compras!$H$5:$H$2000,"&gt;0")=0,"",_xlfn.MAXIFS(Compras!$A$5:$A$2000,Compras!$B$5:$B$2000,A237,Compras!$H$5:$H$2000,"&gt;0")))</f>
        <v/>
      </c>
      <c r="E237" s="17" t="str">
        <f aca="false">IF(D237="","",SUMIFS(Compras!$H$5:$H$2000,Compras!$B$5:$B$2000,A237,Compras!$A$5:$A$2000,D237,Compras!$H$5:$H$2000,"&gt;0")/COUNTIFS(Compras!$B$5:$B$2000,A237,Compras!$A$5:$A$2000,D237,Compras!$H$5:$H$2000,"&gt;0"))</f>
        <v/>
      </c>
      <c r="F237" s="17" t="str">
        <f aca="false">IF(D237="","",SUMIFS(Compras!$F$5:$F$2000,Compras!$B$5:$B$2000,A237,Compras!$H$5:$H$2000,"&gt;0")/SUMIFS(Compras!$G$5:$G$2000,Compras!$B$5:$B$2000,A237,Compras!$H$5:$H$2000,"&gt;0"))</f>
        <v/>
      </c>
      <c r="G237" s="18" t="str">
        <f aca="false">IF(D237="","",IF(CFG_Metodo="Promedio",F237,E237))</f>
        <v/>
      </c>
      <c r="H237" s="19" t="str">
        <f aca="false">IF(G237="","",IF(C237="unidad",G237,G237*1000))</f>
        <v/>
      </c>
      <c r="I237" s="20" t="str">
        <f aca="false">IF(A237="","",IF(C237="","Falta unidad base",IF(D237="","Sin compras cargadas","OK")))</f>
        <v/>
      </c>
    </row>
    <row r="238" customFormat="false" ht="15" hidden="false" customHeight="false" outlineLevel="0" collapsed="false">
      <c r="A238" s="15"/>
      <c r="B238" s="15"/>
      <c r="C238" s="15"/>
      <c r="D238" s="16" t="str">
        <f aca="false">IF(A238="","",IF(COUNTIFS(Compras!$B$5:$B$2000,A238,Compras!$H$5:$H$2000,"&gt;0")=0,"",_xlfn.MAXIFS(Compras!$A$5:$A$2000,Compras!$B$5:$B$2000,A238,Compras!$H$5:$H$2000,"&gt;0")))</f>
        <v/>
      </c>
      <c r="E238" s="17" t="str">
        <f aca="false">IF(D238="","",SUMIFS(Compras!$H$5:$H$2000,Compras!$B$5:$B$2000,A238,Compras!$A$5:$A$2000,D238,Compras!$H$5:$H$2000,"&gt;0")/COUNTIFS(Compras!$B$5:$B$2000,A238,Compras!$A$5:$A$2000,D238,Compras!$H$5:$H$2000,"&gt;0"))</f>
        <v/>
      </c>
      <c r="F238" s="17" t="str">
        <f aca="false">IF(D238="","",SUMIFS(Compras!$F$5:$F$2000,Compras!$B$5:$B$2000,A238,Compras!$H$5:$H$2000,"&gt;0")/SUMIFS(Compras!$G$5:$G$2000,Compras!$B$5:$B$2000,A238,Compras!$H$5:$H$2000,"&gt;0"))</f>
        <v/>
      </c>
      <c r="G238" s="18" t="str">
        <f aca="false">IF(D238="","",IF(CFG_Metodo="Promedio",F238,E238))</f>
        <v/>
      </c>
      <c r="H238" s="19" t="str">
        <f aca="false">IF(G238="","",IF(C238="unidad",G238,G238*1000))</f>
        <v/>
      </c>
      <c r="I238" s="20" t="str">
        <f aca="false">IF(A238="","",IF(C238="","Falta unidad base",IF(D238="","Sin compras cargadas","OK")))</f>
        <v/>
      </c>
    </row>
    <row r="239" customFormat="false" ht="15" hidden="false" customHeight="false" outlineLevel="0" collapsed="false">
      <c r="A239" s="15"/>
      <c r="B239" s="15"/>
      <c r="C239" s="15"/>
      <c r="D239" s="16" t="str">
        <f aca="false">IF(A239="","",IF(COUNTIFS(Compras!$B$5:$B$2000,A239,Compras!$H$5:$H$2000,"&gt;0")=0,"",_xlfn.MAXIFS(Compras!$A$5:$A$2000,Compras!$B$5:$B$2000,A239,Compras!$H$5:$H$2000,"&gt;0")))</f>
        <v/>
      </c>
      <c r="E239" s="17" t="str">
        <f aca="false">IF(D239="","",SUMIFS(Compras!$H$5:$H$2000,Compras!$B$5:$B$2000,A239,Compras!$A$5:$A$2000,D239,Compras!$H$5:$H$2000,"&gt;0")/COUNTIFS(Compras!$B$5:$B$2000,A239,Compras!$A$5:$A$2000,D239,Compras!$H$5:$H$2000,"&gt;0"))</f>
        <v/>
      </c>
      <c r="F239" s="17" t="str">
        <f aca="false">IF(D239="","",SUMIFS(Compras!$F$5:$F$2000,Compras!$B$5:$B$2000,A239,Compras!$H$5:$H$2000,"&gt;0")/SUMIFS(Compras!$G$5:$G$2000,Compras!$B$5:$B$2000,A239,Compras!$H$5:$H$2000,"&gt;0"))</f>
        <v/>
      </c>
      <c r="G239" s="18" t="str">
        <f aca="false">IF(D239="","",IF(CFG_Metodo="Promedio",F239,E239))</f>
        <v/>
      </c>
      <c r="H239" s="19" t="str">
        <f aca="false">IF(G239="","",IF(C239="unidad",G239,G239*1000))</f>
        <v/>
      </c>
      <c r="I239" s="20" t="str">
        <f aca="false">IF(A239="","",IF(C239="","Falta unidad base",IF(D239="","Sin compras cargadas","OK")))</f>
        <v/>
      </c>
    </row>
    <row r="240" customFormat="false" ht="15" hidden="false" customHeight="false" outlineLevel="0" collapsed="false">
      <c r="A240" s="15"/>
      <c r="B240" s="15"/>
      <c r="C240" s="15"/>
      <c r="D240" s="16" t="str">
        <f aca="false">IF(A240="","",IF(COUNTIFS(Compras!$B$5:$B$2000,A240,Compras!$H$5:$H$2000,"&gt;0")=0,"",_xlfn.MAXIFS(Compras!$A$5:$A$2000,Compras!$B$5:$B$2000,A240,Compras!$H$5:$H$2000,"&gt;0")))</f>
        <v/>
      </c>
      <c r="E240" s="17" t="str">
        <f aca="false">IF(D240="","",SUMIFS(Compras!$H$5:$H$2000,Compras!$B$5:$B$2000,A240,Compras!$A$5:$A$2000,D240,Compras!$H$5:$H$2000,"&gt;0")/COUNTIFS(Compras!$B$5:$B$2000,A240,Compras!$A$5:$A$2000,D240,Compras!$H$5:$H$2000,"&gt;0"))</f>
        <v/>
      </c>
      <c r="F240" s="17" t="str">
        <f aca="false">IF(D240="","",SUMIFS(Compras!$F$5:$F$2000,Compras!$B$5:$B$2000,A240,Compras!$H$5:$H$2000,"&gt;0")/SUMIFS(Compras!$G$5:$G$2000,Compras!$B$5:$B$2000,A240,Compras!$H$5:$H$2000,"&gt;0"))</f>
        <v/>
      </c>
      <c r="G240" s="18" t="str">
        <f aca="false">IF(D240="","",IF(CFG_Metodo="Promedio",F240,E240))</f>
        <v/>
      </c>
      <c r="H240" s="19" t="str">
        <f aca="false">IF(G240="","",IF(C240="unidad",G240,G240*1000))</f>
        <v/>
      </c>
      <c r="I240" s="20" t="str">
        <f aca="false">IF(A240="","",IF(C240="","Falta unidad base",IF(D240="","Sin compras cargadas","OK")))</f>
        <v/>
      </c>
    </row>
    <row r="241" customFormat="false" ht="15" hidden="false" customHeight="false" outlineLevel="0" collapsed="false">
      <c r="A241" s="15"/>
      <c r="B241" s="15"/>
      <c r="C241" s="15"/>
      <c r="D241" s="16" t="str">
        <f aca="false">IF(A241="","",IF(COUNTIFS(Compras!$B$5:$B$2000,A241,Compras!$H$5:$H$2000,"&gt;0")=0,"",_xlfn.MAXIFS(Compras!$A$5:$A$2000,Compras!$B$5:$B$2000,A241,Compras!$H$5:$H$2000,"&gt;0")))</f>
        <v/>
      </c>
      <c r="E241" s="17" t="str">
        <f aca="false">IF(D241="","",SUMIFS(Compras!$H$5:$H$2000,Compras!$B$5:$B$2000,A241,Compras!$A$5:$A$2000,D241,Compras!$H$5:$H$2000,"&gt;0")/COUNTIFS(Compras!$B$5:$B$2000,A241,Compras!$A$5:$A$2000,D241,Compras!$H$5:$H$2000,"&gt;0"))</f>
        <v/>
      </c>
      <c r="F241" s="17" t="str">
        <f aca="false">IF(D241="","",SUMIFS(Compras!$F$5:$F$2000,Compras!$B$5:$B$2000,A241,Compras!$H$5:$H$2000,"&gt;0")/SUMIFS(Compras!$G$5:$G$2000,Compras!$B$5:$B$2000,A241,Compras!$H$5:$H$2000,"&gt;0"))</f>
        <v/>
      </c>
      <c r="G241" s="18" t="str">
        <f aca="false">IF(D241="","",IF(CFG_Metodo="Promedio",F241,E241))</f>
        <v/>
      </c>
      <c r="H241" s="19" t="str">
        <f aca="false">IF(G241="","",IF(C241="unidad",G241,G241*1000))</f>
        <v/>
      </c>
      <c r="I241" s="20" t="str">
        <f aca="false">IF(A241="","",IF(C241="","Falta unidad base",IF(D241="","Sin compras cargadas","OK")))</f>
        <v/>
      </c>
    </row>
    <row r="242" customFormat="false" ht="15" hidden="false" customHeight="false" outlineLevel="0" collapsed="false">
      <c r="A242" s="15"/>
      <c r="B242" s="15"/>
      <c r="C242" s="15"/>
      <c r="D242" s="16" t="str">
        <f aca="false">IF(A242="","",IF(COUNTIFS(Compras!$B$5:$B$2000,A242,Compras!$H$5:$H$2000,"&gt;0")=0,"",_xlfn.MAXIFS(Compras!$A$5:$A$2000,Compras!$B$5:$B$2000,A242,Compras!$H$5:$H$2000,"&gt;0")))</f>
        <v/>
      </c>
      <c r="E242" s="17" t="str">
        <f aca="false">IF(D242="","",SUMIFS(Compras!$H$5:$H$2000,Compras!$B$5:$B$2000,A242,Compras!$A$5:$A$2000,D242,Compras!$H$5:$H$2000,"&gt;0")/COUNTIFS(Compras!$B$5:$B$2000,A242,Compras!$A$5:$A$2000,D242,Compras!$H$5:$H$2000,"&gt;0"))</f>
        <v/>
      </c>
      <c r="F242" s="17" t="str">
        <f aca="false">IF(D242="","",SUMIFS(Compras!$F$5:$F$2000,Compras!$B$5:$B$2000,A242,Compras!$H$5:$H$2000,"&gt;0")/SUMIFS(Compras!$G$5:$G$2000,Compras!$B$5:$B$2000,A242,Compras!$H$5:$H$2000,"&gt;0"))</f>
        <v/>
      </c>
      <c r="G242" s="18" t="str">
        <f aca="false">IF(D242="","",IF(CFG_Metodo="Promedio",F242,E242))</f>
        <v/>
      </c>
      <c r="H242" s="19" t="str">
        <f aca="false">IF(G242="","",IF(C242="unidad",G242,G242*1000))</f>
        <v/>
      </c>
      <c r="I242" s="20" t="str">
        <f aca="false">IF(A242="","",IF(C242="","Falta unidad base",IF(D242="","Sin compras cargadas","OK")))</f>
        <v/>
      </c>
    </row>
    <row r="243" customFormat="false" ht="15" hidden="false" customHeight="false" outlineLevel="0" collapsed="false">
      <c r="A243" s="15"/>
      <c r="B243" s="15"/>
      <c r="C243" s="15"/>
      <c r="D243" s="16" t="str">
        <f aca="false">IF(A243="","",IF(COUNTIFS(Compras!$B$5:$B$2000,A243,Compras!$H$5:$H$2000,"&gt;0")=0,"",_xlfn.MAXIFS(Compras!$A$5:$A$2000,Compras!$B$5:$B$2000,A243,Compras!$H$5:$H$2000,"&gt;0")))</f>
        <v/>
      </c>
      <c r="E243" s="17" t="str">
        <f aca="false">IF(D243="","",SUMIFS(Compras!$H$5:$H$2000,Compras!$B$5:$B$2000,A243,Compras!$A$5:$A$2000,D243,Compras!$H$5:$H$2000,"&gt;0")/COUNTIFS(Compras!$B$5:$B$2000,A243,Compras!$A$5:$A$2000,D243,Compras!$H$5:$H$2000,"&gt;0"))</f>
        <v/>
      </c>
      <c r="F243" s="17" t="str">
        <f aca="false">IF(D243="","",SUMIFS(Compras!$F$5:$F$2000,Compras!$B$5:$B$2000,A243,Compras!$H$5:$H$2000,"&gt;0")/SUMIFS(Compras!$G$5:$G$2000,Compras!$B$5:$B$2000,A243,Compras!$H$5:$H$2000,"&gt;0"))</f>
        <v/>
      </c>
      <c r="G243" s="18" t="str">
        <f aca="false">IF(D243="","",IF(CFG_Metodo="Promedio",F243,E243))</f>
        <v/>
      </c>
      <c r="H243" s="19" t="str">
        <f aca="false">IF(G243="","",IF(C243="unidad",G243,G243*1000))</f>
        <v/>
      </c>
      <c r="I243" s="20" t="str">
        <f aca="false">IF(A243="","",IF(C243="","Falta unidad base",IF(D243="","Sin compras cargadas","OK")))</f>
        <v/>
      </c>
    </row>
    <row r="244" customFormat="false" ht="15" hidden="false" customHeight="false" outlineLevel="0" collapsed="false">
      <c r="A244" s="15"/>
      <c r="B244" s="15"/>
      <c r="C244" s="15"/>
      <c r="D244" s="16" t="str">
        <f aca="false">IF(A244="","",IF(COUNTIFS(Compras!$B$5:$B$2000,A244,Compras!$H$5:$H$2000,"&gt;0")=0,"",_xlfn.MAXIFS(Compras!$A$5:$A$2000,Compras!$B$5:$B$2000,A244,Compras!$H$5:$H$2000,"&gt;0")))</f>
        <v/>
      </c>
      <c r="E244" s="17" t="str">
        <f aca="false">IF(D244="","",SUMIFS(Compras!$H$5:$H$2000,Compras!$B$5:$B$2000,A244,Compras!$A$5:$A$2000,D244,Compras!$H$5:$H$2000,"&gt;0")/COUNTIFS(Compras!$B$5:$B$2000,A244,Compras!$A$5:$A$2000,D244,Compras!$H$5:$H$2000,"&gt;0"))</f>
        <v/>
      </c>
      <c r="F244" s="17" t="str">
        <f aca="false">IF(D244="","",SUMIFS(Compras!$F$5:$F$2000,Compras!$B$5:$B$2000,A244,Compras!$H$5:$H$2000,"&gt;0")/SUMIFS(Compras!$G$5:$G$2000,Compras!$B$5:$B$2000,A244,Compras!$H$5:$H$2000,"&gt;0"))</f>
        <v/>
      </c>
      <c r="G244" s="18" t="str">
        <f aca="false">IF(D244="","",IF(CFG_Metodo="Promedio",F244,E244))</f>
        <v/>
      </c>
      <c r="H244" s="19" t="str">
        <f aca="false">IF(G244="","",IF(C244="unidad",G244,G244*1000))</f>
        <v/>
      </c>
      <c r="I244" s="20" t="str">
        <f aca="false">IF(A244="","",IF(C244="","Falta unidad base",IF(D244="","Sin compras cargadas","OK")))</f>
        <v/>
      </c>
    </row>
    <row r="245" customFormat="false" ht="15" hidden="false" customHeight="false" outlineLevel="0" collapsed="false">
      <c r="A245" s="15"/>
      <c r="B245" s="15"/>
      <c r="C245" s="15"/>
      <c r="D245" s="16" t="str">
        <f aca="false">IF(A245="","",IF(COUNTIFS(Compras!$B$5:$B$2000,A245,Compras!$H$5:$H$2000,"&gt;0")=0,"",_xlfn.MAXIFS(Compras!$A$5:$A$2000,Compras!$B$5:$B$2000,A245,Compras!$H$5:$H$2000,"&gt;0")))</f>
        <v/>
      </c>
      <c r="E245" s="17" t="str">
        <f aca="false">IF(D245="","",SUMIFS(Compras!$H$5:$H$2000,Compras!$B$5:$B$2000,A245,Compras!$A$5:$A$2000,D245,Compras!$H$5:$H$2000,"&gt;0")/COUNTIFS(Compras!$B$5:$B$2000,A245,Compras!$A$5:$A$2000,D245,Compras!$H$5:$H$2000,"&gt;0"))</f>
        <v/>
      </c>
      <c r="F245" s="17" t="str">
        <f aca="false">IF(D245="","",SUMIFS(Compras!$F$5:$F$2000,Compras!$B$5:$B$2000,A245,Compras!$H$5:$H$2000,"&gt;0")/SUMIFS(Compras!$G$5:$G$2000,Compras!$B$5:$B$2000,A245,Compras!$H$5:$H$2000,"&gt;0"))</f>
        <v/>
      </c>
      <c r="G245" s="18" t="str">
        <f aca="false">IF(D245="","",IF(CFG_Metodo="Promedio",F245,E245))</f>
        <v/>
      </c>
      <c r="H245" s="19" t="str">
        <f aca="false">IF(G245="","",IF(C245="unidad",G245,G245*1000))</f>
        <v/>
      </c>
      <c r="I245" s="20" t="str">
        <f aca="false">IF(A245="","",IF(C245="","Falta unidad base",IF(D245="","Sin compras cargadas","OK")))</f>
        <v/>
      </c>
    </row>
    <row r="246" customFormat="false" ht="15" hidden="false" customHeight="false" outlineLevel="0" collapsed="false">
      <c r="A246" s="15"/>
      <c r="B246" s="15"/>
      <c r="C246" s="15"/>
      <c r="D246" s="16" t="str">
        <f aca="false">IF(A246="","",IF(COUNTIFS(Compras!$B$5:$B$2000,A246,Compras!$H$5:$H$2000,"&gt;0")=0,"",_xlfn.MAXIFS(Compras!$A$5:$A$2000,Compras!$B$5:$B$2000,A246,Compras!$H$5:$H$2000,"&gt;0")))</f>
        <v/>
      </c>
      <c r="E246" s="17" t="str">
        <f aca="false">IF(D246="","",SUMIFS(Compras!$H$5:$H$2000,Compras!$B$5:$B$2000,A246,Compras!$A$5:$A$2000,D246,Compras!$H$5:$H$2000,"&gt;0")/COUNTIFS(Compras!$B$5:$B$2000,A246,Compras!$A$5:$A$2000,D246,Compras!$H$5:$H$2000,"&gt;0"))</f>
        <v/>
      </c>
      <c r="F246" s="17" t="str">
        <f aca="false">IF(D246="","",SUMIFS(Compras!$F$5:$F$2000,Compras!$B$5:$B$2000,A246,Compras!$H$5:$H$2000,"&gt;0")/SUMIFS(Compras!$G$5:$G$2000,Compras!$B$5:$B$2000,A246,Compras!$H$5:$H$2000,"&gt;0"))</f>
        <v/>
      </c>
      <c r="G246" s="18" t="str">
        <f aca="false">IF(D246="","",IF(CFG_Metodo="Promedio",F246,E246))</f>
        <v/>
      </c>
      <c r="H246" s="19" t="str">
        <f aca="false">IF(G246="","",IF(C246="unidad",G246,G246*1000))</f>
        <v/>
      </c>
      <c r="I246" s="20" t="str">
        <f aca="false">IF(A246="","",IF(C246="","Falta unidad base",IF(D246="","Sin compras cargadas","OK")))</f>
        <v/>
      </c>
    </row>
    <row r="247" customFormat="false" ht="15" hidden="false" customHeight="false" outlineLevel="0" collapsed="false">
      <c r="A247" s="15"/>
      <c r="B247" s="15"/>
      <c r="C247" s="15"/>
      <c r="D247" s="16" t="str">
        <f aca="false">IF(A247="","",IF(COUNTIFS(Compras!$B$5:$B$2000,A247,Compras!$H$5:$H$2000,"&gt;0")=0,"",_xlfn.MAXIFS(Compras!$A$5:$A$2000,Compras!$B$5:$B$2000,A247,Compras!$H$5:$H$2000,"&gt;0")))</f>
        <v/>
      </c>
      <c r="E247" s="17" t="str">
        <f aca="false">IF(D247="","",SUMIFS(Compras!$H$5:$H$2000,Compras!$B$5:$B$2000,A247,Compras!$A$5:$A$2000,D247,Compras!$H$5:$H$2000,"&gt;0")/COUNTIFS(Compras!$B$5:$B$2000,A247,Compras!$A$5:$A$2000,D247,Compras!$H$5:$H$2000,"&gt;0"))</f>
        <v/>
      </c>
      <c r="F247" s="17" t="str">
        <f aca="false">IF(D247="","",SUMIFS(Compras!$F$5:$F$2000,Compras!$B$5:$B$2000,A247,Compras!$H$5:$H$2000,"&gt;0")/SUMIFS(Compras!$G$5:$G$2000,Compras!$B$5:$B$2000,A247,Compras!$H$5:$H$2000,"&gt;0"))</f>
        <v/>
      </c>
      <c r="G247" s="18" t="str">
        <f aca="false">IF(D247="","",IF(CFG_Metodo="Promedio",F247,E247))</f>
        <v/>
      </c>
      <c r="H247" s="19" t="str">
        <f aca="false">IF(G247="","",IF(C247="unidad",G247,G247*1000))</f>
        <v/>
      </c>
      <c r="I247" s="20" t="str">
        <f aca="false">IF(A247="","",IF(C247="","Falta unidad base",IF(D247="","Sin compras cargadas","OK")))</f>
        <v/>
      </c>
    </row>
    <row r="248" customFormat="false" ht="15" hidden="false" customHeight="false" outlineLevel="0" collapsed="false">
      <c r="A248" s="15"/>
      <c r="B248" s="15"/>
      <c r="C248" s="15"/>
      <c r="D248" s="16" t="str">
        <f aca="false">IF(A248="","",IF(COUNTIFS(Compras!$B$5:$B$2000,A248,Compras!$H$5:$H$2000,"&gt;0")=0,"",_xlfn.MAXIFS(Compras!$A$5:$A$2000,Compras!$B$5:$B$2000,A248,Compras!$H$5:$H$2000,"&gt;0")))</f>
        <v/>
      </c>
      <c r="E248" s="17" t="str">
        <f aca="false">IF(D248="","",SUMIFS(Compras!$H$5:$H$2000,Compras!$B$5:$B$2000,A248,Compras!$A$5:$A$2000,D248,Compras!$H$5:$H$2000,"&gt;0")/COUNTIFS(Compras!$B$5:$B$2000,A248,Compras!$A$5:$A$2000,D248,Compras!$H$5:$H$2000,"&gt;0"))</f>
        <v/>
      </c>
      <c r="F248" s="17" t="str">
        <f aca="false">IF(D248="","",SUMIFS(Compras!$F$5:$F$2000,Compras!$B$5:$B$2000,A248,Compras!$H$5:$H$2000,"&gt;0")/SUMIFS(Compras!$G$5:$G$2000,Compras!$B$5:$B$2000,A248,Compras!$H$5:$H$2000,"&gt;0"))</f>
        <v/>
      </c>
      <c r="G248" s="18" t="str">
        <f aca="false">IF(D248="","",IF(CFG_Metodo="Promedio",F248,E248))</f>
        <v/>
      </c>
      <c r="H248" s="19" t="str">
        <f aca="false">IF(G248="","",IF(C248="unidad",G248,G248*1000))</f>
        <v/>
      </c>
      <c r="I248" s="20" t="str">
        <f aca="false">IF(A248="","",IF(C248="","Falta unidad base",IF(D248="","Sin compras cargadas","OK")))</f>
        <v/>
      </c>
    </row>
    <row r="249" customFormat="false" ht="15" hidden="false" customHeight="false" outlineLevel="0" collapsed="false">
      <c r="A249" s="15"/>
      <c r="B249" s="15"/>
      <c r="C249" s="15"/>
      <c r="D249" s="16" t="str">
        <f aca="false">IF(A249="","",IF(COUNTIFS(Compras!$B$5:$B$2000,A249,Compras!$H$5:$H$2000,"&gt;0")=0,"",_xlfn.MAXIFS(Compras!$A$5:$A$2000,Compras!$B$5:$B$2000,A249,Compras!$H$5:$H$2000,"&gt;0")))</f>
        <v/>
      </c>
      <c r="E249" s="17" t="str">
        <f aca="false">IF(D249="","",SUMIFS(Compras!$H$5:$H$2000,Compras!$B$5:$B$2000,A249,Compras!$A$5:$A$2000,D249,Compras!$H$5:$H$2000,"&gt;0")/COUNTIFS(Compras!$B$5:$B$2000,A249,Compras!$A$5:$A$2000,D249,Compras!$H$5:$H$2000,"&gt;0"))</f>
        <v/>
      </c>
      <c r="F249" s="17" t="str">
        <f aca="false">IF(D249="","",SUMIFS(Compras!$F$5:$F$2000,Compras!$B$5:$B$2000,A249,Compras!$H$5:$H$2000,"&gt;0")/SUMIFS(Compras!$G$5:$G$2000,Compras!$B$5:$B$2000,A249,Compras!$H$5:$H$2000,"&gt;0"))</f>
        <v/>
      </c>
      <c r="G249" s="18" t="str">
        <f aca="false">IF(D249="","",IF(CFG_Metodo="Promedio",F249,E249))</f>
        <v/>
      </c>
      <c r="H249" s="19" t="str">
        <f aca="false">IF(G249="","",IF(C249="unidad",G249,G249*1000))</f>
        <v/>
      </c>
      <c r="I249" s="20" t="str">
        <f aca="false">IF(A249="","",IF(C249="","Falta unidad base",IF(D249="","Sin compras cargadas","OK")))</f>
        <v/>
      </c>
    </row>
    <row r="250" customFormat="false" ht="15" hidden="false" customHeight="false" outlineLevel="0" collapsed="false">
      <c r="A250" s="15"/>
      <c r="B250" s="15"/>
      <c r="C250" s="15"/>
      <c r="D250" s="16" t="str">
        <f aca="false">IF(A250="","",IF(COUNTIFS(Compras!$B$5:$B$2000,A250,Compras!$H$5:$H$2000,"&gt;0")=0,"",_xlfn.MAXIFS(Compras!$A$5:$A$2000,Compras!$B$5:$B$2000,A250,Compras!$H$5:$H$2000,"&gt;0")))</f>
        <v/>
      </c>
      <c r="E250" s="17" t="str">
        <f aca="false">IF(D250="","",SUMIFS(Compras!$H$5:$H$2000,Compras!$B$5:$B$2000,A250,Compras!$A$5:$A$2000,D250,Compras!$H$5:$H$2000,"&gt;0")/COUNTIFS(Compras!$B$5:$B$2000,A250,Compras!$A$5:$A$2000,D250,Compras!$H$5:$H$2000,"&gt;0"))</f>
        <v/>
      </c>
      <c r="F250" s="17" t="str">
        <f aca="false">IF(D250="","",SUMIFS(Compras!$F$5:$F$2000,Compras!$B$5:$B$2000,A250,Compras!$H$5:$H$2000,"&gt;0")/SUMIFS(Compras!$G$5:$G$2000,Compras!$B$5:$B$2000,A250,Compras!$H$5:$H$2000,"&gt;0"))</f>
        <v/>
      </c>
      <c r="G250" s="18" t="str">
        <f aca="false">IF(D250="","",IF(CFG_Metodo="Promedio",F250,E250))</f>
        <v/>
      </c>
      <c r="H250" s="19" t="str">
        <f aca="false">IF(G250="","",IF(C250="unidad",G250,G250*1000))</f>
        <v/>
      </c>
      <c r="I250" s="20" t="str">
        <f aca="false">IF(A250="","",IF(C250="","Falta unidad base",IF(D250="","Sin compras cargadas","OK")))</f>
        <v/>
      </c>
    </row>
  </sheetData>
  <dataValidations count="2">
    <dataValidation allowBlank="true" error="Elegí un valor de la lista desplegable." errorStyle="stop" errorTitle="Valor no válido" operator="between" showDropDown="false" showErrorMessage="false" showInputMessage="false" sqref="B5:B250" type="list">
      <formula1>"Ingrediente,Packaging,Reventa"</formula1>
      <formula2>0</formula2>
    </dataValidation>
    <dataValidation allowBlank="true" error="Elegí un valor de la lista desplegable." errorStyle="stop" errorTitle="Valor no válido" operator="between" prompt="g para sólidos, ml para líquidos, unidad para bolsas, etiquetas o productos de reventa." showDropDown="false" showErrorMessage="false" showInputMessage="true" sqref="C5:C250" type="list">
      <formula1>"g,ml,unidad"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D2E"/>
    <pageSetUpPr fitToPage="false"/>
  </sheetPr>
  <dimension ref="A1:J2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34"/>
  </cols>
  <sheetData>
    <row r="1" customFormat="false" ht="19.7" hidden="false" customHeight="false" outlineLevel="0" collapsed="false">
      <c r="A1" s="12" t="s">
        <v>104</v>
      </c>
    </row>
    <row r="2" customFormat="false" ht="15" hidden="false" customHeight="false" outlineLevel="0" collapsed="false">
      <c r="A2" s="13" t="s">
        <v>105</v>
      </c>
    </row>
    <row r="4" customFormat="false" ht="42" hidden="false" customHeight="true" outlineLevel="0" collapsed="false">
      <c r="A4" s="14" t="s">
        <v>106</v>
      </c>
      <c r="B4" s="14" t="s">
        <v>43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111</v>
      </c>
      <c r="H4" s="14" t="s">
        <v>112</v>
      </c>
      <c r="I4" s="14" t="s">
        <v>113</v>
      </c>
      <c r="J4" s="14" t="s">
        <v>114</v>
      </c>
    </row>
    <row r="5" customFormat="false" ht="15" hidden="false" customHeight="false" outlineLevel="0" collapsed="false">
      <c r="A5" s="21" t="n">
        <v>46267</v>
      </c>
      <c r="B5" s="22" t="s">
        <v>57</v>
      </c>
      <c r="C5" s="22" t="s">
        <v>115</v>
      </c>
      <c r="D5" s="23" t="n">
        <v>1</v>
      </c>
      <c r="E5" s="22" t="s">
        <v>116</v>
      </c>
      <c r="F5" s="24" t="n">
        <v>3000</v>
      </c>
      <c r="G5" s="25" t="n">
        <f aca="true">IF(OR(D5="",E5=""),"",IFERROR(D5*INDEX(UnidadesFactor,MATCH(E5,Unidades,0)),""))</f>
        <v>1000</v>
      </c>
      <c r="H5" s="17" t="n">
        <f aca="false">IF(I5&lt;&gt;"OK","",IF(G5=0,"",F5/G5))</f>
        <v>3</v>
      </c>
      <c r="I5" s="20" t="str">
        <f aca="true">IF(B5="","",IF(ISNA(MATCH(B5,ListaInsumos,0)),"Insumo no está en Insumos",IF(OR(D5="",E5="",F5=""),"Faltan datos",IF(INDEX(UnidadesBase,MATCH(E5,Unidades,0))&lt;&gt;INDEX(InsBase,MATCH(B5,ListaInsumos,0)),"Unidad incompatible",IF(A5="","Falta fecha","OK")))))</f>
        <v>OK</v>
      </c>
      <c r="J5" s="22" t="s">
        <v>117</v>
      </c>
    </row>
    <row r="6" customFormat="false" ht="15" hidden="false" customHeight="false" outlineLevel="0" collapsed="false">
      <c r="A6" s="21" t="n">
        <v>46267</v>
      </c>
      <c r="B6" s="22" t="s">
        <v>67</v>
      </c>
      <c r="C6" s="22" t="s">
        <v>115</v>
      </c>
      <c r="D6" s="23" t="n">
        <v>1</v>
      </c>
      <c r="E6" s="22" t="s">
        <v>116</v>
      </c>
      <c r="F6" s="24" t="n">
        <v>2800</v>
      </c>
      <c r="G6" s="25" t="n">
        <f aca="true">IF(OR(D6="",E6=""),"",IFERROR(D6*INDEX(UnidadesFactor,MATCH(E6,Unidades,0)),""))</f>
        <v>1000</v>
      </c>
      <c r="H6" s="17" t="n">
        <f aca="false">IF(I6&lt;&gt;"OK","",IF(G6=0,"",F6/G6))</f>
        <v>2.8</v>
      </c>
      <c r="I6" s="20" t="str">
        <f aca="true">IF(B6="","",IF(ISNA(MATCH(B6,ListaInsumos,0)),"Insumo no está en Insumos",IF(OR(D6="",E6="",F6=""),"Faltan datos",IF(INDEX(UnidadesBase,MATCH(E6,Unidades,0))&lt;&gt;INDEX(InsBase,MATCH(B6,ListaInsumos,0)),"Unidad incompatible",IF(A6="","Falta fecha","OK")))))</f>
        <v>OK</v>
      </c>
      <c r="J6" s="22" t="s">
        <v>117</v>
      </c>
    </row>
    <row r="7" customFormat="false" ht="15" hidden="false" customHeight="false" outlineLevel="0" collapsed="false">
      <c r="A7" s="21" t="n">
        <v>46267</v>
      </c>
      <c r="B7" s="22" t="s">
        <v>58</v>
      </c>
      <c r="C7" s="22" t="s">
        <v>115</v>
      </c>
      <c r="D7" s="23" t="n">
        <v>1</v>
      </c>
      <c r="E7" s="22" t="s">
        <v>116</v>
      </c>
      <c r="F7" s="24" t="n">
        <v>3500</v>
      </c>
      <c r="G7" s="25" t="n">
        <f aca="true">IF(OR(D7="",E7=""),"",IFERROR(D7*INDEX(UnidadesFactor,MATCH(E7,Unidades,0)),""))</f>
        <v>1000</v>
      </c>
      <c r="H7" s="17" t="n">
        <f aca="false">IF(I7&lt;&gt;"OK","",IF(G7=0,"",F7/G7))</f>
        <v>3.5</v>
      </c>
      <c r="I7" s="20" t="str">
        <f aca="true">IF(B7="","",IF(ISNA(MATCH(B7,ListaInsumos,0)),"Insumo no está en Insumos",IF(OR(D7="",E7="",F7=""),"Faltan datos",IF(INDEX(UnidadesBase,MATCH(E7,Unidades,0))&lt;&gt;INDEX(InsBase,MATCH(B7,ListaInsumos,0)),"Unidad incompatible",IF(A7="","Falta fecha","OK")))))</f>
        <v>OK</v>
      </c>
      <c r="J7" s="22" t="s">
        <v>117</v>
      </c>
    </row>
    <row r="8" customFormat="false" ht="15" hidden="false" customHeight="false" outlineLevel="0" collapsed="false">
      <c r="A8" s="21" t="n">
        <v>46254</v>
      </c>
      <c r="B8" s="22" t="s">
        <v>52</v>
      </c>
      <c r="C8" s="22" t="s">
        <v>118</v>
      </c>
      <c r="D8" s="23" t="n">
        <v>1</v>
      </c>
      <c r="E8" s="22" t="s">
        <v>119</v>
      </c>
      <c r="F8" s="24" t="n">
        <v>16500</v>
      </c>
      <c r="G8" s="25" t="n">
        <f aca="true">IF(OR(D8="",E8=""),"",IFERROR(D8*INDEX(UnidadesFactor,MATCH(E8,Unidades,0)),""))</f>
        <v>1000</v>
      </c>
      <c r="H8" s="17" t="n">
        <f aca="false">IF(I8&lt;&gt;"OK","",IF(G8=0,"",F8/G8))</f>
        <v>16.5</v>
      </c>
      <c r="I8" s="20" t="str">
        <f aca="true">IF(B8="","",IF(ISNA(MATCH(B8,ListaInsumos,0)),"Insumo no está en Insumos",IF(OR(D8="",E8="",F8=""),"Faltan datos",IF(INDEX(UnidadesBase,MATCH(E8,Unidades,0))&lt;&gt;INDEX(InsBase,MATCH(B8,ListaInsumos,0)),"Unidad incompatible",IF(A8="","Falta fecha","OK")))))</f>
        <v>OK</v>
      </c>
      <c r="J8" s="22" t="s">
        <v>117</v>
      </c>
    </row>
    <row r="9" customFormat="false" ht="15" hidden="false" customHeight="false" outlineLevel="0" collapsed="false">
      <c r="A9" s="21" t="n">
        <v>46280</v>
      </c>
      <c r="B9" s="22" t="s">
        <v>52</v>
      </c>
      <c r="C9" s="22" t="s">
        <v>118</v>
      </c>
      <c r="D9" s="23" t="n">
        <v>1</v>
      </c>
      <c r="E9" s="22" t="s">
        <v>119</v>
      </c>
      <c r="F9" s="24" t="n">
        <v>18000</v>
      </c>
      <c r="G9" s="25" t="n">
        <f aca="true">IF(OR(D9="",E9=""),"",IFERROR(D9*INDEX(UnidadesFactor,MATCH(E9,Unidades,0)),""))</f>
        <v>1000</v>
      </c>
      <c r="H9" s="17" t="n">
        <f aca="false">IF(I9&lt;&gt;"OK","",IF(G9=0,"",F9/G9))</f>
        <v>18</v>
      </c>
      <c r="I9" s="20" t="str">
        <f aca="true">IF(B9="","",IF(ISNA(MATCH(B9,ListaInsumos,0)),"Insumo no está en Insumos",IF(OR(D9="",E9="",F9=""),"Faltan datos",IF(INDEX(UnidadesBase,MATCH(E9,Unidades,0))&lt;&gt;INDEX(InsBase,MATCH(B9,ListaInsumos,0)),"Unidad incompatible",IF(A9="","Falta fecha","OK")))))</f>
        <v>OK</v>
      </c>
      <c r="J9" s="22" t="s">
        <v>117</v>
      </c>
    </row>
    <row r="10" customFormat="false" ht="15" hidden="false" customHeight="false" outlineLevel="0" collapsed="false">
      <c r="A10" s="21" t="n">
        <v>46267</v>
      </c>
      <c r="B10" s="22" t="s">
        <v>86</v>
      </c>
      <c r="C10" s="22" t="s">
        <v>115</v>
      </c>
      <c r="D10" s="23" t="n">
        <v>500</v>
      </c>
      <c r="E10" s="22" t="s">
        <v>56</v>
      </c>
      <c r="F10" s="24" t="n">
        <v>2500</v>
      </c>
      <c r="G10" s="25" t="n">
        <f aca="true">IF(OR(D10="",E10=""),"",IFERROR(D10*INDEX(UnidadesFactor,MATCH(E10,Unidades,0)),""))</f>
        <v>500</v>
      </c>
      <c r="H10" s="17" t="n">
        <f aca="false">IF(I10&lt;&gt;"OK","",IF(G10=0,"",F10/G10))</f>
        <v>5</v>
      </c>
      <c r="I10" s="20" t="str">
        <f aca="true">IF(B10="","",IF(ISNA(MATCH(B10,ListaInsumos,0)),"Insumo no está en Insumos",IF(OR(D10="",E10="",F10=""),"Faltan datos",IF(INDEX(UnidadesBase,MATCH(E10,Unidades,0))&lt;&gt;INDEX(InsBase,MATCH(B10,ListaInsumos,0)),"Unidad incompatible",IF(A10="","Falta fecha","OK")))))</f>
        <v>OK</v>
      </c>
      <c r="J10" s="22" t="s">
        <v>117</v>
      </c>
    </row>
    <row r="11" customFormat="false" ht="15" hidden="false" customHeight="false" outlineLevel="0" collapsed="false">
      <c r="A11" s="21" t="n">
        <v>46267</v>
      </c>
      <c r="B11" s="22" t="s">
        <v>66</v>
      </c>
      <c r="C11" s="22" t="s">
        <v>115</v>
      </c>
      <c r="D11" s="23" t="n">
        <v>100</v>
      </c>
      <c r="E11" s="22" t="s">
        <v>56</v>
      </c>
      <c r="F11" s="24" t="n">
        <v>6000</v>
      </c>
      <c r="G11" s="25" t="n">
        <f aca="true">IF(OR(D11="",E11=""),"",IFERROR(D11*INDEX(UnidadesFactor,MATCH(E11,Unidades,0)),""))</f>
        <v>100</v>
      </c>
      <c r="H11" s="17" t="n">
        <f aca="false">IF(I11&lt;&gt;"OK","",IF(G11=0,"",F11/G11))</f>
        <v>60</v>
      </c>
      <c r="I11" s="20" t="str">
        <f aca="true">IF(B11="","",IF(ISNA(MATCH(B11,ListaInsumos,0)),"Insumo no está en Insumos",IF(OR(D11="",E11="",F11=""),"Faltan datos",IF(INDEX(UnidadesBase,MATCH(E11,Unidades,0))&lt;&gt;INDEX(InsBase,MATCH(B11,ListaInsumos,0)),"Unidad incompatible",IF(A11="","Falta fecha","OK")))))</f>
        <v>OK</v>
      </c>
      <c r="J11" s="22" t="s">
        <v>117</v>
      </c>
    </row>
    <row r="12" customFormat="false" ht="15" hidden="false" customHeight="false" outlineLevel="0" collapsed="false">
      <c r="A12" s="21" t="n">
        <v>46267</v>
      </c>
      <c r="B12" s="22" t="s">
        <v>82</v>
      </c>
      <c r="C12" s="22" t="s">
        <v>115</v>
      </c>
      <c r="D12" s="23" t="n">
        <v>100</v>
      </c>
      <c r="E12" s="22" t="s">
        <v>56</v>
      </c>
      <c r="F12" s="24" t="n">
        <v>1500</v>
      </c>
      <c r="G12" s="25" t="n">
        <f aca="true">IF(OR(D12="",E12=""),"",IFERROR(D12*INDEX(UnidadesFactor,MATCH(E12,Unidades,0)),""))</f>
        <v>100</v>
      </c>
      <c r="H12" s="17" t="n">
        <f aca="false">IF(I12&lt;&gt;"OK","",IF(G12=0,"",F12/G12))</f>
        <v>15</v>
      </c>
      <c r="I12" s="20" t="str">
        <f aca="true">IF(B12="","",IF(ISNA(MATCH(B12,ListaInsumos,0)),"Insumo no está en Insumos",IF(OR(D12="",E12="",F12=""),"Faltan datos",IF(INDEX(UnidadesBase,MATCH(E12,Unidades,0))&lt;&gt;INDEX(InsBase,MATCH(B12,ListaInsumos,0)),"Unidad incompatible",IF(A12="","Falta fecha","OK")))))</f>
        <v>OK</v>
      </c>
      <c r="J12" s="22" t="s">
        <v>117</v>
      </c>
    </row>
    <row r="13" customFormat="false" ht="15" hidden="false" customHeight="false" outlineLevel="0" collapsed="false">
      <c r="A13" s="21" t="n">
        <v>46270</v>
      </c>
      <c r="B13" s="22" t="s">
        <v>91</v>
      </c>
      <c r="C13" s="22" t="s">
        <v>120</v>
      </c>
      <c r="D13" s="23" t="n">
        <v>100</v>
      </c>
      <c r="E13" s="22" t="s">
        <v>93</v>
      </c>
      <c r="F13" s="24" t="n">
        <v>8000</v>
      </c>
      <c r="G13" s="25" t="n">
        <f aca="true">IF(OR(D13="",E13=""),"",IFERROR(D13*INDEX(UnidadesFactor,MATCH(E13,Unidades,0)),""))</f>
        <v>100</v>
      </c>
      <c r="H13" s="17" t="n">
        <f aca="false">IF(I13&lt;&gt;"OK","",IF(G13=0,"",F13/G13))</f>
        <v>80</v>
      </c>
      <c r="I13" s="20" t="str">
        <f aca="true">IF(B13="","",IF(ISNA(MATCH(B13,ListaInsumos,0)),"Insumo no está en Insumos",IF(OR(D13="",E13="",F13=""),"Faltan datos",IF(INDEX(UnidadesBase,MATCH(E13,Unidades,0))&lt;&gt;INDEX(InsBase,MATCH(B13,ListaInsumos,0)),"Unidad incompatible",IF(A13="","Falta fecha","OK")))))</f>
        <v>OK</v>
      </c>
      <c r="J13" s="22" t="s">
        <v>117</v>
      </c>
    </row>
    <row r="14" customFormat="false" ht="15" hidden="false" customHeight="false" outlineLevel="0" collapsed="false">
      <c r="A14" s="21" t="n">
        <v>46270</v>
      </c>
      <c r="B14" s="22" t="s">
        <v>94</v>
      </c>
      <c r="C14" s="22" t="s">
        <v>120</v>
      </c>
      <c r="D14" s="23" t="n">
        <v>100</v>
      </c>
      <c r="E14" s="22" t="s">
        <v>93</v>
      </c>
      <c r="F14" s="24" t="n">
        <v>12000</v>
      </c>
      <c r="G14" s="25" t="n">
        <f aca="true">IF(OR(D14="",E14=""),"",IFERROR(D14*INDEX(UnidadesFactor,MATCH(E14,Unidades,0)),""))</f>
        <v>100</v>
      </c>
      <c r="H14" s="17" t="n">
        <f aca="false">IF(I14&lt;&gt;"OK","",IF(G14=0,"",F14/G14))</f>
        <v>120</v>
      </c>
      <c r="I14" s="20" t="str">
        <f aca="true">IF(B14="","",IF(ISNA(MATCH(B14,ListaInsumos,0)),"Insumo no está en Insumos",IF(OR(D14="",E14="",F14=""),"Faltan datos",IF(INDEX(UnidadesBase,MATCH(E14,Unidades,0))&lt;&gt;INDEX(InsBase,MATCH(B14,ListaInsumos,0)),"Unidad incompatible",IF(A14="","Falta fecha","OK")))))</f>
        <v>OK</v>
      </c>
      <c r="J14" s="22" t="s">
        <v>117</v>
      </c>
    </row>
    <row r="15" customFormat="false" ht="15" hidden="false" customHeight="false" outlineLevel="0" collapsed="false">
      <c r="A15" s="21" t="n">
        <v>46270</v>
      </c>
      <c r="B15" s="22" t="s">
        <v>97</v>
      </c>
      <c r="C15" s="22" t="s">
        <v>121</v>
      </c>
      <c r="D15" s="23" t="n">
        <v>100</v>
      </c>
      <c r="E15" s="22" t="s">
        <v>93</v>
      </c>
      <c r="F15" s="24" t="n">
        <v>5000</v>
      </c>
      <c r="G15" s="25" t="n">
        <f aca="true">IF(OR(D15="",E15=""),"",IFERROR(D15*INDEX(UnidadesFactor,MATCH(E15,Unidades,0)),""))</f>
        <v>100</v>
      </c>
      <c r="H15" s="17" t="n">
        <f aca="false">IF(I15&lt;&gt;"OK","",IF(G15=0,"",F15/G15))</f>
        <v>50</v>
      </c>
      <c r="I15" s="20" t="str">
        <f aca="true">IF(B15="","",IF(ISNA(MATCH(B15,ListaInsumos,0)),"Insumo no está en Insumos",IF(OR(D15="",E15="",F15=""),"Faltan datos",IF(INDEX(UnidadesBase,MATCH(E15,Unidades,0))&lt;&gt;INDEX(InsBase,MATCH(B15,ListaInsumos,0)),"Unidad incompatible",IF(A15="","Falta fecha","OK")))))</f>
        <v>OK</v>
      </c>
      <c r="J15" s="22" t="s">
        <v>117</v>
      </c>
    </row>
    <row r="16" customFormat="false" ht="15" hidden="false" customHeight="false" outlineLevel="0" collapsed="false">
      <c r="A16" s="26"/>
      <c r="B16" s="15"/>
      <c r="C16" s="15"/>
      <c r="D16" s="27"/>
      <c r="E16" s="15"/>
      <c r="F16" s="28"/>
      <c r="G16" s="25" t="str">
        <f aca="true">IF(OR(D16="",E16=""),"",IFERROR(D16*INDEX(UnidadesFactor,MATCH(E16,Unidades,0)),""))</f>
        <v/>
      </c>
      <c r="H16" s="17" t="str">
        <f aca="false">IF(I16&lt;&gt;"OK","",IF(G16=0,"",F16/G16))</f>
        <v/>
      </c>
      <c r="I16" s="20" t="str">
        <f aca="true">IF(B16="","",IF(ISNA(MATCH(B16,ListaInsumos,0)),"Insumo no está en Insumos",IF(OR(D16="",E16="",F16=""),"Faltan datos",IF(INDEX(UnidadesBase,MATCH(E16,Unidades,0))&lt;&gt;INDEX(InsBase,MATCH(B16,ListaInsumos,0)),"Unidad incompatible",IF(A16="","Falta fecha","OK")))))</f>
        <v/>
      </c>
      <c r="J16" s="15"/>
    </row>
    <row r="17" customFormat="false" ht="15" hidden="false" customHeight="false" outlineLevel="0" collapsed="false">
      <c r="A17" s="26"/>
      <c r="B17" s="15"/>
      <c r="C17" s="15"/>
      <c r="D17" s="27"/>
      <c r="E17" s="15"/>
      <c r="F17" s="28"/>
      <c r="G17" s="25" t="str">
        <f aca="true">IF(OR(D17="",E17=""),"",IFERROR(D17*INDEX(UnidadesFactor,MATCH(E17,Unidades,0)),""))</f>
        <v/>
      </c>
      <c r="H17" s="17" t="str">
        <f aca="false">IF(I17&lt;&gt;"OK","",IF(G17=0,"",F17/G17))</f>
        <v/>
      </c>
      <c r="I17" s="20" t="str">
        <f aca="true">IF(B17="","",IF(ISNA(MATCH(B17,ListaInsumos,0)),"Insumo no está en Insumos",IF(OR(D17="",E17="",F17=""),"Faltan datos",IF(INDEX(UnidadesBase,MATCH(E17,Unidades,0))&lt;&gt;INDEX(InsBase,MATCH(B17,ListaInsumos,0)),"Unidad incompatible",IF(A17="","Falta fecha","OK")))))</f>
        <v/>
      </c>
      <c r="J17" s="15"/>
    </row>
    <row r="18" customFormat="false" ht="15" hidden="false" customHeight="false" outlineLevel="0" collapsed="false">
      <c r="A18" s="26"/>
      <c r="B18" s="15"/>
      <c r="C18" s="15"/>
      <c r="D18" s="27"/>
      <c r="E18" s="15"/>
      <c r="F18" s="28"/>
      <c r="G18" s="25" t="str">
        <f aca="true">IF(OR(D18="",E18=""),"",IFERROR(D18*INDEX(UnidadesFactor,MATCH(E18,Unidades,0)),""))</f>
        <v/>
      </c>
      <c r="H18" s="17" t="str">
        <f aca="false">IF(I18&lt;&gt;"OK","",IF(G18=0,"",F18/G18))</f>
        <v/>
      </c>
      <c r="I18" s="20" t="str">
        <f aca="true">IF(B18="","",IF(ISNA(MATCH(B18,ListaInsumos,0)),"Insumo no está en Insumos",IF(OR(D18="",E18="",F18=""),"Faltan datos",IF(INDEX(UnidadesBase,MATCH(E18,Unidades,0))&lt;&gt;INDEX(InsBase,MATCH(B18,ListaInsumos,0)),"Unidad incompatible",IF(A18="","Falta fecha","OK")))))</f>
        <v/>
      </c>
      <c r="J18" s="15"/>
    </row>
    <row r="19" customFormat="false" ht="15" hidden="false" customHeight="false" outlineLevel="0" collapsed="false">
      <c r="A19" s="26"/>
      <c r="B19" s="15"/>
      <c r="C19" s="15"/>
      <c r="D19" s="27"/>
      <c r="E19" s="15"/>
      <c r="F19" s="28"/>
      <c r="G19" s="25" t="str">
        <f aca="true">IF(OR(D19="",E19=""),"",IFERROR(D19*INDEX(UnidadesFactor,MATCH(E19,Unidades,0)),""))</f>
        <v/>
      </c>
      <c r="H19" s="17" t="str">
        <f aca="false">IF(I19&lt;&gt;"OK","",IF(G19=0,"",F19/G19))</f>
        <v/>
      </c>
      <c r="I19" s="20" t="str">
        <f aca="true">IF(B19="","",IF(ISNA(MATCH(B19,ListaInsumos,0)),"Insumo no está en Insumos",IF(OR(D19="",E19="",F19=""),"Faltan datos",IF(INDEX(UnidadesBase,MATCH(E19,Unidades,0))&lt;&gt;INDEX(InsBase,MATCH(B19,ListaInsumos,0)),"Unidad incompatible",IF(A19="","Falta fecha","OK")))))</f>
        <v/>
      </c>
      <c r="J19" s="15"/>
    </row>
    <row r="20" customFormat="false" ht="15" hidden="false" customHeight="false" outlineLevel="0" collapsed="false">
      <c r="A20" s="26"/>
      <c r="B20" s="15"/>
      <c r="C20" s="15"/>
      <c r="D20" s="27"/>
      <c r="E20" s="15"/>
      <c r="F20" s="28"/>
      <c r="G20" s="25" t="str">
        <f aca="true">IF(OR(D20="",E20=""),"",IFERROR(D20*INDEX(UnidadesFactor,MATCH(E20,Unidades,0)),""))</f>
        <v/>
      </c>
      <c r="H20" s="17" t="str">
        <f aca="false">IF(I20&lt;&gt;"OK","",IF(G20=0,"",F20/G20))</f>
        <v/>
      </c>
      <c r="I20" s="20" t="str">
        <f aca="true">IF(B20="","",IF(ISNA(MATCH(B20,ListaInsumos,0)),"Insumo no está en Insumos",IF(OR(D20="",E20="",F20=""),"Faltan datos",IF(INDEX(UnidadesBase,MATCH(E20,Unidades,0))&lt;&gt;INDEX(InsBase,MATCH(B20,ListaInsumos,0)),"Unidad incompatible",IF(A20="","Falta fecha","OK")))))</f>
        <v/>
      </c>
      <c r="J20" s="15"/>
    </row>
    <row r="21" customFormat="false" ht="15" hidden="false" customHeight="false" outlineLevel="0" collapsed="false">
      <c r="A21" s="26"/>
      <c r="B21" s="15"/>
      <c r="C21" s="15"/>
      <c r="D21" s="27"/>
      <c r="E21" s="15"/>
      <c r="F21" s="28"/>
      <c r="G21" s="25" t="str">
        <f aca="true">IF(OR(D21="",E21=""),"",IFERROR(D21*INDEX(UnidadesFactor,MATCH(E21,Unidades,0)),""))</f>
        <v/>
      </c>
      <c r="H21" s="17" t="str">
        <f aca="false">IF(I21&lt;&gt;"OK","",IF(G21=0,"",F21/G21))</f>
        <v/>
      </c>
      <c r="I21" s="20" t="str">
        <f aca="true">IF(B21="","",IF(ISNA(MATCH(B21,ListaInsumos,0)),"Insumo no está en Insumos",IF(OR(D21="",E21="",F21=""),"Faltan datos",IF(INDEX(UnidadesBase,MATCH(E21,Unidades,0))&lt;&gt;INDEX(InsBase,MATCH(B21,ListaInsumos,0)),"Unidad incompatible",IF(A21="","Falta fecha","OK")))))</f>
        <v/>
      </c>
      <c r="J21" s="15"/>
    </row>
    <row r="22" customFormat="false" ht="15" hidden="false" customHeight="false" outlineLevel="0" collapsed="false">
      <c r="A22" s="26"/>
      <c r="B22" s="15"/>
      <c r="C22" s="15"/>
      <c r="D22" s="27"/>
      <c r="E22" s="15"/>
      <c r="F22" s="28"/>
      <c r="G22" s="25" t="str">
        <f aca="true">IF(OR(D22="",E22=""),"",IFERROR(D22*INDEX(UnidadesFactor,MATCH(E22,Unidades,0)),""))</f>
        <v/>
      </c>
      <c r="H22" s="17" t="str">
        <f aca="false">IF(I22&lt;&gt;"OK","",IF(G22=0,"",F22/G22))</f>
        <v/>
      </c>
      <c r="I22" s="20" t="str">
        <f aca="true">IF(B22="","",IF(ISNA(MATCH(B22,ListaInsumos,0)),"Insumo no está en Insumos",IF(OR(D22="",E22="",F22=""),"Faltan datos",IF(INDEX(UnidadesBase,MATCH(E22,Unidades,0))&lt;&gt;INDEX(InsBase,MATCH(B22,ListaInsumos,0)),"Unidad incompatible",IF(A22="","Falta fecha","OK")))))</f>
        <v/>
      </c>
      <c r="J22" s="15"/>
    </row>
    <row r="23" customFormat="false" ht="15" hidden="false" customHeight="false" outlineLevel="0" collapsed="false">
      <c r="A23" s="26"/>
      <c r="B23" s="15"/>
      <c r="C23" s="15"/>
      <c r="D23" s="27"/>
      <c r="E23" s="15"/>
      <c r="F23" s="28"/>
      <c r="G23" s="25" t="str">
        <f aca="true">IF(OR(D23="",E23=""),"",IFERROR(D23*INDEX(UnidadesFactor,MATCH(E23,Unidades,0)),""))</f>
        <v/>
      </c>
      <c r="H23" s="17" t="str">
        <f aca="false">IF(I23&lt;&gt;"OK","",IF(G23=0,"",F23/G23))</f>
        <v/>
      </c>
      <c r="I23" s="20" t="str">
        <f aca="true">IF(B23="","",IF(ISNA(MATCH(B23,ListaInsumos,0)),"Insumo no está en Insumos",IF(OR(D23="",E23="",F23=""),"Faltan datos",IF(INDEX(UnidadesBase,MATCH(E23,Unidades,0))&lt;&gt;INDEX(InsBase,MATCH(B23,ListaInsumos,0)),"Unidad incompatible",IF(A23="","Falta fecha","OK")))))</f>
        <v/>
      </c>
      <c r="J23" s="15"/>
    </row>
    <row r="24" customFormat="false" ht="15" hidden="false" customHeight="false" outlineLevel="0" collapsed="false">
      <c r="A24" s="26"/>
      <c r="B24" s="15"/>
      <c r="C24" s="15"/>
      <c r="D24" s="27"/>
      <c r="E24" s="15"/>
      <c r="F24" s="28"/>
      <c r="G24" s="25" t="str">
        <f aca="true">IF(OR(D24="",E24=""),"",IFERROR(D24*INDEX(UnidadesFactor,MATCH(E24,Unidades,0)),""))</f>
        <v/>
      </c>
      <c r="H24" s="17" t="str">
        <f aca="false">IF(I24&lt;&gt;"OK","",IF(G24=0,"",F24/G24))</f>
        <v/>
      </c>
      <c r="I24" s="20" t="str">
        <f aca="true">IF(B24="","",IF(ISNA(MATCH(B24,ListaInsumos,0)),"Insumo no está en Insumos",IF(OR(D24="",E24="",F24=""),"Faltan datos",IF(INDEX(UnidadesBase,MATCH(E24,Unidades,0))&lt;&gt;INDEX(InsBase,MATCH(B24,ListaInsumos,0)),"Unidad incompatible",IF(A24="","Falta fecha","OK")))))</f>
        <v/>
      </c>
      <c r="J24" s="15"/>
    </row>
    <row r="25" customFormat="false" ht="15" hidden="false" customHeight="false" outlineLevel="0" collapsed="false">
      <c r="A25" s="26"/>
      <c r="B25" s="15"/>
      <c r="C25" s="15"/>
      <c r="D25" s="27"/>
      <c r="E25" s="15"/>
      <c r="F25" s="28"/>
      <c r="G25" s="25" t="str">
        <f aca="true">IF(OR(D25="",E25=""),"",IFERROR(D25*INDEX(UnidadesFactor,MATCH(E25,Unidades,0)),""))</f>
        <v/>
      </c>
      <c r="H25" s="17" t="str">
        <f aca="false">IF(I25&lt;&gt;"OK","",IF(G25=0,"",F25/G25))</f>
        <v/>
      </c>
      <c r="I25" s="20" t="str">
        <f aca="true">IF(B25="","",IF(ISNA(MATCH(B25,ListaInsumos,0)),"Insumo no está en Insumos",IF(OR(D25="",E25="",F25=""),"Faltan datos",IF(INDEX(UnidadesBase,MATCH(E25,Unidades,0))&lt;&gt;INDEX(InsBase,MATCH(B25,ListaInsumos,0)),"Unidad incompatible",IF(A25="","Falta fecha","OK")))))</f>
        <v/>
      </c>
      <c r="J25" s="15"/>
    </row>
    <row r="26" customFormat="false" ht="15" hidden="false" customHeight="false" outlineLevel="0" collapsed="false">
      <c r="A26" s="26"/>
      <c r="B26" s="15"/>
      <c r="C26" s="15"/>
      <c r="D26" s="27"/>
      <c r="E26" s="15"/>
      <c r="F26" s="28"/>
      <c r="G26" s="25" t="str">
        <f aca="true">IF(OR(D26="",E26=""),"",IFERROR(D26*INDEX(UnidadesFactor,MATCH(E26,Unidades,0)),""))</f>
        <v/>
      </c>
      <c r="H26" s="17" t="str">
        <f aca="false">IF(I26&lt;&gt;"OK","",IF(G26=0,"",F26/G26))</f>
        <v/>
      </c>
      <c r="I26" s="20" t="str">
        <f aca="true">IF(B26="","",IF(ISNA(MATCH(B26,ListaInsumos,0)),"Insumo no está en Insumos",IF(OR(D26="",E26="",F26=""),"Faltan datos",IF(INDEX(UnidadesBase,MATCH(E26,Unidades,0))&lt;&gt;INDEX(InsBase,MATCH(B26,ListaInsumos,0)),"Unidad incompatible",IF(A26="","Falta fecha","OK")))))</f>
        <v/>
      </c>
      <c r="J26" s="15"/>
    </row>
    <row r="27" customFormat="false" ht="15" hidden="false" customHeight="false" outlineLevel="0" collapsed="false">
      <c r="A27" s="26"/>
      <c r="B27" s="15"/>
      <c r="C27" s="15"/>
      <c r="D27" s="27"/>
      <c r="E27" s="15"/>
      <c r="F27" s="28"/>
      <c r="G27" s="25" t="str">
        <f aca="true">IF(OR(D27="",E27=""),"",IFERROR(D27*INDEX(UnidadesFactor,MATCH(E27,Unidades,0)),""))</f>
        <v/>
      </c>
      <c r="H27" s="17" t="str">
        <f aca="false">IF(I27&lt;&gt;"OK","",IF(G27=0,"",F27/G27))</f>
        <v/>
      </c>
      <c r="I27" s="20" t="str">
        <f aca="true">IF(B27="","",IF(ISNA(MATCH(B27,ListaInsumos,0)),"Insumo no está en Insumos",IF(OR(D27="",E27="",F27=""),"Faltan datos",IF(INDEX(UnidadesBase,MATCH(E27,Unidades,0))&lt;&gt;INDEX(InsBase,MATCH(B27,ListaInsumos,0)),"Unidad incompatible",IF(A27="","Falta fecha","OK")))))</f>
        <v/>
      </c>
      <c r="J27" s="15"/>
    </row>
    <row r="28" customFormat="false" ht="15" hidden="false" customHeight="false" outlineLevel="0" collapsed="false">
      <c r="A28" s="26"/>
      <c r="B28" s="15"/>
      <c r="C28" s="15"/>
      <c r="D28" s="27"/>
      <c r="E28" s="15"/>
      <c r="F28" s="28"/>
      <c r="G28" s="25" t="str">
        <f aca="true">IF(OR(D28="",E28=""),"",IFERROR(D28*INDEX(UnidadesFactor,MATCH(E28,Unidades,0)),""))</f>
        <v/>
      </c>
      <c r="H28" s="17" t="str">
        <f aca="false">IF(I28&lt;&gt;"OK","",IF(G28=0,"",F28/G28))</f>
        <v/>
      </c>
      <c r="I28" s="20" t="str">
        <f aca="true">IF(B28="","",IF(ISNA(MATCH(B28,ListaInsumos,0)),"Insumo no está en Insumos",IF(OR(D28="",E28="",F28=""),"Faltan datos",IF(INDEX(UnidadesBase,MATCH(E28,Unidades,0))&lt;&gt;INDEX(InsBase,MATCH(B28,ListaInsumos,0)),"Unidad incompatible",IF(A28="","Falta fecha","OK")))))</f>
        <v/>
      </c>
      <c r="J28" s="15"/>
    </row>
    <row r="29" customFormat="false" ht="15" hidden="false" customHeight="false" outlineLevel="0" collapsed="false">
      <c r="A29" s="26"/>
      <c r="B29" s="15"/>
      <c r="C29" s="15"/>
      <c r="D29" s="27"/>
      <c r="E29" s="15"/>
      <c r="F29" s="28"/>
      <c r="G29" s="25" t="str">
        <f aca="true">IF(OR(D29="",E29=""),"",IFERROR(D29*INDEX(UnidadesFactor,MATCH(E29,Unidades,0)),""))</f>
        <v/>
      </c>
      <c r="H29" s="17" t="str">
        <f aca="false">IF(I29&lt;&gt;"OK","",IF(G29=0,"",F29/G29))</f>
        <v/>
      </c>
      <c r="I29" s="20" t="str">
        <f aca="true">IF(B29="","",IF(ISNA(MATCH(B29,ListaInsumos,0)),"Insumo no está en Insumos",IF(OR(D29="",E29="",F29=""),"Faltan datos",IF(INDEX(UnidadesBase,MATCH(E29,Unidades,0))&lt;&gt;INDEX(InsBase,MATCH(B29,ListaInsumos,0)),"Unidad incompatible",IF(A29="","Falta fecha","OK")))))</f>
        <v/>
      </c>
      <c r="J29" s="15"/>
    </row>
    <row r="30" customFormat="false" ht="15" hidden="false" customHeight="false" outlineLevel="0" collapsed="false">
      <c r="A30" s="26"/>
      <c r="B30" s="15"/>
      <c r="C30" s="15"/>
      <c r="D30" s="27"/>
      <c r="E30" s="15"/>
      <c r="F30" s="28"/>
      <c r="G30" s="25" t="str">
        <f aca="true">IF(OR(D30="",E30=""),"",IFERROR(D30*INDEX(UnidadesFactor,MATCH(E30,Unidades,0)),""))</f>
        <v/>
      </c>
      <c r="H30" s="17" t="str">
        <f aca="false">IF(I30&lt;&gt;"OK","",IF(G30=0,"",F30/G30))</f>
        <v/>
      </c>
      <c r="I30" s="20" t="str">
        <f aca="true">IF(B30="","",IF(ISNA(MATCH(B30,ListaInsumos,0)),"Insumo no está en Insumos",IF(OR(D30="",E30="",F30=""),"Faltan datos",IF(INDEX(UnidadesBase,MATCH(E30,Unidades,0))&lt;&gt;INDEX(InsBase,MATCH(B30,ListaInsumos,0)),"Unidad incompatible",IF(A30="","Falta fecha","OK")))))</f>
        <v/>
      </c>
      <c r="J30" s="15"/>
    </row>
    <row r="31" customFormat="false" ht="15" hidden="false" customHeight="false" outlineLevel="0" collapsed="false">
      <c r="A31" s="26"/>
      <c r="B31" s="15"/>
      <c r="C31" s="15"/>
      <c r="D31" s="27"/>
      <c r="E31" s="15"/>
      <c r="F31" s="28"/>
      <c r="G31" s="25" t="str">
        <f aca="true">IF(OR(D31="",E31=""),"",IFERROR(D31*INDEX(UnidadesFactor,MATCH(E31,Unidades,0)),""))</f>
        <v/>
      </c>
      <c r="H31" s="17" t="str">
        <f aca="false">IF(I31&lt;&gt;"OK","",IF(G31=0,"",F31/G31))</f>
        <v/>
      </c>
      <c r="I31" s="20" t="str">
        <f aca="true">IF(B31="","",IF(ISNA(MATCH(B31,ListaInsumos,0)),"Insumo no está en Insumos",IF(OR(D31="",E31="",F31=""),"Faltan datos",IF(INDEX(UnidadesBase,MATCH(E31,Unidades,0))&lt;&gt;INDEX(InsBase,MATCH(B31,ListaInsumos,0)),"Unidad incompatible",IF(A31="","Falta fecha","OK")))))</f>
        <v/>
      </c>
      <c r="J31" s="15"/>
    </row>
    <row r="32" customFormat="false" ht="15" hidden="false" customHeight="false" outlineLevel="0" collapsed="false">
      <c r="A32" s="26"/>
      <c r="B32" s="15"/>
      <c r="C32" s="15"/>
      <c r="D32" s="27"/>
      <c r="E32" s="15"/>
      <c r="F32" s="28"/>
      <c r="G32" s="25" t="str">
        <f aca="true">IF(OR(D32="",E32=""),"",IFERROR(D32*INDEX(UnidadesFactor,MATCH(E32,Unidades,0)),""))</f>
        <v/>
      </c>
      <c r="H32" s="17" t="str">
        <f aca="false">IF(I32&lt;&gt;"OK","",IF(G32=0,"",F32/G32))</f>
        <v/>
      </c>
      <c r="I32" s="20" t="str">
        <f aca="true">IF(B32="","",IF(ISNA(MATCH(B32,ListaInsumos,0)),"Insumo no está en Insumos",IF(OR(D32="",E32="",F32=""),"Faltan datos",IF(INDEX(UnidadesBase,MATCH(E32,Unidades,0))&lt;&gt;INDEX(InsBase,MATCH(B32,ListaInsumos,0)),"Unidad incompatible",IF(A32="","Falta fecha","OK")))))</f>
        <v/>
      </c>
      <c r="J32" s="15"/>
    </row>
    <row r="33" customFormat="false" ht="15" hidden="false" customHeight="false" outlineLevel="0" collapsed="false">
      <c r="A33" s="26"/>
      <c r="B33" s="15"/>
      <c r="C33" s="15"/>
      <c r="D33" s="27"/>
      <c r="E33" s="15"/>
      <c r="F33" s="28"/>
      <c r="G33" s="25" t="str">
        <f aca="true">IF(OR(D33="",E33=""),"",IFERROR(D33*INDEX(UnidadesFactor,MATCH(E33,Unidades,0)),""))</f>
        <v/>
      </c>
      <c r="H33" s="17" t="str">
        <f aca="false">IF(I33&lt;&gt;"OK","",IF(G33=0,"",F33/G33))</f>
        <v/>
      </c>
      <c r="I33" s="20" t="str">
        <f aca="true">IF(B33="","",IF(ISNA(MATCH(B33,ListaInsumos,0)),"Insumo no está en Insumos",IF(OR(D33="",E33="",F33=""),"Faltan datos",IF(INDEX(UnidadesBase,MATCH(E33,Unidades,0))&lt;&gt;INDEX(InsBase,MATCH(B33,ListaInsumos,0)),"Unidad incompatible",IF(A33="","Falta fecha","OK")))))</f>
        <v/>
      </c>
      <c r="J33" s="15"/>
    </row>
    <row r="34" customFormat="false" ht="15" hidden="false" customHeight="false" outlineLevel="0" collapsed="false">
      <c r="A34" s="26"/>
      <c r="B34" s="15"/>
      <c r="C34" s="15"/>
      <c r="D34" s="27"/>
      <c r="E34" s="15"/>
      <c r="F34" s="28"/>
      <c r="G34" s="25" t="str">
        <f aca="true">IF(OR(D34="",E34=""),"",IFERROR(D34*INDEX(UnidadesFactor,MATCH(E34,Unidades,0)),""))</f>
        <v/>
      </c>
      <c r="H34" s="17" t="str">
        <f aca="false">IF(I34&lt;&gt;"OK","",IF(G34=0,"",F34/G34))</f>
        <v/>
      </c>
      <c r="I34" s="20" t="str">
        <f aca="true">IF(B34="","",IF(ISNA(MATCH(B34,ListaInsumos,0)),"Insumo no está en Insumos",IF(OR(D34="",E34="",F34=""),"Faltan datos",IF(INDEX(UnidadesBase,MATCH(E34,Unidades,0))&lt;&gt;INDEX(InsBase,MATCH(B34,ListaInsumos,0)),"Unidad incompatible",IF(A34="","Falta fecha","OK")))))</f>
        <v/>
      </c>
      <c r="J34" s="15"/>
    </row>
    <row r="35" customFormat="false" ht="15" hidden="false" customHeight="false" outlineLevel="0" collapsed="false">
      <c r="A35" s="26"/>
      <c r="B35" s="15"/>
      <c r="C35" s="15"/>
      <c r="D35" s="27"/>
      <c r="E35" s="15"/>
      <c r="F35" s="28"/>
      <c r="G35" s="25" t="str">
        <f aca="true">IF(OR(D35="",E35=""),"",IFERROR(D35*INDEX(UnidadesFactor,MATCH(E35,Unidades,0)),""))</f>
        <v/>
      </c>
      <c r="H35" s="17" t="str">
        <f aca="false">IF(I35&lt;&gt;"OK","",IF(G35=0,"",F35/G35))</f>
        <v/>
      </c>
      <c r="I35" s="20" t="str">
        <f aca="true">IF(B35="","",IF(ISNA(MATCH(B35,ListaInsumos,0)),"Insumo no está en Insumos",IF(OR(D35="",E35="",F35=""),"Faltan datos",IF(INDEX(UnidadesBase,MATCH(E35,Unidades,0))&lt;&gt;INDEX(InsBase,MATCH(B35,ListaInsumos,0)),"Unidad incompatible",IF(A35="","Falta fecha","OK")))))</f>
        <v/>
      </c>
      <c r="J35" s="15"/>
    </row>
    <row r="36" customFormat="false" ht="15" hidden="false" customHeight="false" outlineLevel="0" collapsed="false">
      <c r="A36" s="26"/>
      <c r="B36" s="15"/>
      <c r="C36" s="15"/>
      <c r="D36" s="27"/>
      <c r="E36" s="15"/>
      <c r="F36" s="28"/>
      <c r="G36" s="25" t="str">
        <f aca="true">IF(OR(D36="",E36=""),"",IFERROR(D36*INDEX(UnidadesFactor,MATCH(E36,Unidades,0)),""))</f>
        <v/>
      </c>
      <c r="H36" s="17" t="str">
        <f aca="false">IF(I36&lt;&gt;"OK","",IF(G36=0,"",F36/G36))</f>
        <v/>
      </c>
      <c r="I36" s="20" t="str">
        <f aca="true">IF(B36="","",IF(ISNA(MATCH(B36,ListaInsumos,0)),"Insumo no está en Insumos",IF(OR(D36="",E36="",F36=""),"Faltan datos",IF(INDEX(UnidadesBase,MATCH(E36,Unidades,0))&lt;&gt;INDEX(InsBase,MATCH(B36,ListaInsumos,0)),"Unidad incompatible",IF(A36="","Falta fecha","OK")))))</f>
        <v/>
      </c>
      <c r="J36" s="15"/>
    </row>
    <row r="37" customFormat="false" ht="15" hidden="false" customHeight="false" outlineLevel="0" collapsed="false">
      <c r="A37" s="26"/>
      <c r="B37" s="15"/>
      <c r="C37" s="15"/>
      <c r="D37" s="27"/>
      <c r="E37" s="15"/>
      <c r="F37" s="28"/>
      <c r="G37" s="25" t="str">
        <f aca="true">IF(OR(D37="",E37=""),"",IFERROR(D37*INDEX(UnidadesFactor,MATCH(E37,Unidades,0)),""))</f>
        <v/>
      </c>
      <c r="H37" s="17" t="str">
        <f aca="false">IF(I37&lt;&gt;"OK","",IF(G37=0,"",F37/G37))</f>
        <v/>
      </c>
      <c r="I37" s="20" t="str">
        <f aca="true">IF(B37="","",IF(ISNA(MATCH(B37,ListaInsumos,0)),"Insumo no está en Insumos",IF(OR(D37="",E37="",F37=""),"Faltan datos",IF(INDEX(UnidadesBase,MATCH(E37,Unidades,0))&lt;&gt;INDEX(InsBase,MATCH(B37,ListaInsumos,0)),"Unidad incompatible",IF(A37="","Falta fecha","OK")))))</f>
        <v/>
      </c>
      <c r="J37" s="15"/>
    </row>
    <row r="38" customFormat="false" ht="15" hidden="false" customHeight="false" outlineLevel="0" collapsed="false">
      <c r="A38" s="26"/>
      <c r="B38" s="15"/>
      <c r="C38" s="15"/>
      <c r="D38" s="27"/>
      <c r="E38" s="15"/>
      <c r="F38" s="28"/>
      <c r="G38" s="25" t="str">
        <f aca="true">IF(OR(D38="",E38=""),"",IFERROR(D38*INDEX(UnidadesFactor,MATCH(E38,Unidades,0)),""))</f>
        <v/>
      </c>
      <c r="H38" s="17" t="str">
        <f aca="false">IF(I38&lt;&gt;"OK","",IF(G38=0,"",F38/G38))</f>
        <v/>
      </c>
      <c r="I38" s="20" t="str">
        <f aca="true">IF(B38="","",IF(ISNA(MATCH(B38,ListaInsumos,0)),"Insumo no está en Insumos",IF(OR(D38="",E38="",F38=""),"Faltan datos",IF(INDEX(UnidadesBase,MATCH(E38,Unidades,0))&lt;&gt;INDEX(InsBase,MATCH(B38,ListaInsumos,0)),"Unidad incompatible",IF(A38="","Falta fecha","OK")))))</f>
        <v/>
      </c>
      <c r="J38" s="15"/>
    </row>
    <row r="39" customFormat="false" ht="15" hidden="false" customHeight="false" outlineLevel="0" collapsed="false">
      <c r="A39" s="26"/>
      <c r="B39" s="15"/>
      <c r="C39" s="15"/>
      <c r="D39" s="27"/>
      <c r="E39" s="15"/>
      <c r="F39" s="28"/>
      <c r="G39" s="25" t="str">
        <f aca="true">IF(OR(D39="",E39=""),"",IFERROR(D39*INDEX(UnidadesFactor,MATCH(E39,Unidades,0)),""))</f>
        <v/>
      </c>
      <c r="H39" s="17" t="str">
        <f aca="false">IF(I39&lt;&gt;"OK","",IF(G39=0,"",F39/G39))</f>
        <v/>
      </c>
      <c r="I39" s="20" t="str">
        <f aca="true">IF(B39="","",IF(ISNA(MATCH(B39,ListaInsumos,0)),"Insumo no está en Insumos",IF(OR(D39="",E39="",F39=""),"Faltan datos",IF(INDEX(UnidadesBase,MATCH(E39,Unidades,0))&lt;&gt;INDEX(InsBase,MATCH(B39,ListaInsumos,0)),"Unidad incompatible",IF(A39="","Falta fecha","OK")))))</f>
        <v/>
      </c>
      <c r="J39" s="15"/>
    </row>
    <row r="40" customFormat="false" ht="15" hidden="false" customHeight="false" outlineLevel="0" collapsed="false">
      <c r="A40" s="26"/>
      <c r="B40" s="15"/>
      <c r="C40" s="15"/>
      <c r="D40" s="27"/>
      <c r="E40" s="15"/>
      <c r="F40" s="28"/>
      <c r="G40" s="25" t="str">
        <f aca="true">IF(OR(D40="",E40=""),"",IFERROR(D40*INDEX(UnidadesFactor,MATCH(E40,Unidades,0)),""))</f>
        <v/>
      </c>
      <c r="H40" s="17" t="str">
        <f aca="false">IF(I40&lt;&gt;"OK","",IF(G40=0,"",F40/G40))</f>
        <v/>
      </c>
      <c r="I40" s="20" t="str">
        <f aca="true">IF(B40="","",IF(ISNA(MATCH(B40,ListaInsumos,0)),"Insumo no está en Insumos",IF(OR(D40="",E40="",F40=""),"Faltan datos",IF(INDEX(UnidadesBase,MATCH(E40,Unidades,0))&lt;&gt;INDEX(InsBase,MATCH(B40,ListaInsumos,0)),"Unidad incompatible",IF(A40="","Falta fecha","OK")))))</f>
        <v/>
      </c>
      <c r="J40" s="15"/>
    </row>
    <row r="41" customFormat="false" ht="15" hidden="false" customHeight="false" outlineLevel="0" collapsed="false">
      <c r="A41" s="26"/>
      <c r="B41" s="15"/>
      <c r="C41" s="15"/>
      <c r="D41" s="27"/>
      <c r="E41" s="15"/>
      <c r="F41" s="28"/>
      <c r="G41" s="25" t="str">
        <f aca="true">IF(OR(D41="",E41=""),"",IFERROR(D41*INDEX(UnidadesFactor,MATCH(E41,Unidades,0)),""))</f>
        <v/>
      </c>
      <c r="H41" s="17" t="str">
        <f aca="false">IF(I41&lt;&gt;"OK","",IF(G41=0,"",F41/G41))</f>
        <v/>
      </c>
      <c r="I41" s="20" t="str">
        <f aca="true">IF(B41="","",IF(ISNA(MATCH(B41,ListaInsumos,0)),"Insumo no está en Insumos",IF(OR(D41="",E41="",F41=""),"Faltan datos",IF(INDEX(UnidadesBase,MATCH(E41,Unidades,0))&lt;&gt;INDEX(InsBase,MATCH(B41,ListaInsumos,0)),"Unidad incompatible",IF(A41="","Falta fecha","OK")))))</f>
        <v/>
      </c>
      <c r="J41" s="15"/>
    </row>
    <row r="42" customFormat="false" ht="15" hidden="false" customHeight="false" outlineLevel="0" collapsed="false">
      <c r="A42" s="26"/>
      <c r="B42" s="15"/>
      <c r="C42" s="15"/>
      <c r="D42" s="27"/>
      <c r="E42" s="15"/>
      <c r="F42" s="28"/>
      <c r="G42" s="25" t="str">
        <f aca="true">IF(OR(D42="",E42=""),"",IFERROR(D42*INDEX(UnidadesFactor,MATCH(E42,Unidades,0)),""))</f>
        <v/>
      </c>
      <c r="H42" s="17" t="str">
        <f aca="false">IF(I42&lt;&gt;"OK","",IF(G42=0,"",F42/G42))</f>
        <v/>
      </c>
      <c r="I42" s="20" t="str">
        <f aca="true">IF(B42="","",IF(ISNA(MATCH(B42,ListaInsumos,0)),"Insumo no está en Insumos",IF(OR(D42="",E42="",F42=""),"Faltan datos",IF(INDEX(UnidadesBase,MATCH(E42,Unidades,0))&lt;&gt;INDEX(InsBase,MATCH(B42,ListaInsumos,0)),"Unidad incompatible",IF(A42="","Falta fecha","OK")))))</f>
        <v/>
      </c>
      <c r="J42" s="15"/>
    </row>
    <row r="43" customFormat="false" ht="15" hidden="false" customHeight="false" outlineLevel="0" collapsed="false">
      <c r="A43" s="26"/>
      <c r="B43" s="15"/>
      <c r="C43" s="15"/>
      <c r="D43" s="27"/>
      <c r="E43" s="15"/>
      <c r="F43" s="28"/>
      <c r="G43" s="25" t="str">
        <f aca="true">IF(OR(D43="",E43=""),"",IFERROR(D43*INDEX(UnidadesFactor,MATCH(E43,Unidades,0)),""))</f>
        <v/>
      </c>
      <c r="H43" s="17" t="str">
        <f aca="false">IF(I43&lt;&gt;"OK","",IF(G43=0,"",F43/G43))</f>
        <v/>
      </c>
      <c r="I43" s="20" t="str">
        <f aca="true">IF(B43="","",IF(ISNA(MATCH(B43,ListaInsumos,0)),"Insumo no está en Insumos",IF(OR(D43="",E43="",F43=""),"Faltan datos",IF(INDEX(UnidadesBase,MATCH(E43,Unidades,0))&lt;&gt;INDEX(InsBase,MATCH(B43,ListaInsumos,0)),"Unidad incompatible",IF(A43="","Falta fecha","OK")))))</f>
        <v/>
      </c>
      <c r="J43" s="15"/>
    </row>
    <row r="44" customFormat="false" ht="15" hidden="false" customHeight="false" outlineLevel="0" collapsed="false">
      <c r="A44" s="26"/>
      <c r="B44" s="15"/>
      <c r="C44" s="15"/>
      <c r="D44" s="27"/>
      <c r="E44" s="15"/>
      <c r="F44" s="28"/>
      <c r="G44" s="25" t="str">
        <f aca="true">IF(OR(D44="",E44=""),"",IFERROR(D44*INDEX(UnidadesFactor,MATCH(E44,Unidades,0)),""))</f>
        <v/>
      </c>
      <c r="H44" s="17" t="str">
        <f aca="false">IF(I44&lt;&gt;"OK","",IF(G44=0,"",F44/G44))</f>
        <v/>
      </c>
      <c r="I44" s="20" t="str">
        <f aca="true">IF(B44="","",IF(ISNA(MATCH(B44,ListaInsumos,0)),"Insumo no está en Insumos",IF(OR(D44="",E44="",F44=""),"Faltan datos",IF(INDEX(UnidadesBase,MATCH(E44,Unidades,0))&lt;&gt;INDEX(InsBase,MATCH(B44,ListaInsumos,0)),"Unidad incompatible",IF(A44="","Falta fecha","OK")))))</f>
        <v/>
      </c>
      <c r="J44" s="15"/>
    </row>
    <row r="45" customFormat="false" ht="15" hidden="false" customHeight="false" outlineLevel="0" collapsed="false">
      <c r="A45" s="26"/>
      <c r="B45" s="15"/>
      <c r="C45" s="15"/>
      <c r="D45" s="27"/>
      <c r="E45" s="15"/>
      <c r="F45" s="28"/>
      <c r="G45" s="25" t="str">
        <f aca="true">IF(OR(D45="",E45=""),"",IFERROR(D45*INDEX(UnidadesFactor,MATCH(E45,Unidades,0)),""))</f>
        <v/>
      </c>
      <c r="H45" s="17" t="str">
        <f aca="false">IF(I45&lt;&gt;"OK","",IF(G45=0,"",F45/G45))</f>
        <v/>
      </c>
      <c r="I45" s="20" t="str">
        <f aca="true">IF(B45="","",IF(ISNA(MATCH(B45,ListaInsumos,0)),"Insumo no está en Insumos",IF(OR(D45="",E45="",F45=""),"Faltan datos",IF(INDEX(UnidadesBase,MATCH(E45,Unidades,0))&lt;&gt;INDEX(InsBase,MATCH(B45,ListaInsumos,0)),"Unidad incompatible",IF(A45="","Falta fecha","OK")))))</f>
        <v/>
      </c>
      <c r="J45" s="15"/>
    </row>
    <row r="46" customFormat="false" ht="15" hidden="false" customHeight="false" outlineLevel="0" collapsed="false">
      <c r="A46" s="26"/>
      <c r="B46" s="15"/>
      <c r="C46" s="15"/>
      <c r="D46" s="27"/>
      <c r="E46" s="15"/>
      <c r="F46" s="28"/>
      <c r="G46" s="25" t="str">
        <f aca="true">IF(OR(D46="",E46=""),"",IFERROR(D46*INDEX(UnidadesFactor,MATCH(E46,Unidades,0)),""))</f>
        <v/>
      </c>
      <c r="H46" s="17" t="str">
        <f aca="false">IF(I46&lt;&gt;"OK","",IF(G46=0,"",F46/G46))</f>
        <v/>
      </c>
      <c r="I46" s="20" t="str">
        <f aca="true">IF(B46="","",IF(ISNA(MATCH(B46,ListaInsumos,0)),"Insumo no está en Insumos",IF(OR(D46="",E46="",F46=""),"Faltan datos",IF(INDEX(UnidadesBase,MATCH(E46,Unidades,0))&lt;&gt;INDEX(InsBase,MATCH(B46,ListaInsumos,0)),"Unidad incompatible",IF(A46="","Falta fecha","OK")))))</f>
        <v/>
      </c>
      <c r="J46" s="15"/>
    </row>
    <row r="47" customFormat="false" ht="15" hidden="false" customHeight="false" outlineLevel="0" collapsed="false">
      <c r="A47" s="26"/>
      <c r="B47" s="15"/>
      <c r="C47" s="15"/>
      <c r="D47" s="27"/>
      <c r="E47" s="15"/>
      <c r="F47" s="28"/>
      <c r="G47" s="25" t="str">
        <f aca="true">IF(OR(D47="",E47=""),"",IFERROR(D47*INDEX(UnidadesFactor,MATCH(E47,Unidades,0)),""))</f>
        <v/>
      </c>
      <c r="H47" s="17" t="str">
        <f aca="false">IF(I47&lt;&gt;"OK","",IF(G47=0,"",F47/G47))</f>
        <v/>
      </c>
      <c r="I47" s="20" t="str">
        <f aca="true">IF(B47="","",IF(ISNA(MATCH(B47,ListaInsumos,0)),"Insumo no está en Insumos",IF(OR(D47="",E47="",F47=""),"Faltan datos",IF(INDEX(UnidadesBase,MATCH(E47,Unidades,0))&lt;&gt;INDEX(InsBase,MATCH(B47,ListaInsumos,0)),"Unidad incompatible",IF(A47="","Falta fecha","OK")))))</f>
        <v/>
      </c>
      <c r="J47" s="15"/>
    </row>
    <row r="48" customFormat="false" ht="15" hidden="false" customHeight="false" outlineLevel="0" collapsed="false">
      <c r="A48" s="26"/>
      <c r="B48" s="15"/>
      <c r="C48" s="15"/>
      <c r="D48" s="27"/>
      <c r="E48" s="15"/>
      <c r="F48" s="28"/>
      <c r="G48" s="25" t="str">
        <f aca="true">IF(OR(D48="",E48=""),"",IFERROR(D48*INDEX(UnidadesFactor,MATCH(E48,Unidades,0)),""))</f>
        <v/>
      </c>
      <c r="H48" s="17" t="str">
        <f aca="false">IF(I48&lt;&gt;"OK","",IF(G48=0,"",F48/G48))</f>
        <v/>
      </c>
      <c r="I48" s="20" t="str">
        <f aca="true">IF(B48="","",IF(ISNA(MATCH(B48,ListaInsumos,0)),"Insumo no está en Insumos",IF(OR(D48="",E48="",F48=""),"Faltan datos",IF(INDEX(UnidadesBase,MATCH(E48,Unidades,0))&lt;&gt;INDEX(InsBase,MATCH(B48,ListaInsumos,0)),"Unidad incompatible",IF(A48="","Falta fecha","OK")))))</f>
        <v/>
      </c>
      <c r="J48" s="15"/>
    </row>
    <row r="49" customFormat="false" ht="15" hidden="false" customHeight="false" outlineLevel="0" collapsed="false">
      <c r="A49" s="26"/>
      <c r="B49" s="15"/>
      <c r="C49" s="15"/>
      <c r="D49" s="27"/>
      <c r="E49" s="15"/>
      <c r="F49" s="28"/>
      <c r="G49" s="25" t="str">
        <f aca="true">IF(OR(D49="",E49=""),"",IFERROR(D49*INDEX(UnidadesFactor,MATCH(E49,Unidades,0)),""))</f>
        <v/>
      </c>
      <c r="H49" s="17" t="str">
        <f aca="false">IF(I49&lt;&gt;"OK","",IF(G49=0,"",F49/G49))</f>
        <v/>
      </c>
      <c r="I49" s="20" t="str">
        <f aca="true">IF(B49="","",IF(ISNA(MATCH(B49,ListaInsumos,0)),"Insumo no está en Insumos",IF(OR(D49="",E49="",F49=""),"Faltan datos",IF(INDEX(UnidadesBase,MATCH(E49,Unidades,0))&lt;&gt;INDEX(InsBase,MATCH(B49,ListaInsumos,0)),"Unidad incompatible",IF(A49="","Falta fecha","OK")))))</f>
        <v/>
      </c>
      <c r="J49" s="15"/>
    </row>
    <row r="50" customFormat="false" ht="15" hidden="false" customHeight="false" outlineLevel="0" collapsed="false">
      <c r="A50" s="26"/>
      <c r="B50" s="15"/>
      <c r="C50" s="15"/>
      <c r="D50" s="27"/>
      <c r="E50" s="15"/>
      <c r="F50" s="28"/>
      <c r="G50" s="25" t="str">
        <f aca="true">IF(OR(D50="",E50=""),"",IFERROR(D50*INDEX(UnidadesFactor,MATCH(E50,Unidades,0)),""))</f>
        <v/>
      </c>
      <c r="H50" s="17" t="str">
        <f aca="false">IF(I50&lt;&gt;"OK","",IF(G50=0,"",F50/G50))</f>
        <v/>
      </c>
      <c r="I50" s="20" t="str">
        <f aca="true">IF(B50="","",IF(ISNA(MATCH(B50,ListaInsumos,0)),"Insumo no está en Insumos",IF(OR(D50="",E50="",F50=""),"Faltan datos",IF(INDEX(UnidadesBase,MATCH(E50,Unidades,0))&lt;&gt;INDEX(InsBase,MATCH(B50,ListaInsumos,0)),"Unidad incompatible",IF(A50="","Falta fecha","OK")))))</f>
        <v/>
      </c>
      <c r="J50" s="15"/>
    </row>
    <row r="51" customFormat="false" ht="15" hidden="false" customHeight="false" outlineLevel="0" collapsed="false">
      <c r="A51" s="26"/>
      <c r="B51" s="15"/>
      <c r="C51" s="15"/>
      <c r="D51" s="27"/>
      <c r="E51" s="15"/>
      <c r="F51" s="28"/>
      <c r="G51" s="25" t="str">
        <f aca="true">IF(OR(D51="",E51=""),"",IFERROR(D51*INDEX(UnidadesFactor,MATCH(E51,Unidades,0)),""))</f>
        <v/>
      </c>
      <c r="H51" s="17" t="str">
        <f aca="false">IF(I51&lt;&gt;"OK","",IF(G51=0,"",F51/G51))</f>
        <v/>
      </c>
      <c r="I51" s="20" t="str">
        <f aca="true">IF(B51="","",IF(ISNA(MATCH(B51,ListaInsumos,0)),"Insumo no está en Insumos",IF(OR(D51="",E51="",F51=""),"Faltan datos",IF(INDEX(UnidadesBase,MATCH(E51,Unidades,0))&lt;&gt;INDEX(InsBase,MATCH(B51,ListaInsumos,0)),"Unidad incompatible",IF(A51="","Falta fecha","OK")))))</f>
        <v/>
      </c>
      <c r="J51" s="15"/>
    </row>
    <row r="52" customFormat="false" ht="15" hidden="false" customHeight="false" outlineLevel="0" collapsed="false">
      <c r="A52" s="26"/>
      <c r="B52" s="15"/>
      <c r="C52" s="15"/>
      <c r="D52" s="27"/>
      <c r="E52" s="15"/>
      <c r="F52" s="28"/>
      <c r="G52" s="25" t="str">
        <f aca="true">IF(OR(D52="",E52=""),"",IFERROR(D52*INDEX(UnidadesFactor,MATCH(E52,Unidades,0)),""))</f>
        <v/>
      </c>
      <c r="H52" s="17" t="str">
        <f aca="false">IF(I52&lt;&gt;"OK","",IF(G52=0,"",F52/G52))</f>
        <v/>
      </c>
      <c r="I52" s="20" t="str">
        <f aca="true">IF(B52="","",IF(ISNA(MATCH(B52,ListaInsumos,0)),"Insumo no está en Insumos",IF(OR(D52="",E52="",F52=""),"Faltan datos",IF(INDEX(UnidadesBase,MATCH(E52,Unidades,0))&lt;&gt;INDEX(InsBase,MATCH(B52,ListaInsumos,0)),"Unidad incompatible",IF(A52="","Falta fecha","OK")))))</f>
        <v/>
      </c>
      <c r="J52" s="15"/>
    </row>
    <row r="53" customFormat="false" ht="15" hidden="false" customHeight="false" outlineLevel="0" collapsed="false">
      <c r="A53" s="26"/>
      <c r="B53" s="15"/>
      <c r="C53" s="15"/>
      <c r="D53" s="27"/>
      <c r="E53" s="15"/>
      <c r="F53" s="28"/>
      <c r="G53" s="25" t="str">
        <f aca="true">IF(OR(D53="",E53=""),"",IFERROR(D53*INDEX(UnidadesFactor,MATCH(E53,Unidades,0)),""))</f>
        <v/>
      </c>
      <c r="H53" s="17" t="str">
        <f aca="false">IF(I53&lt;&gt;"OK","",IF(G53=0,"",F53/G53))</f>
        <v/>
      </c>
      <c r="I53" s="20" t="str">
        <f aca="true">IF(B53="","",IF(ISNA(MATCH(B53,ListaInsumos,0)),"Insumo no está en Insumos",IF(OR(D53="",E53="",F53=""),"Faltan datos",IF(INDEX(UnidadesBase,MATCH(E53,Unidades,0))&lt;&gt;INDEX(InsBase,MATCH(B53,ListaInsumos,0)),"Unidad incompatible",IF(A53="","Falta fecha","OK")))))</f>
        <v/>
      </c>
      <c r="J53" s="15"/>
    </row>
    <row r="54" customFormat="false" ht="15" hidden="false" customHeight="false" outlineLevel="0" collapsed="false">
      <c r="A54" s="26"/>
      <c r="B54" s="15"/>
      <c r="C54" s="15"/>
      <c r="D54" s="27"/>
      <c r="E54" s="15"/>
      <c r="F54" s="28"/>
      <c r="G54" s="25" t="str">
        <f aca="true">IF(OR(D54="",E54=""),"",IFERROR(D54*INDEX(UnidadesFactor,MATCH(E54,Unidades,0)),""))</f>
        <v/>
      </c>
      <c r="H54" s="17" t="str">
        <f aca="false">IF(I54&lt;&gt;"OK","",IF(G54=0,"",F54/G54))</f>
        <v/>
      </c>
      <c r="I54" s="20" t="str">
        <f aca="true">IF(B54="","",IF(ISNA(MATCH(B54,ListaInsumos,0)),"Insumo no está en Insumos",IF(OR(D54="",E54="",F54=""),"Faltan datos",IF(INDEX(UnidadesBase,MATCH(E54,Unidades,0))&lt;&gt;INDEX(InsBase,MATCH(B54,ListaInsumos,0)),"Unidad incompatible",IF(A54="","Falta fecha","OK")))))</f>
        <v/>
      </c>
      <c r="J54" s="15"/>
    </row>
    <row r="55" customFormat="false" ht="15" hidden="false" customHeight="false" outlineLevel="0" collapsed="false">
      <c r="A55" s="26"/>
      <c r="B55" s="15"/>
      <c r="C55" s="15"/>
      <c r="D55" s="27"/>
      <c r="E55" s="15"/>
      <c r="F55" s="28"/>
      <c r="G55" s="25" t="str">
        <f aca="true">IF(OR(D55="",E55=""),"",IFERROR(D55*INDEX(UnidadesFactor,MATCH(E55,Unidades,0)),""))</f>
        <v/>
      </c>
      <c r="H55" s="17" t="str">
        <f aca="false">IF(I55&lt;&gt;"OK","",IF(G55=0,"",F55/G55))</f>
        <v/>
      </c>
      <c r="I55" s="20" t="str">
        <f aca="true">IF(B55="","",IF(ISNA(MATCH(B55,ListaInsumos,0)),"Insumo no está en Insumos",IF(OR(D55="",E55="",F55=""),"Faltan datos",IF(INDEX(UnidadesBase,MATCH(E55,Unidades,0))&lt;&gt;INDEX(InsBase,MATCH(B55,ListaInsumos,0)),"Unidad incompatible",IF(A55="","Falta fecha","OK")))))</f>
        <v/>
      </c>
      <c r="J55" s="15"/>
    </row>
    <row r="56" customFormat="false" ht="15" hidden="false" customHeight="false" outlineLevel="0" collapsed="false">
      <c r="A56" s="26"/>
      <c r="B56" s="15"/>
      <c r="C56" s="15"/>
      <c r="D56" s="27"/>
      <c r="E56" s="15"/>
      <c r="F56" s="28"/>
      <c r="G56" s="25" t="str">
        <f aca="true">IF(OR(D56="",E56=""),"",IFERROR(D56*INDEX(UnidadesFactor,MATCH(E56,Unidades,0)),""))</f>
        <v/>
      </c>
      <c r="H56" s="17" t="str">
        <f aca="false">IF(I56&lt;&gt;"OK","",IF(G56=0,"",F56/G56))</f>
        <v/>
      </c>
      <c r="I56" s="20" t="str">
        <f aca="true">IF(B56="","",IF(ISNA(MATCH(B56,ListaInsumos,0)),"Insumo no está en Insumos",IF(OR(D56="",E56="",F56=""),"Faltan datos",IF(INDEX(UnidadesBase,MATCH(E56,Unidades,0))&lt;&gt;INDEX(InsBase,MATCH(B56,ListaInsumos,0)),"Unidad incompatible",IF(A56="","Falta fecha","OK")))))</f>
        <v/>
      </c>
      <c r="J56" s="15"/>
    </row>
    <row r="57" customFormat="false" ht="15" hidden="false" customHeight="false" outlineLevel="0" collapsed="false">
      <c r="A57" s="26"/>
      <c r="B57" s="15"/>
      <c r="C57" s="15"/>
      <c r="D57" s="27"/>
      <c r="E57" s="15"/>
      <c r="F57" s="28"/>
      <c r="G57" s="25" t="str">
        <f aca="true">IF(OR(D57="",E57=""),"",IFERROR(D57*INDEX(UnidadesFactor,MATCH(E57,Unidades,0)),""))</f>
        <v/>
      </c>
      <c r="H57" s="17" t="str">
        <f aca="false">IF(I57&lt;&gt;"OK","",IF(G57=0,"",F57/G57))</f>
        <v/>
      </c>
      <c r="I57" s="20" t="str">
        <f aca="true">IF(B57="","",IF(ISNA(MATCH(B57,ListaInsumos,0)),"Insumo no está en Insumos",IF(OR(D57="",E57="",F57=""),"Faltan datos",IF(INDEX(UnidadesBase,MATCH(E57,Unidades,0))&lt;&gt;INDEX(InsBase,MATCH(B57,ListaInsumos,0)),"Unidad incompatible",IF(A57="","Falta fecha","OK")))))</f>
        <v/>
      </c>
      <c r="J57" s="15"/>
    </row>
    <row r="58" customFormat="false" ht="15" hidden="false" customHeight="false" outlineLevel="0" collapsed="false">
      <c r="A58" s="26"/>
      <c r="B58" s="15"/>
      <c r="C58" s="15"/>
      <c r="D58" s="27"/>
      <c r="E58" s="15"/>
      <c r="F58" s="28"/>
      <c r="G58" s="25" t="str">
        <f aca="true">IF(OR(D58="",E58=""),"",IFERROR(D58*INDEX(UnidadesFactor,MATCH(E58,Unidades,0)),""))</f>
        <v/>
      </c>
      <c r="H58" s="17" t="str">
        <f aca="false">IF(I58&lt;&gt;"OK","",IF(G58=0,"",F58/G58))</f>
        <v/>
      </c>
      <c r="I58" s="20" t="str">
        <f aca="true">IF(B58="","",IF(ISNA(MATCH(B58,ListaInsumos,0)),"Insumo no está en Insumos",IF(OR(D58="",E58="",F58=""),"Faltan datos",IF(INDEX(UnidadesBase,MATCH(E58,Unidades,0))&lt;&gt;INDEX(InsBase,MATCH(B58,ListaInsumos,0)),"Unidad incompatible",IF(A58="","Falta fecha","OK")))))</f>
        <v/>
      </c>
      <c r="J58" s="15"/>
    </row>
    <row r="59" customFormat="false" ht="15" hidden="false" customHeight="false" outlineLevel="0" collapsed="false">
      <c r="A59" s="26"/>
      <c r="B59" s="15"/>
      <c r="C59" s="15"/>
      <c r="D59" s="27"/>
      <c r="E59" s="15"/>
      <c r="F59" s="28"/>
      <c r="G59" s="25" t="str">
        <f aca="true">IF(OR(D59="",E59=""),"",IFERROR(D59*INDEX(UnidadesFactor,MATCH(E59,Unidades,0)),""))</f>
        <v/>
      </c>
      <c r="H59" s="17" t="str">
        <f aca="false">IF(I59&lt;&gt;"OK","",IF(G59=0,"",F59/G59))</f>
        <v/>
      </c>
      <c r="I59" s="20" t="str">
        <f aca="true">IF(B59="","",IF(ISNA(MATCH(B59,ListaInsumos,0)),"Insumo no está en Insumos",IF(OR(D59="",E59="",F59=""),"Faltan datos",IF(INDEX(UnidadesBase,MATCH(E59,Unidades,0))&lt;&gt;INDEX(InsBase,MATCH(B59,ListaInsumos,0)),"Unidad incompatible",IF(A59="","Falta fecha","OK")))))</f>
        <v/>
      </c>
      <c r="J59" s="15"/>
    </row>
    <row r="60" customFormat="false" ht="15" hidden="false" customHeight="false" outlineLevel="0" collapsed="false">
      <c r="A60" s="26"/>
      <c r="B60" s="15"/>
      <c r="C60" s="15"/>
      <c r="D60" s="27"/>
      <c r="E60" s="15"/>
      <c r="F60" s="28"/>
      <c r="G60" s="25" t="str">
        <f aca="true">IF(OR(D60="",E60=""),"",IFERROR(D60*INDEX(UnidadesFactor,MATCH(E60,Unidades,0)),""))</f>
        <v/>
      </c>
      <c r="H60" s="17" t="str">
        <f aca="false">IF(I60&lt;&gt;"OK","",IF(G60=0,"",F60/G60))</f>
        <v/>
      </c>
      <c r="I60" s="20" t="str">
        <f aca="true">IF(B60="","",IF(ISNA(MATCH(B60,ListaInsumos,0)),"Insumo no está en Insumos",IF(OR(D60="",E60="",F60=""),"Faltan datos",IF(INDEX(UnidadesBase,MATCH(E60,Unidades,0))&lt;&gt;INDEX(InsBase,MATCH(B60,ListaInsumos,0)),"Unidad incompatible",IF(A60="","Falta fecha","OK")))))</f>
        <v/>
      </c>
      <c r="J60" s="15"/>
    </row>
    <row r="61" customFormat="false" ht="15" hidden="false" customHeight="false" outlineLevel="0" collapsed="false">
      <c r="A61" s="26"/>
      <c r="B61" s="15"/>
      <c r="C61" s="15"/>
      <c r="D61" s="27"/>
      <c r="E61" s="15"/>
      <c r="F61" s="28"/>
      <c r="G61" s="25" t="str">
        <f aca="true">IF(OR(D61="",E61=""),"",IFERROR(D61*INDEX(UnidadesFactor,MATCH(E61,Unidades,0)),""))</f>
        <v/>
      </c>
      <c r="H61" s="17" t="str">
        <f aca="false">IF(I61&lt;&gt;"OK","",IF(G61=0,"",F61/G61))</f>
        <v/>
      </c>
      <c r="I61" s="20" t="str">
        <f aca="true">IF(B61="","",IF(ISNA(MATCH(B61,ListaInsumos,0)),"Insumo no está en Insumos",IF(OR(D61="",E61="",F61=""),"Faltan datos",IF(INDEX(UnidadesBase,MATCH(E61,Unidades,0))&lt;&gt;INDEX(InsBase,MATCH(B61,ListaInsumos,0)),"Unidad incompatible",IF(A61="","Falta fecha","OK")))))</f>
        <v/>
      </c>
      <c r="J61" s="15"/>
    </row>
    <row r="62" customFormat="false" ht="15" hidden="false" customHeight="false" outlineLevel="0" collapsed="false">
      <c r="A62" s="26"/>
      <c r="B62" s="15"/>
      <c r="C62" s="15"/>
      <c r="D62" s="27"/>
      <c r="E62" s="15"/>
      <c r="F62" s="28"/>
      <c r="G62" s="25" t="str">
        <f aca="true">IF(OR(D62="",E62=""),"",IFERROR(D62*INDEX(UnidadesFactor,MATCH(E62,Unidades,0)),""))</f>
        <v/>
      </c>
      <c r="H62" s="17" t="str">
        <f aca="false">IF(I62&lt;&gt;"OK","",IF(G62=0,"",F62/G62))</f>
        <v/>
      </c>
      <c r="I62" s="20" t="str">
        <f aca="true">IF(B62="","",IF(ISNA(MATCH(B62,ListaInsumos,0)),"Insumo no está en Insumos",IF(OR(D62="",E62="",F62=""),"Faltan datos",IF(INDEX(UnidadesBase,MATCH(E62,Unidades,0))&lt;&gt;INDEX(InsBase,MATCH(B62,ListaInsumos,0)),"Unidad incompatible",IF(A62="","Falta fecha","OK")))))</f>
        <v/>
      </c>
      <c r="J62" s="15"/>
    </row>
    <row r="63" customFormat="false" ht="15" hidden="false" customHeight="false" outlineLevel="0" collapsed="false">
      <c r="A63" s="26"/>
      <c r="B63" s="15"/>
      <c r="C63" s="15"/>
      <c r="D63" s="27"/>
      <c r="E63" s="15"/>
      <c r="F63" s="28"/>
      <c r="G63" s="25" t="str">
        <f aca="true">IF(OR(D63="",E63=""),"",IFERROR(D63*INDEX(UnidadesFactor,MATCH(E63,Unidades,0)),""))</f>
        <v/>
      </c>
      <c r="H63" s="17" t="str">
        <f aca="false">IF(I63&lt;&gt;"OK","",IF(G63=0,"",F63/G63))</f>
        <v/>
      </c>
      <c r="I63" s="20" t="str">
        <f aca="true">IF(B63="","",IF(ISNA(MATCH(B63,ListaInsumos,0)),"Insumo no está en Insumos",IF(OR(D63="",E63="",F63=""),"Faltan datos",IF(INDEX(UnidadesBase,MATCH(E63,Unidades,0))&lt;&gt;INDEX(InsBase,MATCH(B63,ListaInsumos,0)),"Unidad incompatible",IF(A63="","Falta fecha","OK")))))</f>
        <v/>
      </c>
      <c r="J63" s="15"/>
    </row>
    <row r="64" customFormat="false" ht="15" hidden="false" customHeight="false" outlineLevel="0" collapsed="false">
      <c r="A64" s="26"/>
      <c r="B64" s="15"/>
      <c r="C64" s="15"/>
      <c r="D64" s="27"/>
      <c r="E64" s="15"/>
      <c r="F64" s="28"/>
      <c r="G64" s="25" t="str">
        <f aca="true">IF(OR(D64="",E64=""),"",IFERROR(D64*INDEX(UnidadesFactor,MATCH(E64,Unidades,0)),""))</f>
        <v/>
      </c>
      <c r="H64" s="17" t="str">
        <f aca="false">IF(I64&lt;&gt;"OK","",IF(G64=0,"",F64/G64))</f>
        <v/>
      </c>
      <c r="I64" s="20" t="str">
        <f aca="true">IF(B64="","",IF(ISNA(MATCH(B64,ListaInsumos,0)),"Insumo no está en Insumos",IF(OR(D64="",E64="",F64=""),"Faltan datos",IF(INDEX(UnidadesBase,MATCH(E64,Unidades,0))&lt;&gt;INDEX(InsBase,MATCH(B64,ListaInsumos,0)),"Unidad incompatible",IF(A64="","Falta fecha","OK")))))</f>
        <v/>
      </c>
      <c r="J64" s="15"/>
    </row>
    <row r="65" customFormat="false" ht="15" hidden="false" customHeight="false" outlineLevel="0" collapsed="false">
      <c r="A65" s="26"/>
      <c r="B65" s="15"/>
      <c r="C65" s="15"/>
      <c r="D65" s="27"/>
      <c r="E65" s="15"/>
      <c r="F65" s="28"/>
      <c r="G65" s="25" t="str">
        <f aca="true">IF(OR(D65="",E65=""),"",IFERROR(D65*INDEX(UnidadesFactor,MATCH(E65,Unidades,0)),""))</f>
        <v/>
      </c>
      <c r="H65" s="17" t="str">
        <f aca="false">IF(I65&lt;&gt;"OK","",IF(G65=0,"",F65/G65))</f>
        <v/>
      </c>
      <c r="I65" s="20" t="str">
        <f aca="true">IF(B65="","",IF(ISNA(MATCH(B65,ListaInsumos,0)),"Insumo no está en Insumos",IF(OR(D65="",E65="",F65=""),"Faltan datos",IF(INDEX(UnidadesBase,MATCH(E65,Unidades,0))&lt;&gt;INDEX(InsBase,MATCH(B65,ListaInsumos,0)),"Unidad incompatible",IF(A65="","Falta fecha","OK")))))</f>
        <v/>
      </c>
      <c r="J65" s="15"/>
    </row>
    <row r="66" customFormat="false" ht="15" hidden="false" customHeight="false" outlineLevel="0" collapsed="false">
      <c r="A66" s="26"/>
      <c r="B66" s="15"/>
      <c r="C66" s="15"/>
      <c r="D66" s="27"/>
      <c r="E66" s="15"/>
      <c r="F66" s="28"/>
      <c r="G66" s="25" t="str">
        <f aca="true">IF(OR(D66="",E66=""),"",IFERROR(D66*INDEX(UnidadesFactor,MATCH(E66,Unidades,0)),""))</f>
        <v/>
      </c>
      <c r="H66" s="17" t="str">
        <f aca="false">IF(I66&lt;&gt;"OK","",IF(G66=0,"",F66/G66))</f>
        <v/>
      </c>
      <c r="I66" s="20" t="str">
        <f aca="true">IF(B66="","",IF(ISNA(MATCH(B66,ListaInsumos,0)),"Insumo no está en Insumos",IF(OR(D66="",E66="",F66=""),"Faltan datos",IF(INDEX(UnidadesBase,MATCH(E66,Unidades,0))&lt;&gt;INDEX(InsBase,MATCH(B66,ListaInsumos,0)),"Unidad incompatible",IF(A66="","Falta fecha","OK")))))</f>
        <v/>
      </c>
      <c r="J66" s="15"/>
    </row>
    <row r="67" customFormat="false" ht="15" hidden="false" customHeight="false" outlineLevel="0" collapsed="false">
      <c r="A67" s="26"/>
      <c r="B67" s="15"/>
      <c r="C67" s="15"/>
      <c r="D67" s="27"/>
      <c r="E67" s="15"/>
      <c r="F67" s="28"/>
      <c r="G67" s="25" t="str">
        <f aca="true">IF(OR(D67="",E67=""),"",IFERROR(D67*INDEX(UnidadesFactor,MATCH(E67,Unidades,0)),""))</f>
        <v/>
      </c>
      <c r="H67" s="17" t="str">
        <f aca="false">IF(I67&lt;&gt;"OK","",IF(G67=0,"",F67/G67))</f>
        <v/>
      </c>
      <c r="I67" s="20" t="str">
        <f aca="true">IF(B67="","",IF(ISNA(MATCH(B67,ListaInsumos,0)),"Insumo no está en Insumos",IF(OR(D67="",E67="",F67=""),"Faltan datos",IF(INDEX(UnidadesBase,MATCH(E67,Unidades,0))&lt;&gt;INDEX(InsBase,MATCH(B67,ListaInsumos,0)),"Unidad incompatible",IF(A67="","Falta fecha","OK")))))</f>
        <v/>
      </c>
      <c r="J67" s="15"/>
    </row>
    <row r="68" customFormat="false" ht="15" hidden="false" customHeight="false" outlineLevel="0" collapsed="false">
      <c r="A68" s="26"/>
      <c r="B68" s="15"/>
      <c r="C68" s="15"/>
      <c r="D68" s="27"/>
      <c r="E68" s="15"/>
      <c r="F68" s="28"/>
      <c r="G68" s="25" t="str">
        <f aca="true">IF(OR(D68="",E68=""),"",IFERROR(D68*INDEX(UnidadesFactor,MATCH(E68,Unidades,0)),""))</f>
        <v/>
      </c>
      <c r="H68" s="17" t="str">
        <f aca="false">IF(I68&lt;&gt;"OK","",IF(G68=0,"",F68/G68))</f>
        <v/>
      </c>
      <c r="I68" s="20" t="str">
        <f aca="true">IF(B68="","",IF(ISNA(MATCH(B68,ListaInsumos,0)),"Insumo no está en Insumos",IF(OR(D68="",E68="",F68=""),"Faltan datos",IF(INDEX(UnidadesBase,MATCH(E68,Unidades,0))&lt;&gt;INDEX(InsBase,MATCH(B68,ListaInsumos,0)),"Unidad incompatible",IF(A68="","Falta fecha","OK")))))</f>
        <v/>
      </c>
      <c r="J68" s="15"/>
    </row>
    <row r="69" customFormat="false" ht="15" hidden="false" customHeight="false" outlineLevel="0" collapsed="false">
      <c r="A69" s="26"/>
      <c r="B69" s="15"/>
      <c r="C69" s="15"/>
      <c r="D69" s="27"/>
      <c r="E69" s="15"/>
      <c r="F69" s="28"/>
      <c r="G69" s="25" t="str">
        <f aca="true">IF(OR(D69="",E69=""),"",IFERROR(D69*INDEX(UnidadesFactor,MATCH(E69,Unidades,0)),""))</f>
        <v/>
      </c>
      <c r="H69" s="17" t="str">
        <f aca="false">IF(I69&lt;&gt;"OK","",IF(G69=0,"",F69/G69))</f>
        <v/>
      </c>
      <c r="I69" s="20" t="str">
        <f aca="true">IF(B69="","",IF(ISNA(MATCH(B69,ListaInsumos,0)),"Insumo no está en Insumos",IF(OR(D69="",E69="",F69=""),"Faltan datos",IF(INDEX(UnidadesBase,MATCH(E69,Unidades,0))&lt;&gt;INDEX(InsBase,MATCH(B69,ListaInsumos,0)),"Unidad incompatible",IF(A69="","Falta fecha","OK")))))</f>
        <v/>
      </c>
      <c r="J69" s="15"/>
    </row>
    <row r="70" customFormat="false" ht="15" hidden="false" customHeight="false" outlineLevel="0" collapsed="false">
      <c r="A70" s="26"/>
      <c r="B70" s="15"/>
      <c r="C70" s="15"/>
      <c r="D70" s="27"/>
      <c r="E70" s="15"/>
      <c r="F70" s="28"/>
      <c r="G70" s="25" t="str">
        <f aca="true">IF(OR(D70="",E70=""),"",IFERROR(D70*INDEX(UnidadesFactor,MATCH(E70,Unidades,0)),""))</f>
        <v/>
      </c>
      <c r="H70" s="17" t="str">
        <f aca="false">IF(I70&lt;&gt;"OK","",IF(G70=0,"",F70/G70))</f>
        <v/>
      </c>
      <c r="I70" s="20" t="str">
        <f aca="true">IF(B70="","",IF(ISNA(MATCH(B70,ListaInsumos,0)),"Insumo no está en Insumos",IF(OR(D70="",E70="",F70=""),"Faltan datos",IF(INDEX(UnidadesBase,MATCH(E70,Unidades,0))&lt;&gt;INDEX(InsBase,MATCH(B70,ListaInsumos,0)),"Unidad incompatible",IF(A70="","Falta fecha","OK")))))</f>
        <v/>
      </c>
      <c r="J70" s="15"/>
    </row>
    <row r="71" customFormat="false" ht="15" hidden="false" customHeight="false" outlineLevel="0" collapsed="false">
      <c r="A71" s="26"/>
      <c r="B71" s="15"/>
      <c r="C71" s="15"/>
      <c r="D71" s="27"/>
      <c r="E71" s="15"/>
      <c r="F71" s="28"/>
      <c r="G71" s="25" t="str">
        <f aca="true">IF(OR(D71="",E71=""),"",IFERROR(D71*INDEX(UnidadesFactor,MATCH(E71,Unidades,0)),""))</f>
        <v/>
      </c>
      <c r="H71" s="17" t="str">
        <f aca="false">IF(I71&lt;&gt;"OK","",IF(G71=0,"",F71/G71))</f>
        <v/>
      </c>
      <c r="I71" s="20" t="str">
        <f aca="true">IF(B71="","",IF(ISNA(MATCH(B71,ListaInsumos,0)),"Insumo no está en Insumos",IF(OR(D71="",E71="",F71=""),"Faltan datos",IF(INDEX(UnidadesBase,MATCH(E71,Unidades,0))&lt;&gt;INDEX(InsBase,MATCH(B71,ListaInsumos,0)),"Unidad incompatible",IF(A71="","Falta fecha","OK")))))</f>
        <v/>
      </c>
      <c r="J71" s="15"/>
    </row>
    <row r="72" customFormat="false" ht="15" hidden="false" customHeight="false" outlineLevel="0" collapsed="false">
      <c r="A72" s="26"/>
      <c r="B72" s="15"/>
      <c r="C72" s="15"/>
      <c r="D72" s="27"/>
      <c r="E72" s="15"/>
      <c r="F72" s="28"/>
      <c r="G72" s="25" t="str">
        <f aca="true">IF(OR(D72="",E72=""),"",IFERROR(D72*INDEX(UnidadesFactor,MATCH(E72,Unidades,0)),""))</f>
        <v/>
      </c>
      <c r="H72" s="17" t="str">
        <f aca="false">IF(I72&lt;&gt;"OK","",IF(G72=0,"",F72/G72))</f>
        <v/>
      </c>
      <c r="I72" s="20" t="str">
        <f aca="true">IF(B72="","",IF(ISNA(MATCH(B72,ListaInsumos,0)),"Insumo no está en Insumos",IF(OR(D72="",E72="",F72=""),"Faltan datos",IF(INDEX(UnidadesBase,MATCH(E72,Unidades,0))&lt;&gt;INDEX(InsBase,MATCH(B72,ListaInsumos,0)),"Unidad incompatible",IF(A72="","Falta fecha","OK")))))</f>
        <v/>
      </c>
      <c r="J72" s="15"/>
    </row>
    <row r="73" customFormat="false" ht="15" hidden="false" customHeight="false" outlineLevel="0" collapsed="false">
      <c r="A73" s="26"/>
      <c r="B73" s="15"/>
      <c r="C73" s="15"/>
      <c r="D73" s="27"/>
      <c r="E73" s="15"/>
      <c r="F73" s="28"/>
      <c r="G73" s="25" t="str">
        <f aca="true">IF(OR(D73="",E73=""),"",IFERROR(D73*INDEX(UnidadesFactor,MATCH(E73,Unidades,0)),""))</f>
        <v/>
      </c>
      <c r="H73" s="17" t="str">
        <f aca="false">IF(I73&lt;&gt;"OK","",IF(G73=0,"",F73/G73))</f>
        <v/>
      </c>
      <c r="I73" s="20" t="str">
        <f aca="true">IF(B73="","",IF(ISNA(MATCH(B73,ListaInsumos,0)),"Insumo no está en Insumos",IF(OR(D73="",E73="",F73=""),"Faltan datos",IF(INDEX(UnidadesBase,MATCH(E73,Unidades,0))&lt;&gt;INDEX(InsBase,MATCH(B73,ListaInsumos,0)),"Unidad incompatible",IF(A73="","Falta fecha","OK")))))</f>
        <v/>
      </c>
      <c r="J73" s="15"/>
    </row>
    <row r="74" customFormat="false" ht="15" hidden="false" customHeight="false" outlineLevel="0" collapsed="false">
      <c r="A74" s="26"/>
      <c r="B74" s="15"/>
      <c r="C74" s="15"/>
      <c r="D74" s="27"/>
      <c r="E74" s="15"/>
      <c r="F74" s="28"/>
      <c r="G74" s="25" t="str">
        <f aca="true">IF(OR(D74="",E74=""),"",IFERROR(D74*INDEX(UnidadesFactor,MATCH(E74,Unidades,0)),""))</f>
        <v/>
      </c>
      <c r="H74" s="17" t="str">
        <f aca="false">IF(I74&lt;&gt;"OK","",IF(G74=0,"",F74/G74))</f>
        <v/>
      </c>
      <c r="I74" s="20" t="str">
        <f aca="true">IF(B74="","",IF(ISNA(MATCH(B74,ListaInsumos,0)),"Insumo no está en Insumos",IF(OR(D74="",E74="",F74=""),"Faltan datos",IF(INDEX(UnidadesBase,MATCH(E74,Unidades,0))&lt;&gt;INDEX(InsBase,MATCH(B74,ListaInsumos,0)),"Unidad incompatible",IF(A74="","Falta fecha","OK")))))</f>
        <v/>
      </c>
      <c r="J74" s="15"/>
    </row>
    <row r="75" customFormat="false" ht="15" hidden="false" customHeight="false" outlineLevel="0" collapsed="false">
      <c r="A75" s="26"/>
      <c r="B75" s="15"/>
      <c r="C75" s="15"/>
      <c r="D75" s="27"/>
      <c r="E75" s="15"/>
      <c r="F75" s="28"/>
      <c r="G75" s="25" t="str">
        <f aca="true">IF(OR(D75="",E75=""),"",IFERROR(D75*INDEX(UnidadesFactor,MATCH(E75,Unidades,0)),""))</f>
        <v/>
      </c>
      <c r="H75" s="17" t="str">
        <f aca="false">IF(I75&lt;&gt;"OK","",IF(G75=0,"",F75/G75))</f>
        <v/>
      </c>
      <c r="I75" s="20" t="str">
        <f aca="true">IF(B75="","",IF(ISNA(MATCH(B75,ListaInsumos,0)),"Insumo no está en Insumos",IF(OR(D75="",E75="",F75=""),"Faltan datos",IF(INDEX(UnidadesBase,MATCH(E75,Unidades,0))&lt;&gt;INDEX(InsBase,MATCH(B75,ListaInsumos,0)),"Unidad incompatible",IF(A75="","Falta fecha","OK")))))</f>
        <v/>
      </c>
      <c r="J75" s="15"/>
    </row>
    <row r="76" customFormat="false" ht="15" hidden="false" customHeight="false" outlineLevel="0" collapsed="false">
      <c r="A76" s="26"/>
      <c r="B76" s="15"/>
      <c r="C76" s="15"/>
      <c r="D76" s="27"/>
      <c r="E76" s="15"/>
      <c r="F76" s="28"/>
      <c r="G76" s="25" t="str">
        <f aca="true">IF(OR(D76="",E76=""),"",IFERROR(D76*INDEX(UnidadesFactor,MATCH(E76,Unidades,0)),""))</f>
        <v/>
      </c>
      <c r="H76" s="17" t="str">
        <f aca="false">IF(I76&lt;&gt;"OK","",IF(G76=0,"",F76/G76))</f>
        <v/>
      </c>
      <c r="I76" s="20" t="str">
        <f aca="true">IF(B76="","",IF(ISNA(MATCH(B76,ListaInsumos,0)),"Insumo no está en Insumos",IF(OR(D76="",E76="",F76=""),"Faltan datos",IF(INDEX(UnidadesBase,MATCH(E76,Unidades,0))&lt;&gt;INDEX(InsBase,MATCH(B76,ListaInsumos,0)),"Unidad incompatible",IF(A76="","Falta fecha","OK")))))</f>
        <v/>
      </c>
      <c r="J76" s="15"/>
    </row>
    <row r="77" customFormat="false" ht="15" hidden="false" customHeight="false" outlineLevel="0" collapsed="false">
      <c r="A77" s="26"/>
      <c r="B77" s="15"/>
      <c r="C77" s="15"/>
      <c r="D77" s="27"/>
      <c r="E77" s="15"/>
      <c r="F77" s="28"/>
      <c r="G77" s="25" t="str">
        <f aca="true">IF(OR(D77="",E77=""),"",IFERROR(D77*INDEX(UnidadesFactor,MATCH(E77,Unidades,0)),""))</f>
        <v/>
      </c>
      <c r="H77" s="17" t="str">
        <f aca="false">IF(I77&lt;&gt;"OK","",IF(G77=0,"",F77/G77))</f>
        <v/>
      </c>
      <c r="I77" s="20" t="str">
        <f aca="true">IF(B77="","",IF(ISNA(MATCH(B77,ListaInsumos,0)),"Insumo no está en Insumos",IF(OR(D77="",E77="",F77=""),"Faltan datos",IF(INDEX(UnidadesBase,MATCH(E77,Unidades,0))&lt;&gt;INDEX(InsBase,MATCH(B77,ListaInsumos,0)),"Unidad incompatible",IF(A77="","Falta fecha","OK")))))</f>
        <v/>
      </c>
      <c r="J77" s="15"/>
    </row>
    <row r="78" customFormat="false" ht="15" hidden="false" customHeight="false" outlineLevel="0" collapsed="false">
      <c r="A78" s="26"/>
      <c r="B78" s="15"/>
      <c r="C78" s="15"/>
      <c r="D78" s="27"/>
      <c r="E78" s="15"/>
      <c r="F78" s="28"/>
      <c r="G78" s="25" t="str">
        <f aca="true">IF(OR(D78="",E78=""),"",IFERROR(D78*INDEX(UnidadesFactor,MATCH(E78,Unidades,0)),""))</f>
        <v/>
      </c>
      <c r="H78" s="17" t="str">
        <f aca="false">IF(I78&lt;&gt;"OK","",IF(G78=0,"",F78/G78))</f>
        <v/>
      </c>
      <c r="I78" s="20" t="str">
        <f aca="true">IF(B78="","",IF(ISNA(MATCH(B78,ListaInsumos,0)),"Insumo no está en Insumos",IF(OR(D78="",E78="",F78=""),"Faltan datos",IF(INDEX(UnidadesBase,MATCH(E78,Unidades,0))&lt;&gt;INDEX(InsBase,MATCH(B78,ListaInsumos,0)),"Unidad incompatible",IF(A78="","Falta fecha","OK")))))</f>
        <v/>
      </c>
      <c r="J78" s="15"/>
    </row>
    <row r="79" customFormat="false" ht="15" hidden="false" customHeight="false" outlineLevel="0" collapsed="false">
      <c r="A79" s="26"/>
      <c r="B79" s="15"/>
      <c r="C79" s="15"/>
      <c r="D79" s="27"/>
      <c r="E79" s="15"/>
      <c r="F79" s="28"/>
      <c r="G79" s="25" t="str">
        <f aca="true">IF(OR(D79="",E79=""),"",IFERROR(D79*INDEX(UnidadesFactor,MATCH(E79,Unidades,0)),""))</f>
        <v/>
      </c>
      <c r="H79" s="17" t="str">
        <f aca="false">IF(I79&lt;&gt;"OK","",IF(G79=0,"",F79/G79))</f>
        <v/>
      </c>
      <c r="I79" s="20" t="str">
        <f aca="true">IF(B79="","",IF(ISNA(MATCH(B79,ListaInsumos,0)),"Insumo no está en Insumos",IF(OR(D79="",E79="",F79=""),"Faltan datos",IF(INDEX(UnidadesBase,MATCH(E79,Unidades,0))&lt;&gt;INDEX(InsBase,MATCH(B79,ListaInsumos,0)),"Unidad incompatible",IF(A79="","Falta fecha","OK")))))</f>
        <v/>
      </c>
      <c r="J79" s="15"/>
    </row>
    <row r="80" customFormat="false" ht="15" hidden="false" customHeight="false" outlineLevel="0" collapsed="false">
      <c r="A80" s="26"/>
      <c r="B80" s="15"/>
      <c r="C80" s="15"/>
      <c r="D80" s="27"/>
      <c r="E80" s="15"/>
      <c r="F80" s="28"/>
      <c r="G80" s="25" t="str">
        <f aca="true">IF(OR(D80="",E80=""),"",IFERROR(D80*INDEX(UnidadesFactor,MATCH(E80,Unidades,0)),""))</f>
        <v/>
      </c>
      <c r="H80" s="17" t="str">
        <f aca="false">IF(I80&lt;&gt;"OK","",IF(G80=0,"",F80/G80))</f>
        <v/>
      </c>
      <c r="I80" s="20" t="str">
        <f aca="true">IF(B80="","",IF(ISNA(MATCH(B80,ListaInsumos,0)),"Insumo no está en Insumos",IF(OR(D80="",E80="",F80=""),"Faltan datos",IF(INDEX(UnidadesBase,MATCH(E80,Unidades,0))&lt;&gt;INDEX(InsBase,MATCH(B80,ListaInsumos,0)),"Unidad incompatible",IF(A80="","Falta fecha","OK")))))</f>
        <v/>
      </c>
      <c r="J80" s="15"/>
    </row>
    <row r="81" customFormat="false" ht="15" hidden="false" customHeight="false" outlineLevel="0" collapsed="false">
      <c r="A81" s="26"/>
      <c r="B81" s="15"/>
      <c r="C81" s="15"/>
      <c r="D81" s="27"/>
      <c r="E81" s="15"/>
      <c r="F81" s="28"/>
      <c r="G81" s="25" t="str">
        <f aca="true">IF(OR(D81="",E81=""),"",IFERROR(D81*INDEX(UnidadesFactor,MATCH(E81,Unidades,0)),""))</f>
        <v/>
      </c>
      <c r="H81" s="17" t="str">
        <f aca="false">IF(I81&lt;&gt;"OK","",IF(G81=0,"",F81/G81))</f>
        <v/>
      </c>
      <c r="I81" s="20" t="str">
        <f aca="true">IF(B81="","",IF(ISNA(MATCH(B81,ListaInsumos,0)),"Insumo no está en Insumos",IF(OR(D81="",E81="",F81=""),"Faltan datos",IF(INDEX(UnidadesBase,MATCH(E81,Unidades,0))&lt;&gt;INDEX(InsBase,MATCH(B81,ListaInsumos,0)),"Unidad incompatible",IF(A81="","Falta fecha","OK")))))</f>
        <v/>
      </c>
      <c r="J81" s="15"/>
    </row>
    <row r="82" customFormat="false" ht="15" hidden="false" customHeight="false" outlineLevel="0" collapsed="false">
      <c r="A82" s="26"/>
      <c r="B82" s="15"/>
      <c r="C82" s="15"/>
      <c r="D82" s="27"/>
      <c r="E82" s="15"/>
      <c r="F82" s="28"/>
      <c r="G82" s="25" t="str">
        <f aca="true">IF(OR(D82="",E82=""),"",IFERROR(D82*INDEX(UnidadesFactor,MATCH(E82,Unidades,0)),""))</f>
        <v/>
      </c>
      <c r="H82" s="17" t="str">
        <f aca="false">IF(I82&lt;&gt;"OK","",IF(G82=0,"",F82/G82))</f>
        <v/>
      </c>
      <c r="I82" s="20" t="str">
        <f aca="true">IF(B82="","",IF(ISNA(MATCH(B82,ListaInsumos,0)),"Insumo no está en Insumos",IF(OR(D82="",E82="",F82=""),"Faltan datos",IF(INDEX(UnidadesBase,MATCH(E82,Unidades,0))&lt;&gt;INDEX(InsBase,MATCH(B82,ListaInsumos,0)),"Unidad incompatible",IF(A82="","Falta fecha","OK")))))</f>
        <v/>
      </c>
      <c r="J82" s="15"/>
    </row>
    <row r="83" customFormat="false" ht="15" hidden="false" customHeight="false" outlineLevel="0" collapsed="false">
      <c r="A83" s="26"/>
      <c r="B83" s="15"/>
      <c r="C83" s="15"/>
      <c r="D83" s="27"/>
      <c r="E83" s="15"/>
      <c r="F83" s="28"/>
      <c r="G83" s="25" t="str">
        <f aca="true">IF(OR(D83="",E83=""),"",IFERROR(D83*INDEX(UnidadesFactor,MATCH(E83,Unidades,0)),""))</f>
        <v/>
      </c>
      <c r="H83" s="17" t="str">
        <f aca="false">IF(I83&lt;&gt;"OK","",IF(G83=0,"",F83/G83))</f>
        <v/>
      </c>
      <c r="I83" s="20" t="str">
        <f aca="true">IF(B83="","",IF(ISNA(MATCH(B83,ListaInsumos,0)),"Insumo no está en Insumos",IF(OR(D83="",E83="",F83=""),"Faltan datos",IF(INDEX(UnidadesBase,MATCH(E83,Unidades,0))&lt;&gt;INDEX(InsBase,MATCH(B83,ListaInsumos,0)),"Unidad incompatible",IF(A83="","Falta fecha","OK")))))</f>
        <v/>
      </c>
      <c r="J83" s="15"/>
    </row>
    <row r="84" customFormat="false" ht="15" hidden="false" customHeight="false" outlineLevel="0" collapsed="false">
      <c r="A84" s="26"/>
      <c r="B84" s="15"/>
      <c r="C84" s="15"/>
      <c r="D84" s="27"/>
      <c r="E84" s="15"/>
      <c r="F84" s="28"/>
      <c r="G84" s="25" t="str">
        <f aca="true">IF(OR(D84="",E84=""),"",IFERROR(D84*INDEX(UnidadesFactor,MATCH(E84,Unidades,0)),""))</f>
        <v/>
      </c>
      <c r="H84" s="17" t="str">
        <f aca="false">IF(I84&lt;&gt;"OK","",IF(G84=0,"",F84/G84))</f>
        <v/>
      </c>
      <c r="I84" s="20" t="str">
        <f aca="true">IF(B84="","",IF(ISNA(MATCH(B84,ListaInsumos,0)),"Insumo no está en Insumos",IF(OR(D84="",E84="",F84=""),"Faltan datos",IF(INDEX(UnidadesBase,MATCH(E84,Unidades,0))&lt;&gt;INDEX(InsBase,MATCH(B84,ListaInsumos,0)),"Unidad incompatible",IF(A84="","Falta fecha","OK")))))</f>
        <v/>
      </c>
      <c r="J84" s="15"/>
    </row>
    <row r="85" customFormat="false" ht="15" hidden="false" customHeight="false" outlineLevel="0" collapsed="false">
      <c r="A85" s="26"/>
      <c r="B85" s="15"/>
      <c r="C85" s="15"/>
      <c r="D85" s="27"/>
      <c r="E85" s="15"/>
      <c r="F85" s="28"/>
      <c r="G85" s="25" t="str">
        <f aca="true">IF(OR(D85="",E85=""),"",IFERROR(D85*INDEX(UnidadesFactor,MATCH(E85,Unidades,0)),""))</f>
        <v/>
      </c>
      <c r="H85" s="17" t="str">
        <f aca="false">IF(I85&lt;&gt;"OK","",IF(G85=0,"",F85/G85))</f>
        <v/>
      </c>
      <c r="I85" s="20" t="str">
        <f aca="true">IF(B85="","",IF(ISNA(MATCH(B85,ListaInsumos,0)),"Insumo no está en Insumos",IF(OR(D85="",E85="",F85=""),"Faltan datos",IF(INDEX(UnidadesBase,MATCH(E85,Unidades,0))&lt;&gt;INDEX(InsBase,MATCH(B85,ListaInsumos,0)),"Unidad incompatible",IF(A85="","Falta fecha","OK")))))</f>
        <v/>
      </c>
      <c r="J85" s="15"/>
    </row>
    <row r="86" customFormat="false" ht="15" hidden="false" customHeight="false" outlineLevel="0" collapsed="false">
      <c r="A86" s="26"/>
      <c r="B86" s="15"/>
      <c r="C86" s="15"/>
      <c r="D86" s="27"/>
      <c r="E86" s="15"/>
      <c r="F86" s="28"/>
      <c r="G86" s="25" t="str">
        <f aca="true">IF(OR(D86="",E86=""),"",IFERROR(D86*INDEX(UnidadesFactor,MATCH(E86,Unidades,0)),""))</f>
        <v/>
      </c>
      <c r="H86" s="17" t="str">
        <f aca="false">IF(I86&lt;&gt;"OK","",IF(G86=0,"",F86/G86))</f>
        <v/>
      </c>
      <c r="I86" s="20" t="str">
        <f aca="true">IF(B86="","",IF(ISNA(MATCH(B86,ListaInsumos,0)),"Insumo no está en Insumos",IF(OR(D86="",E86="",F86=""),"Faltan datos",IF(INDEX(UnidadesBase,MATCH(E86,Unidades,0))&lt;&gt;INDEX(InsBase,MATCH(B86,ListaInsumos,0)),"Unidad incompatible",IF(A86="","Falta fecha","OK")))))</f>
        <v/>
      </c>
      <c r="J86" s="15"/>
    </row>
    <row r="87" customFormat="false" ht="15" hidden="false" customHeight="false" outlineLevel="0" collapsed="false">
      <c r="A87" s="26"/>
      <c r="B87" s="15"/>
      <c r="C87" s="15"/>
      <c r="D87" s="27"/>
      <c r="E87" s="15"/>
      <c r="F87" s="28"/>
      <c r="G87" s="25" t="str">
        <f aca="true">IF(OR(D87="",E87=""),"",IFERROR(D87*INDEX(UnidadesFactor,MATCH(E87,Unidades,0)),""))</f>
        <v/>
      </c>
      <c r="H87" s="17" t="str">
        <f aca="false">IF(I87&lt;&gt;"OK","",IF(G87=0,"",F87/G87))</f>
        <v/>
      </c>
      <c r="I87" s="20" t="str">
        <f aca="true">IF(B87="","",IF(ISNA(MATCH(B87,ListaInsumos,0)),"Insumo no está en Insumos",IF(OR(D87="",E87="",F87=""),"Faltan datos",IF(INDEX(UnidadesBase,MATCH(E87,Unidades,0))&lt;&gt;INDEX(InsBase,MATCH(B87,ListaInsumos,0)),"Unidad incompatible",IF(A87="","Falta fecha","OK")))))</f>
        <v/>
      </c>
      <c r="J87" s="15"/>
    </row>
    <row r="88" customFormat="false" ht="15" hidden="false" customHeight="false" outlineLevel="0" collapsed="false">
      <c r="A88" s="26"/>
      <c r="B88" s="15"/>
      <c r="C88" s="15"/>
      <c r="D88" s="27"/>
      <c r="E88" s="15"/>
      <c r="F88" s="28"/>
      <c r="G88" s="25" t="str">
        <f aca="true">IF(OR(D88="",E88=""),"",IFERROR(D88*INDEX(UnidadesFactor,MATCH(E88,Unidades,0)),""))</f>
        <v/>
      </c>
      <c r="H88" s="17" t="str">
        <f aca="false">IF(I88&lt;&gt;"OK","",IF(G88=0,"",F88/G88))</f>
        <v/>
      </c>
      <c r="I88" s="20" t="str">
        <f aca="true">IF(B88="","",IF(ISNA(MATCH(B88,ListaInsumos,0)),"Insumo no está en Insumos",IF(OR(D88="",E88="",F88=""),"Faltan datos",IF(INDEX(UnidadesBase,MATCH(E88,Unidades,0))&lt;&gt;INDEX(InsBase,MATCH(B88,ListaInsumos,0)),"Unidad incompatible",IF(A88="","Falta fecha","OK")))))</f>
        <v/>
      </c>
      <c r="J88" s="15"/>
    </row>
    <row r="89" customFormat="false" ht="15" hidden="false" customHeight="false" outlineLevel="0" collapsed="false">
      <c r="A89" s="26"/>
      <c r="B89" s="15"/>
      <c r="C89" s="15"/>
      <c r="D89" s="27"/>
      <c r="E89" s="15"/>
      <c r="F89" s="28"/>
      <c r="G89" s="25" t="str">
        <f aca="true">IF(OR(D89="",E89=""),"",IFERROR(D89*INDEX(UnidadesFactor,MATCH(E89,Unidades,0)),""))</f>
        <v/>
      </c>
      <c r="H89" s="17" t="str">
        <f aca="false">IF(I89&lt;&gt;"OK","",IF(G89=0,"",F89/G89))</f>
        <v/>
      </c>
      <c r="I89" s="20" t="str">
        <f aca="true">IF(B89="","",IF(ISNA(MATCH(B89,ListaInsumos,0)),"Insumo no está en Insumos",IF(OR(D89="",E89="",F89=""),"Faltan datos",IF(INDEX(UnidadesBase,MATCH(E89,Unidades,0))&lt;&gt;INDEX(InsBase,MATCH(B89,ListaInsumos,0)),"Unidad incompatible",IF(A89="","Falta fecha","OK")))))</f>
        <v/>
      </c>
      <c r="J89" s="15"/>
    </row>
    <row r="90" customFormat="false" ht="15" hidden="false" customHeight="false" outlineLevel="0" collapsed="false">
      <c r="A90" s="26"/>
      <c r="B90" s="15"/>
      <c r="C90" s="15"/>
      <c r="D90" s="27"/>
      <c r="E90" s="15"/>
      <c r="F90" s="28"/>
      <c r="G90" s="25" t="str">
        <f aca="true">IF(OR(D90="",E90=""),"",IFERROR(D90*INDEX(UnidadesFactor,MATCH(E90,Unidades,0)),""))</f>
        <v/>
      </c>
      <c r="H90" s="17" t="str">
        <f aca="false">IF(I90&lt;&gt;"OK","",IF(G90=0,"",F90/G90))</f>
        <v/>
      </c>
      <c r="I90" s="20" t="str">
        <f aca="true">IF(B90="","",IF(ISNA(MATCH(B90,ListaInsumos,0)),"Insumo no está en Insumos",IF(OR(D90="",E90="",F90=""),"Faltan datos",IF(INDEX(UnidadesBase,MATCH(E90,Unidades,0))&lt;&gt;INDEX(InsBase,MATCH(B90,ListaInsumos,0)),"Unidad incompatible",IF(A90="","Falta fecha","OK")))))</f>
        <v/>
      </c>
      <c r="J90" s="15"/>
    </row>
    <row r="91" customFormat="false" ht="15" hidden="false" customHeight="false" outlineLevel="0" collapsed="false">
      <c r="A91" s="26"/>
      <c r="B91" s="15"/>
      <c r="C91" s="15"/>
      <c r="D91" s="27"/>
      <c r="E91" s="15"/>
      <c r="F91" s="28"/>
      <c r="G91" s="25" t="str">
        <f aca="true">IF(OR(D91="",E91=""),"",IFERROR(D91*INDEX(UnidadesFactor,MATCH(E91,Unidades,0)),""))</f>
        <v/>
      </c>
      <c r="H91" s="17" t="str">
        <f aca="false">IF(I91&lt;&gt;"OK","",IF(G91=0,"",F91/G91))</f>
        <v/>
      </c>
      <c r="I91" s="20" t="str">
        <f aca="true">IF(B91="","",IF(ISNA(MATCH(B91,ListaInsumos,0)),"Insumo no está en Insumos",IF(OR(D91="",E91="",F91=""),"Faltan datos",IF(INDEX(UnidadesBase,MATCH(E91,Unidades,0))&lt;&gt;INDEX(InsBase,MATCH(B91,ListaInsumos,0)),"Unidad incompatible",IF(A91="","Falta fecha","OK")))))</f>
        <v/>
      </c>
      <c r="J91" s="15"/>
    </row>
    <row r="92" customFormat="false" ht="15" hidden="false" customHeight="false" outlineLevel="0" collapsed="false">
      <c r="A92" s="26"/>
      <c r="B92" s="15"/>
      <c r="C92" s="15"/>
      <c r="D92" s="27"/>
      <c r="E92" s="15"/>
      <c r="F92" s="28"/>
      <c r="G92" s="25" t="str">
        <f aca="true">IF(OR(D92="",E92=""),"",IFERROR(D92*INDEX(UnidadesFactor,MATCH(E92,Unidades,0)),""))</f>
        <v/>
      </c>
      <c r="H92" s="17" t="str">
        <f aca="false">IF(I92&lt;&gt;"OK","",IF(G92=0,"",F92/G92))</f>
        <v/>
      </c>
      <c r="I92" s="20" t="str">
        <f aca="true">IF(B92="","",IF(ISNA(MATCH(B92,ListaInsumos,0)),"Insumo no está en Insumos",IF(OR(D92="",E92="",F92=""),"Faltan datos",IF(INDEX(UnidadesBase,MATCH(E92,Unidades,0))&lt;&gt;INDEX(InsBase,MATCH(B92,ListaInsumos,0)),"Unidad incompatible",IF(A92="","Falta fecha","OK")))))</f>
        <v/>
      </c>
      <c r="J92" s="15"/>
    </row>
    <row r="93" customFormat="false" ht="15" hidden="false" customHeight="false" outlineLevel="0" collapsed="false">
      <c r="A93" s="26"/>
      <c r="B93" s="15"/>
      <c r="C93" s="15"/>
      <c r="D93" s="27"/>
      <c r="E93" s="15"/>
      <c r="F93" s="28"/>
      <c r="G93" s="25" t="str">
        <f aca="true">IF(OR(D93="",E93=""),"",IFERROR(D93*INDEX(UnidadesFactor,MATCH(E93,Unidades,0)),""))</f>
        <v/>
      </c>
      <c r="H93" s="17" t="str">
        <f aca="false">IF(I93&lt;&gt;"OK","",IF(G93=0,"",F93/G93))</f>
        <v/>
      </c>
      <c r="I93" s="20" t="str">
        <f aca="true">IF(B93="","",IF(ISNA(MATCH(B93,ListaInsumos,0)),"Insumo no está en Insumos",IF(OR(D93="",E93="",F93=""),"Faltan datos",IF(INDEX(UnidadesBase,MATCH(E93,Unidades,0))&lt;&gt;INDEX(InsBase,MATCH(B93,ListaInsumos,0)),"Unidad incompatible",IF(A93="","Falta fecha","OK")))))</f>
        <v/>
      </c>
      <c r="J93" s="15"/>
    </row>
    <row r="94" customFormat="false" ht="15" hidden="false" customHeight="false" outlineLevel="0" collapsed="false">
      <c r="A94" s="26"/>
      <c r="B94" s="15"/>
      <c r="C94" s="15"/>
      <c r="D94" s="27"/>
      <c r="E94" s="15"/>
      <c r="F94" s="28"/>
      <c r="G94" s="25" t="str">
        <f aca="true">IF(OR(D94="",E94=""),"",IFERROR(D94*INDEX(UnidadesFactor,MATCH(E94,Unidades,0)),""))</f>
        <v/>
      </c>
      <c r="H94" s="17" t="str">
        <f aca="false">IF(I94&lt;&gt;"OK","",IF(G94=0,"",F94/G94))</f>
        <v/>
      </c>
      <c r="I94" s="20" t="str">
        <f aca="true">IF(B94="","",IF(ISNA(MATCH(B94,ListaInsumos,0)),"Insumo no está en Insumos",IF(OR(D94="",E94="",F94=""),"Faltan datos",IF(INDEX(UnidadesBase,MATCH(E94,Unidades,0))&lt;&gt;INDEX(InsBase,MATCH(B94,ListaInsumos,0)),"Unidad incompatible",IF(A94="","Falta fecha","OK")))))</f>
        <v/>
      </c>
      <c r="J94" s="15"/>
    </row>
    <row r="95" customFormat="false" ht="15" hidden="false" customHeight="false" outlineLevel="0" collapsed="false">
      <c r="A95" s="26"/>
      <c r="B95" s="15"/>
      <c r="C95" s="15"/>
      <c r="D95" s="27"/>
      <c r="E95" s="15"/>
      <c r="F95" s="28"/>
      <c r="G95" s="25" t="str">
        <f aca="true">IF(OR(D95="",E95=""),"",IFERROR(D95*INDEX(UnidadesFactor,MATCH(E95,Unidades,0)),""))</f>
        <v/>
      </c>
      <c r="H95" s="17" t="str">
        <f aca="false">IF(I95&lt;&gt;"OK","",IF(G95=0,"",F95/G95))</f>
        <v/>
      </c>
      <c r="I95" s="20" t="str">
        <f aca="true">IF(B95="","",IF(ISNA(MATCH(B95,ListaInsumos,0)),"Insumo no está en Insumos",IF(OR(D95="",E95="",F95=""),"Faltan datos",IF(INDEX(UnidadesBase,MATCH(E95,Unidades,0))&lt;&gt;INDEX(InsBase,MATCH(B95,ListaInsumos,0)),"Unidad incompatible",IF(A95="","Falta fecha","OK")))))</f>
        <v/>
      </c>
      <c r="J95" s="15"/>
    </row>
    <row r="96" customFormat="false" ht="15" hidden="false" customHeight="false" outlineLevel="0" collapsed="false">
      <c r="A96" s="26"/>
      <c r="B96" s="15"/>
      <c r="C96" s="15"/>
      <c r="D96" s="27"/>
      <c r="E96" s="15"/>
      <c r="F96" s="28"/>
      <c r="G96" s="25" t="str">
        <f aca="true">IF(OR(D96="",E96=""),"",IFERROR(D96*INDEX(UnidadesFactor,MATCH(E96,Unidades,0)),""))</f>
        <v/>
      </c>
      <c r="H96" s="17" t="str">
        <f aca="false">IF(I96&lt;&gt;"OK","",IF(G96=0,"",F96/G96))</f>
        <v/>
      </c>
      <c r="I96" s="20" t="str">
        <f aca="true">IF(B96="","",IF(ISNA(MATCH(B96,ListaInsumos,0)),"Insumo no está en Insumos",IF(OR(D96="",E96="",F96=""),"Faltan datos",IF(INDEX(UnidadesBase,MATCH(E96,Unidades,0))&lt;&gt;INDEX(InsBase,MATCH(B96,ListaInsumos,0)),"Unidad incompatible",IF(A96="","Falta fecha","OK")))))</f>
        <v/>
      </c>
      <c r="J96" s="15"/>
    </row>
    <row r="97" customFormat="false" ht="15" hidden="false" customHeight="false" outlineLevel="0" collapsed="false">
      <c r="A97" s="26"/>
      <c r="B97" s="15"/>
      <c r="C97" s="15"/>
      <c r="D97" s="27"/>
      <c r="E97" s="15"/>
      <c r="F97" s="28"/>
      <c r="G97" s="25" t="str">
        <f aca="true">IF(OR(D97="",E97=""),"",IFERROR(D97*INDEX(UnidadesFactor,MATCH(E97,Unidades,0)),""))</f>
        <v/>
      </c>
      <c r="H97" s="17" t="str">
        <f aca="false">IF(I97&lt;&gt;"OK","",IF(G97=0,"",F97/G97))</f>
        <v/>
      </c>
      <c r="I97" s="20" t="str">
        <f aca="true">IF(B97="","",IF(ISNA(MATCH(B97,ListaInsumos,0)),"Insumo no está en Insumos",IF(OR(D97="",E97="",F97=""),"Faltan datos",IF(INDEX(UnidadesBase,MATCH(E97,Unidades,0))&lt;&gt;INDEX(InsBase,MATCH(B97,ListaInsumos,0)),"Unidad incompatible",IF(A97="","Falta fecha","OK")))))</f>
        <v/>
      </c>
      <c r="J97" s="15"/>
    </row>
    <row r="98" customFormat="false" ht="15" hidden="false" customHeight="false" outlineLevel="0" collapsed="false">
      <c r="A98" s="26"/>
      <c r="B98" s="15"/>
      <c r="C98" s="15"/>
      <c r="D98" s="27"/>
      <c r="E98" s="15"/>
      <c r="F98" s="28"/>
      <c r="G98" s="25" t="str">
        <f aca="true">IF(OR(D98="",E98=""),"",IFERROR(D98*INDEX(UnidadesFactor,MATCH(E98,Unidades,0)),""))</f>
        <v/>
      </c>
      <c r="H98" s="17" t="str">
        <f aca="false">IF(I98&lt;&gt;"OK","",IF(G98=0,"",F98/G98))</f>
        <v/>
      </c>
      <c r="I98" s="20" t="str">
        <f aca="true">IF(B98="","",IF(ISNA(MATCH(B98,ListaInsumos,0)),"Insumo no está en Insumos",IF(OR(D98="",E98="",F98=""),"Faltan datos",IF(INDEX(UnidadesBase,MATCH(E98,Unidades,0))&lt;&gt;INDEX(InsBase,MATCH(B98,ListaInsumos,0)),"Unidad incompatible",IF(A98="","Falta fecha","OK")))))</f>
        <v/>
      </c>
      <c r="J98" s="15"/>
    </row>
    <row r="99" customFormat="false" ht="15" hidden="false" customHeight="false" outlineLevel="0" collapsed="false">
      <c r="A99" s="26"/>
      <c r="B99" s="15"/>
      <c r="C99" s="15"/>
      <c r="D99" s="27"/>
      <c r="E99" s="15"/>
      <c r="F99" s="28"/>
      <c r="G99" s="25" t="str">
        <f aca="true">IF(OR(D99="",E99=""),"",IFERROR(D99*INDEX(UnidadesFactor,MATCH(E99,Unidades,0)),""))</f>
        <v/>
      </c>
      <c r="H99" s="17" t="str">
        <f aca="false">IF(I99&lt;&gt;"OK","",IF(G99=0,"",F99/G99))</f>
        <v/>
      </c>
      <c r="I99" s="20" t="str">
        <f aca="true">IF(B99="","",IF(ISNA(MATCH(B99,ListaInsumos,0)),"Insumo no está en Insumos",IF(OR(D99="",E99="",F99=""),"Faltan datos",IF(INDEX(UnidadesBase,MATCH(E99,Unidades,0))&lt;&gt;INDEX(InsBase,MATCH(B99,ListaInsumos,0)),"Unidad incompatible",IF(A99="","Falta fecha","OK")))))</f>
        <v/>
      </c>
      <c r="J99" s="15"/>
    </row>
    <row r="100" customFormat="false" ht="15" hidden="false" customHeight="false" outlineLevel="0" collapsed="false">
      <c r="A100" s="26"/>
      <c r="B100" s="15"/>
      <c r="C100" s="15"/>
      <c r="D100" s="27"/>
      <c r="E100" s="15"/>
      <c r="F100" s="28"/>
      <c r="G100" s="25" t="str">
        <f aca="true">IF(OR(D100="",E100=""),"",IFERROR(D100*INDEX(UnidadesFactor,MATCH(E100,Unidades,0)),""))</f>
        <v/>
      </c>
      <c r="H100" s="17" t="str">
        <f aca="false">IF(I100&lt;&gt;"OK","",IF(G100=0,"",F100/G100))</f>
        <v/>
      </c>
      <c r="I100" s="20" t="str">
        <f aca="true">IF(B100="","",IF(ISNA(MATCH(B100,ListaInsumos,0)),"Insumo no está en Insumos",IF(OR(D100="",E100="",F100=""),"Faltan datos",IF(INDEX(UnidadesBase,MATCH(E100,Unidades,0))&lt;&gt;INDEX(InsBase,MATCH(B100,ListaInsumos,0)),"Unidad incompatible",IF(A100="","Falta fecha","OK")))))</f>
        <v/>
      </c>
      <c r="J100" s="15"/>
    </row>
    <row r="101" customFormat="false" ht="15" hidden="false" customHeight="false" outlineLevel="0" collapsed="false">
      <c r="A101" s="26"/>
      <c r="B101" s="15"/>
      <c r="C101" s="15"/>
      <c r="D101" s="27"/>
      <c r="E101" s="15"/>
      <c r="F101" s="28"/>
      <c r="G101" s="25" t="str">
        <f aca="true">IF(OR(D101="",E101=""),"",IFERROR(D101*INDEX(UnidadesFactor,MATCH(E101,Unidades,0)),""))</f>
        <v/>
      </c>
      <c r="H101" s="17" t="str">
        <f aca="false">IF(I101&lt;&gt;"OK","",IF(G101=0,"",F101/G101))</f>
        <v/>
      </c>
      <c r="I101" s="20" t="str">
        <f aca="true">IF(B101="","",IF(ISNA(MATCH(B101,ListaInsumos,0)),"Insumo no está en Insumos",IF(OR(D101="",E101="",F101=""),"Faltan datos",IF(INDEX(UnidadesBase,MATCH(E101,Unidades,0))&lt;&gt;INDEX(InsBase,MATCH(B101,ListaInsumos,0)),"Unidad incompatible",IF(A101="","Falta fecha","OK")))))</f>
        <v/>
      </c>
      <c r="J101" s="15"/>
    </row>
    <row r="102" customFormat="false" ht="15" hidden="false" customHeight="false" outlineLevel="0" collapsed="false">
      <c r="A102" s="26"/>
      <c r="B102" s="15"/>
      <c r="C102" s="15"/>
      <c r="D102" s="27"/>
      <c r="E102" s="15"/>
      <c r="F102" s="28"/>
      <c r="G102" s="25" t="str">
        <f aca="true">IF(OR(D102="",E102=""),"",IFERROR(D102*INDEX(UnidadesFactor,MATCH(E102,Unidades,0)),""))</f>
        <v/>
      </c>
      <c r="H102" s="17" t="str">
        <f aca="false">IF(I102&lt;&gt;"OK","",IF(G102=0,"",F102/G102))</f>
        <v/>
      </c>
      <c r="I102" s="20" t="str">
        <f aca="true">IF(B102="","",IF(ISNA(MATCH(B102,ListaInsumos,0)),"Insumo no está en Insumos",IF(OR(D102="",E102="",F102=""),"Faltan datos",IF(INDEX(UnidadesBase,MATCH(E102,Unidades,0))&lt;&gt;INDEX(InsBase,MATCH(B102,ListaInsumos,0)),"Unidad incompatible",IF(A102="","Falta fecha","OK")))))</f>
        <v/>
      </c>
      <c r="J102" s="15"/>
    </row>
    <row r="103" customFormat="false" ht="15" hidden="false" customHeight="false" outlineLevel="0" collapsed="false">
      <c r="A103" s="26"/>
      <c r="B103" s="15"/>
      <c r="C103" s="15"/>
      <c r="D103" s="27"/>
      <c r="E103" s="15"/>
      <c r="F103" s="28"/>
      <c r="G103" s="25" t="str">
        <f aca="true">IF(OR(D103="",E103=""),"",IFERROR(D103*INDEX(UnidadesFactor,MATCH(E103,Unidades,0)),""))</f>
        <v/>
      </c>
      <c r="H103" s="17" t="str">
        <f aca="false">IF(I103&lt;&gt;"OK","",IF(G103=0,"",F103/G103))</f>
        <v/>
      </c>
      <c r="I103" s="20" t="str">
        <f aca="true">IF(B103="","",IF(ISNA(MATCH(B103,ListaInsumos,0)),"Insumo no está en Insumos",IF(OR(D103="",E103="",F103=""),"Faltan datos",IF(INDEX(UnidadesBase,MATCH(E103,Unidades,0))&lt;&gt;INDEX(InsBase,MATCH(B103,ListaInsumos,0)),"Unidad incompatible",IF(A103="","Falta fecha","OK")))))</f>
        <v/>
      </c>
      <c r="J103" s="15"/>
    </row>
    <row r="104" customFormat="false" ht="15" hidden="false" customHeight="false" outlineLevel="0" collapsed="false">
      <c r="A104" s="26"/>
      <c r="B104" s="15"/>
      <c r="C104" s="15"/>
      <c r="D104" s="27"/>
      <c r="E104" s="15"/>
      <c r="F104" s="28"/>
      <c r="G104" s="25" t="str">
        <f aca="true">IF(OR(D104="",E104=""),"",IFERROR(D104*INDEX(UnidadesFactor,MATCH(E104,Unidades,0)),""))</f>
        <v/>
      </c>
      <c r="H104" s="17" t="str">
        <f aca="false">IF(I104&lt;&gt;"OK","",IF(G104=0,"",F104/G104))</f>
        <v/>
      </c>
      <c r="I104" s="20" t="str">
        <f aca="true">IF(B104="","",IF(ISNA(MATCH(B104,ListaInsumos,0)),"Insumo no está en Insumos",IF(OR(D104="",E104="",F104=""),"Faltan datos",IF(INDEX(UnidadesBase,MATCH(E104,Unidades,0))&lt;&gt;INDEX(InsBase,MATCH(B104,ListaInsumos,0)),"Unidad incompatible",IF(A104="","Falta fecha","OK")))))</f>
        <v/>
      </c>
      <c r="J104" s="15"/>
    </row>
    <row r="105" customFormat="false" ht="15" hidden="false" customHeight="false" outlineLevel="0" collapsed="false">
      <c r="A105" s="26"/>
      <c r="B105" s="15"/>
      <c r="C105" s="15"/>
      <c r="D105" s="27"/>
      <c r="E105" s="15"/>
      <c r="F105" s="28"/>
      <c r="G105" s="25" t="str">
        <f aca="true">IF(OR(D105="",E105=""),"",IFERROR(D105*INDEX(UnidadesFactor,MATCH(E105,Unidades,0)),""))</f>
        <v/>
      </c>
      <c r="H105" s="17" t="str">
        <f aca="false">IF(I105&lt;&gt;"OK","",IF(G105=0,"",F105/G105))</f>
        <v/>
      </c>
      <c r="I105" s="20" t="str">
        <f aca="true">IF(B105="","",IF(ISNA(MATCH(B105,ListaInsumos,0)),"Insumo no está en Insumos",IF(OR(D105="",E105="",F105=""),"Faltan datos",IF(INDEX(UnidadesBase,MATCH(E105,Unidades,0))&lt;&gt;INDEX(InsBase,MATCH(B105,ListaInsumos,0)),"Unidad incompatible",IF(A105="","Falta fecha","OK")))))</f>
        <v/>
      </c>
      <c r="J105" s="15"/>
    </row>
    <row r="106" customFormat="false" ht="15" hidden="false" customHeight="false" outlineLevel="0" collapsed="false">
      <c r="A106" s="26"/>
      <c r="B106" s="15"/>
      <c r="C106" s="15"/>
      <c r="D106" s="27"/>
      <c r="E106" s="15"/>
      <c r="F106" s="28"/>
      <c r="G106" s="25" t="str">
        <f aca="true">IF(OR(D106="",E106=""),"",IFERROR(D106*INDEX(UnidadesFactor,MATCH(E106,Unidades,0)),""))</f>
        <v/>
      </c>
      <c r="H106" s="17" t="str">
        <f aca="false">IF(I106&lt;&gt;"OK","",IF(G106=0,"",F106/G106))</f>
        <v/>
      </c>
      <c r="I106" s="20" t="str">
        <f aca="true">IF(B106="","",IF(ISNA(MATCH(B106,ListaInsumos,0)),"Insumo no está en Insumos",IF(OR(D106="",E106="",F106=""),"Faltan datos",IF(INDEX(UnidadesBase,MATCH(E106,Unidades,0))&lt;&gt;INDEX(InsBase,MATCH(B106,ListaInsumos,0)),"Unidad incompatible",IF(A106="","Falta fecha","OK")))))</f>
        <v/>
      </c>
      <c r="J106" s="15"/>
    </row>
    <row r="107" customFormat="false" ht="15" hidden="false" customHeight="false" outlineLevel="0" collapsed="false">
      <c r="A107" s="26"/>
      <c r="B107" s="15"/>
      <c r="C107" s="15"/>
      <c r="D107" s="27"/>
      <c r="E107" s="15"/>
      <c r="F107" s="28"/>
      <c r="G107" s="25" t="str">
        <f aca="true">IF(OR(D107="",E107=""),"",IFERROR(D107*INDEX(UnidadesFactor,MATCH(E107,Unidades,0)),""))</f>
        <v/>
      </c>
      <c r="H107" s="17" t="str">
        <f aca="false">IF(I107&lt;&gt;"OK","",IF(G107=0,"",F107/G107))</f>
        <v/>
      </c>
      <c r="I107" s="20" t="str">
        <f aca="true">IF(B107="","",IF(ISNA(MATCH(B107,ListaInsumos,0)),"Insumo no está en Insumos",IF(OR(D107="",E107="",F107=""),"Faltan datos",IF(INDEX(UnidadesBase,MATCH(E107,Unidades,0))&lt;&gt;INDEX(InsBase,MATCH(B107,ListaInsumos,0)),"Unidad incompatible",IF(A107="","Falta fecha","OK")))))</f>
        <v/>
      </c>
      <c r="J107" s="15"/>
    </row>
    <row r="108" customFormat="false" ht="15" hidden="false" customHeight="false" outlineLevel="0" collapsed="false">
      <c r="A108" s="26"/>
      <c r="B108" s="15"/>
      <c r="C108" s="15"/>
      <c r="D108" s="27"/>
      <c r="E108" s="15"/>
      <c r="F108" s="28"/>
      <c r="G108" s="25" t="str">
        <f aca="true">IF(OR(D108="",E108=""),"",IFERROR(D108*INDEX(UnidadesFactor,MATCH(E108,Unidades,0)),""))</f>
        <v/>
      </c>
      <c r="H108" s="17" t="str">
        <f aca="false">IF(I108&lt;&gt;"OK","",IF(G108=0,"",F108/G108))</f>
        <v/>
      </c>
      <c r="I108" s="20" t="str">
        <f aca="true">IF(B108="","",IF(ISNA(MATCH(B108,ListaInsumos,0)),"Insumo no está en Insumos",IF(OR(D108="",E108="",F108=""),"Faltan datos",IF(INDEX(UnidadesBase,MATCH(E108,Unidades,0))&lt;&gt;INDEX(InsBase,MATCH(B108,ListaInsumos,0)),"Unidad incompatible",IF(A108="","Falta fecha","OK")))))</f>
        <v/>
      </c>
      <c r="J108" s="15"/>
    </row>
    <row r="109" customFormat="false" ht="15" hidden="false" customHeight="false" outlineLevel="0" collapsed="false">
      <c r="A109" s="26"/>
      <c r="B109" s="15"/>
      <c r="C109" s="15"/>
      <c r="D109" s="27"/>
      <c r="E109" s="15"/>
      <c r="F109" s="28"/>
      <c r="G109" s="25" t="str">
        <f aca="true">IF(OR(D109="",E109=""),"",IFERROR(D109*INDEX(UnidadesFactor,MATCH(E109,Unidades,0)),""))</f>
        <v/>
      </c>
      <c r="H109" s="17" t="str">
        <f aca="false">IF(I109&lt;&gt;"OK","",IF(G109=0,"",F109/G109))</f>
        <v/>
      </c>
      <c r="I109" s="20" t="str">
        <f aca="true">IF(B109="","",IF(ISNA(MATCH(B109,ListaInsumos,0)),"Insumo no está en Insumos",IF(OR(D109="",E109="",F109=""),"Faltan datos",IF(INDEX(UnidadesBase,MATCH(E109,Unidades,0))&lt;&gt;INDEX(InsBase,MATCH(B109,ListaInsumos,0)),"Unidad incompatible",IF(A109="","Falta fecha","OK")))))</f>
        <v/>
      </c>
      <c r="J109" s="15"/>
    </row>
    <row r="110" customFormat="false" ht="15" hidden="false" customHeight="false" outlineLevel="0" collapsed="false">
      <c r="A110" s="26"/>
      <c r="B110" s="15"/>
      <c r="C110" s="15"/>
      <c r="D110" s="27"/>
      <c r="E110" s="15"/>
      <c r="F110" s="28"/>
      <c r="G110" s="25" t="str">
        <f aca="true">IF(OR(D110="",E110=""),"",IFERROR(D110*INDEX(UnidadesFactor,MATCH(E110,Unidades,0)),""))</f>
        <v/>
      </c>
      <c r="H110" s="17" t="str">
        <f aca="false">IF(I110&lt;&gt;"OK","",IF(G110=0,"",F110/G110))</f>
        <v/>
      </c>
      <c r="I110" s="20" t="str">
        <f aca="true">IF(B110="","",IF(ISNA(MATCH(B110,ListaInsumos,0)),"Insumo no está en Insumos",IF(OR(D110="",E110="",F110=""),"Faltan datos",IF(INDEX(UnidadesBase,MATCH(E110,Unidades,0))&lt;&gt;INDEX(InsBase,MATCH(B110,ListaInsumos,0)),"Unidad incompatible",IF(A110="","Falta fecha","OK")))))</f>
        <v/>
      </c>
      <c r="J110" s="15"/>
    </row>
    <row r="111" customFormat="false" ht="15" hidden="false" customHeight="false" outlineLevel="0" collapsed="false">
      <c r="A111" s="26"/>
      <c r="B111" s="15"/>
      <c r="C111" s="15"/>
      <c r="D111" s="27"/>
      <c r="E111" s="15"/>
      <c r="F111" s="28"/>
      <c r="G111" s="25" t="str">
        <f aca="true">IF(OR(D111="",E111=""),"",IFERROR(D111*INDEX(UnidadesFactor,MATCH(E111,Unidades,0)),""))</f>
        <v/>
      </c>
      <c r="H111" s="17" t="str">
        <f aca="false">IF(I111&lt;&gt;"OK","",IF(G111=0,"",F111/G111))</f>
        <v/>
      </c>
      <c r="I111" s="20" t="str">
        <f aca="true">IF(B111="","",IF(ISNA(MATCH(B111,ListaInsumos,0)),"Insumo no está en Insumos",IF(OR(D111="",E111="",F111=""),"Faltan datos",IF(INDEX(UnidadesBase,MATCH(E111,Unidades,0))&lt;&gt;INDEX(InsBase,MATCH(B111,ListaInsumos,0)),"Unidad incompatible",IF(A111="","Falta fecha","OK")))))</f>
        <v/>
      </c>
      <c r="J111" s="15"/>
    </row>
    <row r="112" customFormat="false" ht="15" hidden="false" customHeight="false" outlineLevel="0" collapsed="false">
      <c r="A112" s="26"/>
      <c r="B112" s="15"/>
      <c r="C112" s="15"/>
      <c r="D112" s="27"/>
      <c r="E112" s="15"/>
      <c r="F112" s="28"/>
      <c r="G112" s="25" t="str">
        <f aca="true">IF(OR(D112="",E112=""),"",IFERROR(D112*INDEX(UnidadesFactor,MATCH(E112,Unidades,0)),""))</f>
        <v/>
      </c>
      <c r="H112" s="17" t="str">
        <f aca="false">IF(I112&lt;&gt;"OK","",IF(G112=0,"",F112/G112))</f>
        <v/>
      </c>
      <c r="I112" s="20" t="str">
        <f aca="true">IF(B112="","",IF(ISNA(MATCH(B112,ListaInsumos,0)),"Insumo no está en Insumos",IF(OR(D112="",E112="",F112=""),"Faltan datos",IF(INDEX(UnidadesBase,MATCH(E112,Unidades,0))&lt;&gt;INDEX(InsBase,MATCH(B112,ListaInsumos,0)),"Unidad incompatible",IF(A112="","Falta fecha","OK")))))</f>
        <v/>
      </c>
      <c r="J112" s="15"/>
    </row>
    <row r="113" customFormat="false" ht="15" hidden="false" customHeight="false" outlineLevel="0" collapsed="false">
      <c r="A113" s="26"/>
      <c r="B113" s="15"/>
      <c r="C113" s="15"/>
      <c r="D113" s="27"/>
      <c r="E113" s="15"/>
      <c r="F113" s="28"/>
      <c r="G113" s="25" t="str">
        <f aca="true">IF(OR(D113="",E113=""),"",IFERROR(D113*INDEX(UnidadesFactor,MATCH(E113,Unidades,0)),""))</f>
        <v/>
      </c>
      <c r="H113" s="17" t="str">
        <f aca="false">IF(I113&lt;&gt;"OK","",IF(G113=0,"",F113/G113))</f>
        <v/>
      </c>
      <c r="I113" s="20" t="str">
        <f aca="true">IF(B113="","",IF(ISNA(MATCH(B113,ListaInsumos,0)),"Insumo no está en Insumos",IF(OR(D113="",E113="",F113=""),"Faltan datos",IF(INDEX(UnidadesBase,MATCH(E113,Unidades,0))&lt;&gt;INDEX(InsBase,MATCH(B113,ListaInsumos,0)),"Unidad incompatible",IF(A113="","Falta fecha","OK")))))</f>
        <v/>
      </c>
      <c r="J113" s="15"/>
    </row>
    <row r="114" customFormat="false" ht="15" hidden="false" customHeight="false" outlineLevel="0" collapsed="false">
      <c r="A114" s="26"/>
      <c r="B114" s="15"/>
      <c r="C114" s="15"/>
      <c r="D114" s="27"/>
      <c r="E114" s="15"/>
      <c r="F114" s="28"/>
      <c r="G114" s="25" t="str">
        <f aca="true">IF(OR(D114="",E114=""),"",IFERROR(D114*INDEX(UnidadesFactor,MATCH(E114,Unidades,0)),""))</f>
        <v/>
      </c>
      <c r="H114" s="17" t="str">
        <f aca="false">IF(I114&lt;&gt;"OK","",IF(G114=0,"",F114/G114))</f>
        <v/>
      </c>
      <c r="I114" s="20" t="str">
        <f aca="true">IF(B114="","",IF(ISNA(MATCH(B114,ListaInsumos,0)),"Insumo no está en Insumos",IF(OR(D114="",E114="",F114=""),"Faltan datos",IF(INDEX(UnidadesBase,MATCH(E114,Unidades,0))&lt;&gt;INDEX(InsBase,MATCH(B114,ListaInsumos,0)),"Unidad incompatible",IF(A114="","Falta fecha","OK")))))</f>
        <v/>
      </c>
      <c r="J114" s="15"/>
    </row>
    <row r="115" customFormat="false" ht="15" hidden="false" customHeight="false" outlineLevel="0" collapsed="false">
      <c r="A115" s="26"/>
      <c r="B115" s="15"/>
      <c r="C115" s="15"/>
      <c r="D115" s="27"/>
      <c r="E115" s="15"/>
      <c r="F115" s="28"/>
      <c r="G115" s="25" t="str">
        <f aca="true">IF(OR(D115="",E115=""),"",IFERROR(D115*INDEX(UnidadesFactor,MATCH(E115,Unidades,0)),""))</f>
        <v/>
      </c>
      <c r="H115" s="17" t="str">
        <f aca="false">IF(I115&lt;&gt;"OK","",IF(G115=0,"",F115/G115))</f>
        <v/>
      </c>
      <c r="I115" s="20" t="str">
        <f aca="true">IF(B115="","",IF(ISNA(MATCH(B115,ListaInsumos,0)),"Insumo no está en Insumos",IF(OR(D115="",E115="",F115=""),"Faltan datos",IF(INDEX(UnidadesBase,MATCH(E115,Unidades,0))&lt;&gt;INDEX(InsBase,MATCH(B115,ListaInsumos,0)),"Unidad incompatible",IF(A115="","Falta fecha","OK")))))</f>
        <v/>
      </c>
      <c r="J115" s="15"/>
    </row>
    <row r="116" customFormat="false" ht="15" hidden="false" customHeight="false" outlineLevel="0" collapsed="false">
      <c r="A116" s="26"/>
      <c r="B116" s="15"/>
      <c r="C116" s="15"/>
      <c r="D116" s="27"/>
      <c r="E116" s="15"/>
      <c r="F116" s="28"/>
      <c r="G116" s="25" t="str">
        <f aca="true">IF(OR(D116="",E116=""),"",IFERROR(D116*INDEX(UnidadesFactor,MATCH(E116,Unidades,0)),""))</f>
        <v/>
      </c>
      <c r="H116" s="17" t="str">
        <f aca="false">IF(I116&lt;&gt;"OK","",IF(G116=0,"",F116/G116))</f>
        <v/>
      </c>
      <c r="I116" s="20" t="str">
        <f aca="true">IF(B116="","",IF(ISNA(MATCH(B116,ListaInsumos,0)),"Insumo no está en Insumos",IF(OR(D116="",E116="",F116=""),"Faltan datos",IF(INDEX(UnidadesBase,MATCH(E116,Unidades,0))&lt;&gt;INDEX(InsBase,MATCH(B116,ListaInsumos,0)),"Unidad incompatible",IF(A116="","Falta fecha","OK")))))</f>
        <v/>
      </c>
      <c r="J116" s="15"/>
    </row>
    <row r="117" customFormat="false" ht="15" hidden="false" customHeight="false" outlineLevel="0" collapsed="false">
      <c r="A117" s="26"/>
      <c r="B117" s="15"/>
      <c r="C117" s="15"/>
      <c r="D117" s="27"/>
      <c r="E117" s="15"/>
      <c r="F117" s="28"/>
      <c r="G117" s="25" t="str">
        <f aca="true">IF(OR(D117="",E117=""),"",IFERROR(D117*INDEX(UnidadesFactor,MATCH(E117,Unidades,0)),""))</f>
        <v/>
      </c>
      <c r="H117" s="17" t="str">
        <f aca="false">IF(I117&lt;&gt;"OK","",IF(G117=0,"",F117/G117))</f>
        <v/>
      </c>
      <c r="I117" s="20" t="str">
        <f aca="true">IF(B117="","",IF(ISNA(MATCH(B117,ListaInsumos,0)),"Insumo no está en Insumos",IF(OR(D117="",E117="",F117=""),"Faltan datos",IF(INDEX(UnidadesBase,MATCH(E117,Unidades,0))&lt;&gt;INDEX(InsBase,MATCH(B117,ListaInsumos,0)),"Unidad incompatible",IF(A117="","Falta fecha","OK")))))</f>
        <v/>
      </c>
      <c r="J117" s="15"/>
    </row>
    <row r="118" customFormat="false" ht="15" hidden="false" customHeight="false" outlineLevel="0" collapsed="false">
      <c r="A118" s="26"/>
      <c r="B118" s="15"/>
      <c r="C118" s="15"/>
      <c r="D118" s="27"/>
      <c r="E118" s="15"/>
      <c r="F118" s="28"/>
      <c r="G118" s="25" t="str">
        <f aca="true">IF(OR(D118="",E118=""),"",IFERROR(D118*INDEX(UnidadesFactor,MATCH(E118,Unidades,0)),""))</f>
        <v/>
      </c>
      <c r="H118" s="17" t="str">
        <f aca="false">IF(I118&lt;&gt;"OK","",IF(G118=0,"",F118/G118))</f>
        <v/>
      </c>
      <c r="I118" s="20" t="str">
        <f aca="true">IF(B118="","",IF(ISNA(MATCH(B118,ListaInsumos,0)),"Insumo no está en Insumos",IF(OR(D118="",E118="",F118=""),"Faltan datos",IF(INDEX(UnidadesBase,MATCH(E118,Unidades,0))&lt;&gt;INDEX(InsBase,MATCH(B118,ListaInsumos,0)),"Unidad incompatible",IF(A118="","Falta fecha","OK")))))</f>
        <v/>
      </c>
      <c r="J118" s="15"/>
    </row>
    <row r="119" customFormat="false" ht="15" hidden="false" customHeight="false" outlineLevel="0" collapsed="false">
      <c r="A119" s="26"/>
      <c r="B119" s="15"/>
      <c r="C119" s="15"/>
      <c r="D119" s="27"/>
      <c r="E119" s="15"/>
      <c r="F119" s="28"/>
      <c r="G119" s="25" t="str">
        <f aca="true">IF(OR(D119="",E119=""),"",IFERROR(D119*INDEX(UnidadesFactor,MATCH(E119,Unidades,0)),""))</f>
        <v/>
      </c>
      <c r="H119" s="17" t="str">
        <f aca="false">IF(I119&lt;&gt;"OK","",IF(G119=0,"",F119/G119))</f>
        <v/>
      </c>
      <c r="I119" s="20" t="str">
        <f aca="true">IF(B119="","",IF(ISNA(MATCH(B119,ListaInsumos,0)),"Insumo no está en Insumos",IF(OR(D119="",E119="",F119=""),"Faltan datos",IF(INDEX(UnidadesBase,MATCH(E119,Unidades,0))&lt;&gt;INDEX(InsBase,MATCH(B119,ListaInsumos,0)),"Unidad incompatible",IF(A119="","Falta fecha","OK")))))</f>
        <v/>
      </c>
      <c r="J119" s="15"/>
    </row>
    <row r="120" customFormat="false" ht="15" hidden="false" customHeight="false" outlineLevel="0" collapsed="false">
      <c r="A120" s="26"/>
      <c r="B120" s="15"/>
      <c r="C120" s="15"/>
      <c r="D120" s="27"/>
      <c r="E120" s="15"/>
      <c r="F120" s="28"/>
      <c r="G120" s="25" t="str">
        <f aca="true">IF(OR(D120="",E120=""),"",IFERROR(D120*INDEX(UnidadesFactor,MATCH(E120,Unidades,0)),""))</f>
        <v/>
      </c>
      <c r="H120" s="17" t="str">
        <f aca="false">IF(I120&lt;&gt;"OK","",IF(G120=0,"",F120/G120))</f>
        <v/>
      </c>
      <c r="I120" s="20" t="str">
        <f aca="true">IF(B120="","",IF(ISNA(MATCH(B120,ListaInsumos,0)),"Insumo no está en Insumos",IF(OR(D120="",E120="",F120=""),"Faltan datos",IF(INDEX(UnidadesBase,MATCH(E120,Unidades,0))&lt;&gt;INDEX(InsBase,MATCH(B120,ListaInsumos,0)),"Unidad incompatible",IF(A120="","Falta fecha","OK")))))</f>
        <v/>
      </c>
      <c r="J120" s="15"/>
    </row>
    <row r="121" customFormat="false" ht="15" hidden="false" customHeight="false" outlineLevel="0" collapsed="false">
      <c r="A121" s="26"/>
      <c r="B121" s="15"/>
      <c r="C121" s="15"/>
      <c r="D121" s="27"/>
      <c r="E121" s="15"/>
      <c r="F121" s="28"/>
      <c r="G121" s="25" t="str">
        <f aca="true">IF(OR(D121="",E121=""),"",IFERROR(D121*INDEX(UnidadesFactor,MATCH(E121,Unidades,0)),""))</f>
        <v/>
      </c>
      <c r="H121" s="17" t="str">
        <f aca="false">IF(I121&lt;&gt;"OK","",IF(G121=0,"",F121/G121))</f>
        <v/>
      </c>
      <c r="I121" s="20" t="str">
        <f aca="true">IF(B121="","",IF(ISNA(MATCH(B121,ListaInsumos,0)),"Insumo no está en Insumos",IF(OR(D121="",E121="",F121=""),"Faltan datos",IF(INDEX(UnidadesBase,MATCH(E121,Unidades,0))&lt;&gt;INDEX(InsBase,MATCH(B121,ListaInsumos,0)),"Unidad incompatible",IF(A121="","Falta fecha","OK")))))</f>
        <v/>
      </c>
      <c r="J121" s="15"/>
    </row>
    <row r="122" customFormat="false" ht="15" hidden="false" customHeight="false" outlineLevel="0" collapsed="false">
      <c r="A122" s="26"/>
      <c r="B122" s="15"/>
      <c r="C122" s="15"/>
      <c r="D122" s="27"/>
      <c r="E122" s="15"/>
      <c r="F122" s="28"/>
      <c r="G122" s="25" t="str">
        <f aca="true">IF(OR(D122="",E122=""),"",IFERROR(D122*INDEX(UnidadesFactor,MATCH(E122,Unidades,0)),""))</f>
        <v/>
      </c>
      <c r="H122" s="17" t="str">
        <f aca="false">IF(I122&lt;&gt;"OK","",IF(G122=0,"",F122/G122))</f>
        <v/>
      </c>
      <c r="I122" s="20" t="str">
        <f aca="true">IF(B122="","",IF(ISNA(MATCH(B122,ListaInsumos,0)),"Insumo no está en Insumos",IF(OR(D122="",E122="",F122=""),"Faltan datos",IF(INDEX(UnidadesBase,MATCH(E122,Unidades,0))&lt;&gt;INDEX(InsBase,MATCH(B122,ListaInsumos,0)),"Unidad incompatible",IF(A122="","Falta fecha","OK")))))</f>
        <v/>
      </c>
      <c r="J122" s="15"/>
    </row>
    <row r="123" customFormat="false" ht="15" hidden="false" customHeight="false" outlineLevel="0" collapsed="false">
      <c r="A123" s="26"/>
      <c r="B123" s="15"/>
      <c r="C123" s="15"/>
      <c r="D123" s="27"/>
      <c r="E123" s="15"/>
      <c r="F123" s="28"/>
      <c r="G123" s="25" t="str">
        <f aca="true">IF(OR(D123="",E123=""),"",IFERROR(D123*INDEX(UnidadesFactor,MATCH(E123,Unidades,0)),""))</f>
        <v/>
      </c>
      <c r="H123" s="17" t="str">
        <f aca="false">IF(I123&lt;&gt;"OK","",IF(G123=0,"",F123/G123))</f>
        <v/>
      </c>
      <c r="I123" s="20" t="str">
        <f aca="true">IF(B123="","",IF(ISNA(MATCH(B123,ListaInsumos,0)),"Insumo no está en Insumos",IF(OR(D123="",E123="",F123=""),"Faltan datos",IF(INDEX(UnidadesBase,MATCH(E123,Unidades,0))&lt;&gt;INDEX(InsBase,MATCH(B123,ListaInsumos,0)),"Unidad incompatible",IF(A123="","Falta fecha","OK")))))</f>
        <v/>
      </c>
      <c r="J123" s="15"/>
    </row>
    <row r="124" customFormat="false" ht="15" hidden="false" customHeight="false" outlineLevel="0" collapsed="false">
      <c r="A124" s="26"/>
      <c r="B124" s="15"/>
      <c r="C124" s="15"/>
      <c r="D124" s="27"/>
      <c r="E124" s="15"/>
      <c r="F124" s="28"/>
      <c r="G124" s="25" t="str">
        <f aca="true">IF(OR(D124="",E124=""),"",IFERROR(D124*INDEX(UnidadesFactor,MATCH(E124,Unidades,0)),""))</f>
        <v/>
      </c>
      <c r="H124" s="17" t="str">
        <f aca="false">IF(I124&lt;&gt;"OK","",IF(G124=0,"",F124/G124))</f>
        <v/>
      </c>
      <c r="I124" s="20" t="str">
        <f aca="true">IF(B124="","",IF(ISNA(MATCH(B124,ListaInsumos,0)),"Insumo no está en Insumos",IF(OR(D124="",E124="",F124=""),"Faltan datos",IF(INDEX(UnidadesBase,MATCH(E124,Unidades,0))&lt;&gt;INDEX(InsBase,MATCH(B124,ListaInsumos,0)),"Unidad incompatible",IF(A124="","Falta fecha","OK")))))</f>
        <v/>
      </c>
      <c r="J124" s="15"/>
    </row>
    <row r="125" customFormat="false" ht="15" hidden="false" customHeight="false" outlineLevel="0" collapsed="false">
      <c r="A125" s="26"/>
      <c r="B125" s="15"/>
      <c r="C125" s="15"/>
      <c r="D125" s="27"/>
      <c r="E125" s="15"/>
      <c r="F125" s="28"/>
      <c r="G125" s="25" t="str">
        <f aca="true">IF(OR(D125="",E125=""),"",IFERROR(D125*INDEX(UnidadesFactor,MATCH(E125,Unidades,0)),""))</f>
        <v/>
      </c>
      <c r="H125" s="17" t="str">
        <f aca="false">IF(I125&lt;&gt;"OK","",IF(G125=0,"",F125/G125))</f>
        <v/>
      </c>
      <c r="I125" s="20" t="str">
        <f aca="true">IF(B125="","",IF(ISNA(MATCH(B125,ListaInsumos,0)),"Insumo no está en Insumos",IF(OR(D125="",E125="",F125=""),"Faltan datos",IF(INDEX(UnidadesBase,MATCH(E125,Unidades,0))&lt;&gt;INDEX(InsBase,MATCH(B125,ListaInsumos,0)),"Unidad incompatible",IF(A125="","Falta fecha","OK")))))</f>
        <v/>
      </c>
      <c r="J125" s="15"/>
    </row>
    <row r="126" customFormat="false" ht="15" hidden="false" customHeight="false" outlineLevel="0" collapsed="false">
      <c r="A126" s="26"/>
      <c r="B126" s="15"/>
      <c r="C126" s="15"/>
      <c r="D126" s="27"/>
      <c r="E126" s="15"/>
      <c r="F126" s="28"/>
      <c r="G126" s="25" t="str">
        <f aca="true">IF(OR(D126="",E126=""),"",IFERROR(D126*INDEX(UnidadesFactor,MATCH(E126,Unidades,0)),""))</f>
        <v/>
      </c>
      <c r="H126" s="17" t="str">
        <f aca="false">IF(I126&lt;&gt;"OK","",IF(G126=0,"",F126/G126))</f>
        <v/>
      </c>
      <c r="I126" s="20" t="str">
        <f aca="true">IF(B126="","",IF(ISNA(MATCH(B126,ListaInsumos,0)),"Insumo no está en Insumos",IF(OR(D126="",E126="",F126=""),"Faltan datos",IF(INDEX(UnidadesBase,MATCH(E126,Unidades,0))&lt;&gt;INDEX(InsBase,MATCH(B126,ListaInsumos,0)),"Unidad incompatible",IF(A126="","Falta fecha","OK")))))</f>
        <v/>
      </c>
      <c r="J126" s="15"/>
    </row>
    <row r="127" customFormat="false" ht="15" hidden="false" customHeight="false" outlineLevel="0" collapsed="false">
      <c r="A127" s="26"/>
      <c r="B127" s="15"/>
      <c r="C127" s="15"/>
      <c r="D127" s="27"/>
      <c r="E127" s="15"/>
      <c r="F127" s="28"/>
      <c r="G127" s="25" t="str">
        <f aca="true">IF(OR(D127="",E127=""),"",IFERROR(D127*INDEX(UnidadesFactor,MATCH(E127,Unidades,0)),""))</f>
        <v/>
      </c>
      <c r="H127" s="17" t="str">
        <f aca="false">IF(I127&lt;&gt;"OK","",IF(G127=0,"",F127/G127))</f>
        <v/>
      </c>
      <c r="I127" s="20" t="str">
        <f aca="true">IF(B127="","",IF(ISNA(MATCH(B127,ListaInsumos,0)),"Insumo no está en Insumos",IF(OR(D127="",E127="",F127=""),"Faltan datos",IF(INDEX(UnidadesBase,MATCH(E127,Unidades,0))&lt;&gt;INDEX(InsBase,MATCH(B127,ListaInsumos,0)),"Unidad incompatible",IF(A127="","Falta fecha","OK")))))</f>
        <v/>
      </c>
      <c r="J127" s="15"/>
    </row>
    <row r="128" customFormat="false" ht="15" hidden="false" customHeight="false" outlineLevel="0" collapsed="false">
      <c r="A128" s="26"/>
      <c r="B128" s="15"/>
      <c r="C128" s="15"/>
      <c r="D128" s="27"/>
      <c r="E128" s="15"/>
      <c r="F128" s="28"/>
      <c r="G128" s="25" t="str">
        <f aca="true">IF(OR(D128="",E128=""),"",IFERROR(D128*INDEX(UnidadesFactor,MATCH(E128,Unidades,0)),""))</f>
        <v/>
      </c>
      <c r="H128" s="17" t="str">
        <f aca="false">IF(I128&lt;&gt;"OK","",IF(G128=0,"",F128/G128))</f>
        <v/>
      </c>
      <c r="I128" s="20" t="str">
        <f aca="true">IF(B128="","",IF(ISNA(MATCH(B128,ListaInsumos,0)),"Insumo no está en Insumos",IF(OR(D128="",E128="",F128=""),"Faltan datos",IF(INDEX(UnidadesBase,MATCH(E128,Unidades,0))&lt;&gt;INDEX(InsBase,MATCH(B128,ListaInsumos,0)),"Unidad incompatible",IF(A128="","Falta fecha","OK")))))</f>
        <v/>
      </c>
      <c r="J128" s="15"/>
    </row>
    <row r="129" customFormat="false" ht="15" hidden="false" customHeight="false" outlineLevel="0" collapsed="false">
      <c r="A129" s="26"/>
      <c r="B129" s="15"/>
      <c r="C129" s="15"/>
      <c r="D129" s="27"/>
      <c r="E129" s="15"/>
      <c r="F129" s="28"/>
      <c r="G129" s="25" t="str">
        <f aca="true">IF(OR(D129="",E129=""),"",IFERROR(D129*INDEX(UnidadesFactor,MATCH(E129,Unidades,0)),""))</f>
        <v/>
      </c>
      <c r="H129" s="17" t="str">
        <f aca="false">IF(I129&lt;&gt;"OK","",IF(G129=0,"",F129/G129))</f>
        <v/>
      </c>
      <c r="I129" s="20" t="str">
        <f aca="true">IF(B129="","",IF(ISNA(MATCH(B129,ListaInsumos,0)),"Insumo no está en Insumos",IF(OR(D129="",E129="",F129=""),"Faltan datos",IF(INDEX(UnidadesBase,MATCH(E129,Unidades,0))&lt;&gt;INDEX(InsBase,MATCH(B129,ListaInsumos,0)),"Unidad incompatible",IF(A129="","Falta fecha","OK")))))</f>
        <v/>
      </c>
      <c r="J129" s="15"/>
    </row>
    <row r="130" customFormat="false" ht="15" hidden="false" customHeight="false" outlineLevel="0" collapsed="false">
      <c r="A130" s="26"/>
      <c r="B130" s="15"/>
      <c r="C130" s="15"/>
      <c r="D130" s="27"/>
      <c r="E130" s="15"/>
      <c r="F130" s="28"/>
      <c r="G130" s="25" t="str">
        <f aca="true">IF(OR(D130="",E130=""),"",IFERROR(D130*INDEX(UnidadesFactor,MATCH(E130,Unidades,0)),""))</f>
        <v/>
      </c>
      <c r="H130" s="17" t="str">
        <f aca="false">IF(I130&lt;&gt;"OK","",IF(G130=0,"",F130/G130))</f>
        <v/>
      </c>
      <c r="I130" s="20" t="str">
        <f aca="true">IF(B130="","",IF(ISNA(MATCH(B130,ListaInsumos,0)),"Insumo no está en Insumos",IF(OR(D130="",E130="",F130=""),"Faltan datos",IF(INDEX(UnidadesBase,MATCH(E130,Unidades,0))&lt;&gt;INDEX(InsBase,MATCH(B130,ListaInsumos,0)),"Unidad incompatible",IF(A130="","Falta fecha","OK")))))</f>
        <v/>
      </c>
      <c r="J130" s="15"/>
    </row>
    <row r="131" customFormat="false" ht="15" hidden="false" customHeight="false" outlineLevel="0" collapsed="false">
      <c r="A131" s="26"/>
      <c r="B131" s="15"/>
      <c r="C131" s="15"/>
      <c r="D131" s="27"/>
      <c r="E131" s="15"/>
      <c r="F131" s="28"/>
      <c r="G131" s="25" t="str">
        <f aca="true">IF(OR(D131="",E131=""),"",IFERROR(D131*INDEX(UnidadesFactor,MATCH(E131,Unidades,0)),""))</f>
        <v/>
      </c>
      <c r="H131" s="17" t="str">
        <f aca="false">IF(I131&lt;&gt;"OK","",IF(G131=0,"",F131/G131))</f>
        <v/>
      </c>
      <c r="I131" s="20" t="str">
        <f aca="true">IF(B131="","",IF(ISNA(MATCH(B131,ListaInsumos,0)),"Insumo no está en Insumos",IF(OR(D131="",E131="",F131=""),"Faltan datos",IF(INDEX(UnidadesBase,MATCH(E131,Unidades,0))&lt;&gt;INDEX(InsBase,MATCH(B131,ListaInsumos,0)),"Unidad incompatible",IF(A131="","Falta fecha","OK")))))</f>
        <v/>
      </c>
      <c r="J131" s="15"/>
    </row>
    <row r="132" customFormat="false" ht="15" hidden="false" customHeight="false" outlineLevel="0" collapsed="false">
      <c r="A132" s="26"/>
      <c r="B132" s="15"/>
      <c r="C132" s="15"/>
      <c r="D132" s="27"/>
      <c r="E132" s="15"/>
      <c r="F132" s="28"/>
      <c r="G132" s="25" t="str">
        <f aca="true">IF(OR(D132="",E132=""),"",IFERROR(D132*INDEX(UnidadesFactor,MATCH(E132,Unidades,0)),""))</f>
        <v/>
      </c>
      <c r="H132" s="17" t="str">
        <f aca="false">IF(I132&lt;&gt;"OK","",IF(G132=0,"",F132/G132))</f>
        <v/>
      </c>
      <c r="I132" s="20" t="str">
        <f aca="true">IF(B132="","",IF(ISNA(MATCH(B132,ListaInsumos,0)),"Insumo no está en Insumos",IF(OR(D132="",E132="",F132=""),"Faltan datos",IF(INDEX(UnidadesBase,MATCH(E132,Unidades,0))&lt;&gt;INDEX(InsBase,MATCH(B132,ListaInsumos,0)),"Unidad incompatible",IF(A132="","Falta fecha","OK")))))</f>
        <v/>
      </c>
      <c r="J132" s="15"/>
    </row>
    <row r="133" customFormat="false" ht="15" hidden="false" customHeight="false" outlineLevel="0" collapsed="false">
      <c r="A133" s="26"/>
      <c r="B133" s="15"/>
      <c r="C133" s="15"/>
      <c r="D133" s="27"/>
      <c r="E133" s="15"/>
      <c r="F133" s="28"/>
      <c r="G133" s="25" t="str">
        <f aca="true">IF(OR(D133="",E133=""),"",IFERROR(D133*INDEX(UnidadesFactor,MATCH(E133,Unidades,0)),""))</f>
        <v/>
      </c>
      <c r="H133" s="17" t="str">
        <f aca="false">IF(I133&lt;&gt;"OK","",IF(G133=0,"",F133/G133))</f>
        <v/>
      </c>
      <c r="I133" s="20" t="str">
        <f aca="true">IF(B133="","",IF(ISNA(MATCH(B133,ListaInsumos,0)),"Insumo no está en Insumos",IF(OR(D133="",E133="",F133=""),"Faltan datos",IF(INDEX(UnidadesBase,MATCH(E133,Unidades,0))&lt;&gt;INDEX(InsBase,MATCH(B133,ListaInsumos,0)),"Unidad incompatible",IF(A133="","Falta fecha","OK")))))</f>
        <v/>
      </c>
      <c r="J133" s="15"/>
    </row>
    <row r="134" customFormat="false" ht="15" hidden="false" customHeight="false" outlineLevel="0" collapsed="false">
      <c r="A134" s="26"/>
      <c r="B134" s="15"/>
      <c r="C134" s="15"/>
      <c r="D134" s="27"/>
      <c r="E134" s="15"/>
      <c r="F134" s="28"/>
      <c r="G134" s="25" t="str">
        <f aca="true">IF(OR(D134="",E134=""),"",IFERROR(D134*INDEX(UnidadesFactor,MATCH(E134,Unidades,0)),""))</f>
        <v/>
      </c>
      <c r="H134" s="17" t="str">
        <f aca="false">IF(I134&lt;&gt;"OK","",IF(G134=0,"",F134/G134))</f>
        <v/>
      </c>
      <c r="I134" s="20" t="str">
        <f aca="true">IF(B134="","",IF(ISNA(MATCH(B134,ListaInsumos,0)),"Insumo no está en Insumos",IF(OR(D134="",E134="",F134=""),"Faltan datos",IF(INDEX(UnidadesBase,MATCH(E134,Unidades,0))&lt;&gt;INDEX(InsBase,MATCH(B134,ListaInsumos,0)),"Unidad incompatible",IF(A134="","Falta fecha","OK")))))</f>
        <v/>
      </c>
      <c r="J134" s="15"/>
    </row>
    <row r="135" customFormat="false" ht="15" hidden="false" customHeight="false" outlineLevel="0" collapsed="false">
      <c r="A135" s="26"/>
      <c r="B135" s="15"/>
      <c r="C135" s="15"/>
      <c r="D135" s="27"/>
      <c r="E135" s="15"/>
      <c r="F135" s="28"/>
      <c r="G135" s="25" t="str">
        <f aca="true">IF(OR(D135="",E135=""),"",IFERROR(D135*INDEX(UnidadesFactor,MATCH(E135,Unidades,0)),""))</f>
        <v/>
      </c>
      <c r="H135" s="17" t="str">
        <f aca="false">IF(I135&lt;&gt;"OK","",IF(G135=0,"",F135/G135))</f>
        <v/>
      </c>
      <c r="I135" s="20" t="str">
        <f aca="true">IF(B135="","",IF(ISNA(MATCH(B135,ListaInsumos,0)),"Insumo no está en Insumos",IF(OR(D135="",E135="",F135=""),"Faltan datos",IF(INDEX(UnidadesBase,MATCH(E135,Unidades,0))&lt;&gt;INDEX(InsBase,MATCH(B135,ListaInsumos,0)),"Unidad incompatible",IF(A135="","Falta fecha","OK")))))</f>
        <v/>
      </c>
      <c r="J135" s="15"/>
    </row>
    <row r="136" customFormat="false" ht="15" hidden="false" customHeight="false" outlineLevel="0" collapsed="false">
      <c r="A136" s="26"/>
      <c r="B136" s="15"/>
      <c r="C136" s="15"/>
      <c r="D136" s="27"/>
      <c r="E136" s="15"/>
      <c r="F136" s="28"/>
      <c r="G136" s="25" t="str">
        <f aca="true">IF(OR(D136="",E136=""),"",IFERROR(D136*INDEX(UnidadesFactor,MATCH(E136,Unidades,0)),""))</f>
        <v/>
      </c>
      <c r="H136" s="17" t="str">
        <f aca="false">IF(I136&lt;&gt;"OK","",IF(G136=0,"",F136/G136))</f>
        <v/>
      </c>
      <c r="I136" s="20" t="str">
        <f aca="true">IF(B136="","",IF(ISNA(MATCH(B136,ListaInsumos,0)),"Insumo no está en Insumos",IF(OR(D136="",E136="",F136=""),"Faltan datos",IF(INDEX(UnidadesBase,MATCH(E136,Unidades,0))&lt;&gt;INDEX(InsBase,MATCH(B136,ListaInsumos,0)),"Unidad incompatible",IF(A136="","Falta fecha","OK")))))</f>
        <v/>
      </c>
      <c r="J136" s="15"/>
    </row>
    <row r="137" customFormat="false" ht="15" hidden="false" customHeight="false" outlineLevel="0" collapsed="false">
      <c r="A137" s="26"/>
      <c r="B137" s="15"/>
      <c r="C137" s="15"/>
      <c r="D137" s="27"/>
      <c r="E137" s="15"/>
      <c r="F137" s="28"/>
      <c r="G137" s="25" t="str">
        <f aca="true">IF(OR(D137="",E137=""),"",IFERROR(D137*INDEX(UnidadesFactor,MATCH(E137,Unidades,0)),""))</f>
        <v/>
      </c>
      <c r="H137" s="17" t="str">
        <f aca="false">IF(I137&lt;&gt;"OK","",IF(G137=0,"",F137/G137))</f>
        <v/>
      </c>
      <c r="I137" s="20" t="str">
        <f aca="true">IF(B137="","",IF(ISNA(MATCH(B137,ListaInsumos,0)),"Insumo no está en Insumos",IF(OR(D137="",E137="",F137=""),"Faltan datos",IF(INDEX(UnidadesBase,MATCH(E137,Unidades,0))&lt;&gt;INDEX(InsBase,MATCH(B137,ListaInsumos,0)),"Unidad incompatible",IF(A137="","Falta fecha","OK")))))</f>
        <v/>
      </c>
      <c r="J137" s="15"/>
    </row>
    <row r="138" customFormat="false" ht="15" hidden="false" customHeight="false" outlineLevel="0" collapsed="false">
      <c r="A138" s="26"/>
      <c r="B138" s="15"/>
      <c r="C138" s="15"/>
      <c r="D138" s="27"/>
      <c r="E138" s="15"/>
      <c r="F138" s="28"/>
      <c r="G138" s="25" t="str">
        <f aca="true">IF(OR(D138="",E138=""),"",IFERROR(D138*INDEX(UnidadesFactor,MATCH(E138,Unidades,0)),""))</f>
        <v/>
      </c>
      <c r="H138" s="17" t="str">
        <f aca="false">IF(I138&lt;&gt;"OK","",IF(G138=0,"",F138/G138))</f>
        <v/>
      </c>
      <c r="I138" s="20" t="str">
        <f aca="true">IF(B138="","",IF(ISNA(MATCH(B138,ListaInsumos,0)),"Insumo no está en Insumos",IF(OR(D138="",E138="",F138=""),"Faltan datos",IF(INDEX(UnidadesBase,MATCH(E138,Unidades,0))&lt;&gt;INDEX(InsBase,MATCH(B138,ListaInsumos,0)),"Unidad incompatible",IF(A138="","Falta fecha","OK")))))</f>
        <v/>
      </c>
      <c r="J138" s="15"/>
    </row>
    <row r="139" customFormat="false" ht="15" hidden="false" customHeight="false" outlineLevel="0" collapsed="false">
      <c r="A139" s="26"/>
      <c r="B139" s="15"/>
      <c r="C139" s="15"/>
      <c r="D139" s="27"/>
      <c r="E139" s="15"/>
      <c r="F139" s="28"/>
      <c r="G139" s="25" t="str">
        <f aca="true">IF(OR(D139="",E139=""),"",IFERROR(D139*INDEX(UnidadesFactor,MATCH(E139,Unidades,0)),""))</f>
        <v/>
      </c>
      <c r="H139" s="17" t="str">
        <f aca="false">IF(I139&lt;&gt;"OK","",IF(G139=0,"",F139/G139))</f>
        <v/>
      </c>
      <c r="I139" s="20" t="str">
        <f aca="true">IF(B139="","",IF(ISNA(MATCH(B139,ListaInsumos,0)),"Insumo no está en Insumos",IF(OR(D139="",E139="",F139=""),"Faltan datos",IF(INDEX(UnidadesBase,MATCH(E139,Unidades,0))&lt;&gt;INDEX(InsBase,MATCH(B139,ListaInsumos,0)),"Unidad incompatible",IF(A139="","Falta fecha","OK")))))</f>
        <v/>
      </c>
      <c r="J139" s="15"/>
    </row>
    <row r="140" customFormat="false" ht="15" hidden="false" customHeight="false" outlineLevel="0" collapsed="false">
      <c r="A140" s="26"/>
      <c r="B140" s="15"/>
      <c r="C140" s="15"/>
      <c r="D140" s="27"/>
      <c r="E140" s="15"/>
      <c r="F140" s="28"/>
      <c r="G140" s="25" t="str">
        <f aca="true">IF(OR(D140="",E140=""),"",IFERROR(D140*INDEX(UnidadesFactor,MATCH(E140,Unidades,0)),""))</f>
        <v/>
      </c>
      <c r="H140" s="17" t="str">
        <f aca="false">IF(I140&lt;&gt;"OK","",IF(G140=0,"",F140/G140))</f>
        <v/>
      </c>
      <c r="I140" s="20" t="str">
        <f aca="true">IF(B140="","",IF(ISNA(MATCH(B140,ListaInsumos,0)),"Insumo no está en Insumos",IF(OR(D140="",E140="",F140=""),"Faltan datos",IF(INDEX(UnidadesBase,MATCH(E140,Unidades,0))&lt;&gt;INDEX(InsBase,MATCH(B140,ListaInsumos,0)),"Unidad incompatible",IF(A140="","Falta fecha","OK")))))</f>
        <v/>
      </c>
      <c r="J140" s="15"/>
    </row>
    <row r="141" customFormat="false" ht="15" hidden="false" customHeight="false" outlineLevel="0" collapsed="false">
      <c r="A141" s="26"/>
      <c r="B141" s="15"/>
      <c r="C141" s="15"/>
      <c r="D141" s="27"/>
      <c r="E141" s="15"/>
      <c r="F141" s="28"/>
      <c r="G141" s="25" t="str">
        <f aca="true">IF(OR(D141="",E141=""),"",IFERROR(D141*INDEX(UnidadesFactor,MATCH(E141,Unidades,0)),""))</f>
        <v/>
      </c>
      <c r="H141" s="17" t="str">
        <f aca="false">IF(I141&lt;&gt;"OK","",IF(G141=0,"",F141/G141))</f>
        <v/>
      </c>
      <c r="I141" s="20" t="str">
        <f aca="true">IF(B141="","",IF(ISNA(MATCH(B141,ListaInsumos,0)),"Insumo no está en Insumos",IF(OR(D141="",E141="",F141=""),"Faltan datos",IF(INDEX(UnidadesBase,MATCH(E141,Unidades,0))&lt;&gt;INDEX(InsBase,MATCH(B141,ListaInsumos,0)),"Unidad incompatible",IF(A141="","Falta fecha","OK")))))</f>
        <v/>
      </c>
      <c r="J141" s="15"/>
    </row>
    <row r="142" customFormat="false" ht="15" hidden="false" customHeight="false" outlineLevel="0" collapsed="false">
      <c r="A142" s="26"/>
      <c r="B142" s="15"/>
      <c r="C142" s="15"/>
      <c r="D142" s="27"/>
      <c r="E142" s="15"/>
      <c r="F142" s="28"/>
      <c r="G142" s="25" t="str">
        <f aca="true">IF(OR(D142="",E142=""),"",IFERROR(D142*INDEX(UnidadesFactor,MATCH(E142,Unidades,0)),""))</f>
        <v/>
      </c>
      <c r="H142" s="17" t="str">
        <f aca="false">IF(I142&lt;&gt;"OK","",IF(G142=0,"",F142/G142))</f>
        <v/>
      </c>
      <c r="I142" s="20" t="str">
        <f aca="true">IF(B142="","",IF(ISNA(MATCH(B142,ListaInsumos,0)),"Insumo no está en Insumos",IF(OR(D142="",E142="",F142=""),"Faltan datos",IF(INDEX(UnidadesBase,MATCH(E142,Unidades,0))&lt;&gt;INDEX(InsBase,MATCH(B142,ListaInsumos,0)),"Unidad incompatible",IF(A142="","Falta fecha","OK")))))</f>
        <v/>
      </c>
      <c r="J142" s="15"/>
    </row>
    <row r="143" customFormat="false" ht="15" hidden="false" customHeight="false" outlineLevel="0" collapsed="false">
      <c r="A143" s="26"/>
      <c r="B143" s="15"/>
      <c r="C143" s="15"/>
      <c r="D143" s="27"/>
      <c r="E143" s="15"/>
      <c r="F143" s="28"/>
      <c r="G143" s="25" t="str">
        <f aca="true">IF(OR(D143="",E143=""),"",IFERROR(D143*INDEX(UnidadesFactor,MATCH(E143,Unidades,0)),""))</f>
        <v/>
      </c>
      <c r="H143" s="17" t="str">
        <f aca="false">IF(I143&lt;&gt;"OK","",IF(G143=0,"",F143/G143))</f>
        <v/>
      </c>
      <c r="I143" s="20" t="str">
        <f aca="true">IF(B143="","",IF(ISNA(MATCH(B143,ListaInsumos,0)),"Insumo no está en Insumos",IF(OR(D143="",E143="",F143=""),"Faltan datos",IF(INDEX(UnidadesBase,MATCH(E143,Unidades,0))&lt;&gt;INDEX(InsBase,MATCH(B143,ListaInsumos,0)),"Unidad incompatible",IF(A143="","Falta fecha","OK")))))</f>
        <v/>
      </c>
      <c r="J143" s="15"/>
    </row>
    <row r="144" customFormat="false" ht="15" hidden="false" customHeight="false" outlineLevel="0" collapsed="false">
      <c r="A144" s="26"/>
      <c r="B144" s="15"/>
      <c r="C144" s="15"/>
      <c r="D144" s="27"/>
      <c r="E144" s="15"/>
      <c r="F144" s="28"/>
      <c r="G144" s="25" t="str">
        <f aca="true">IF(OR(D144="",E144=""),"",IFERROR(D144*INDEX(UnidadesFactor,MATCH(E144,Unidades,0)),""))</f>
        <v/>
      </c>
      <c r="H144" s="17" t="str">
        <f aca="false">IF(I144&lt;&gt;"OK","",IF(G144=0,"",F144/G144))</f>
        <v/>
      </c>
      <c r="I144" s="20" t="str">
        <f aca="true">IF(B144="","",IF(ISNA(MATCH(B144,ListaInsumos,0)),"Insumo no está en Insumos",IF(OR(D144="",E144="",F144=""),"Faltan datos",IF(INDEX(UnidadesBase,MATCH(E144,Unidades,0))&lt;&gt;INDEX(InsBase,MATCH(B144,ListaInsumos,0)),"Unidad incompatible",IF(A144="","Falta fecha","OK")))))</f>
        <v/>
      </c>
      <c r="J144" s="15"/>
    </row>
    <row r="145" customFormat="false" ht="15" hidden="false" customHeight="false" outlineLevel="0" collapsed="false">
      <c r="A145" s="26"/>
      <c r="B145" s="15"/>
      <c r="C145" s="15"/>
      <c r="D145" s="27"/>
      <c r="E145" s="15"/>
      <c r="F145" s="28"/>
      <c r="G145" s="25" t="str">
        <f aca="true">IF(OR(D145="",E145=""),"",IFERROR(D145*INDEX(UnidadesFactor,MATCH(E145,Unidades,0)),""))</f>
        <v/>
      </c>
      <c r="H145" s="17" t="str">
        <f aca="false">IF(I145&lt;&gt;"OK","",IF(G145=0,"",F145/G145))</f>
        <v/>
      </c>
      <c r="I145" s="20" t="str">
        <f aca="true">IF(B145="","",IF(ISNA(MATCH(B145,ListaInsumos,0)),"Insumo no está en Insumos",IF(OR(D145="",E145="",F145=""),"Faltan datos",IF(INDEX(UnidadesBase,MATCH(E145,Unidades,0))&lt;&gt;INDEX(InsBase,MATCH(B145,ListaInsumos,0)),"Unidad incompatible",IF(A145="","Falta fecha","OK")))))</f>
        <v/>
      </c>
      <c r="J145" s="15"/>
    </row>
    <row r="146" customFormat="false" ht="15" hidden="false" customHeight="false" outlineLevel="0" collapsed="false">
      <c r="A146" s="26"/>
      <c r="B146" s="15"/>
      <c r="C146" s="15"/>
      <c r="D146" s="27"/>
      <c r="E146" s="15"/>
      <c r="F146" s="28"/>
      <c r="G146" s="25" t="str">
        <f aca="true">IF(OR(D146="",E146=""),"",IFERROR(D146*INDEX(UnidadesFactor,MATCH(E146,Unidades,0)),""))</f>
        <v/>
      </c>
      <c r="H146" s="17" t="str">
        <f aca="false">IF(I146&lt;&gt;"OK","",IF(G146=0,"",F146/G146))</f>
        <v/>
      </c>
      <c r="I146" s="20" t="str">
        <f aca="true">IF(B146="","",IF(ISNA(MATCH(B146,ListaInsumos,0)),"Insumo no está en Insumos",IF(OR(D146="",E146="",F146=""),"Faltan datos",IF(INDEX(UnidadesBase,MATCH(E146,Unidades,0))&lt;&gt;INDEX(InsBase,MATCH(B146,ListaInsumos,0)),"Unidad incompatible",IF(A146="","Falta fecha","OK")))))</f>
        <v/>
      </c>
      <c r="J146" s="15"/>
    </row>
    <row r="147" customFormat="false" ht="15" hidden="false" customHeight="false" outlineLevel="0" collapsed="false">
      <c r="A147" s="26"/>
      <c r="B147" s="15"/>
      <c r="C147" s="15"/>
      <c r="D147" s="27"/>
      <c r="E147" s="15"/>
      <c r="F147" s="28"/>
      <c r="G147" s="25" t="str">
        <f aca="true">IF(OR(D147="",E147=""),"",IFERROR(D147*INDEX(UnidadesFactor,MATCH(E147,Unidades,0)),""))</f>
        <v/>
      </c>
      <c r="H147" s="17" t="str">
        <f aca="false">IF(I147&lt;&gt;"OK","",IF(G147=0,"",F147/G147))</f>
        <v/>
      </c>
      <c r="I147" s="20" t="str">
        <f aca="true">IF(B147="","",IF(ISNA(MATCH(B147,ListaInsumos,0)),"Insumo no está en Insumos",IF(OR(D147="",E147="",F147=""),"Faltan datos",IF(INDEX(UnidadesBase,MATCH(E147,Unidades,0))&lt;&gt;INDEX(InsBase,MATCH(B147,ListaInsumos,0)),"Unidad incompatible",IF(A147="","Falta fecha","OK")))))</f>
        <v/>
      </c>
      <c r="J147" s="15"/>
    </row>
    <row r="148" customFormat="false" ht="15" hidden="false" customHeight="false" outlineLevel="0" collapsed="false">
      <c r="A148" s="26"/>
      <c r="B148" s="15"/>
      <c r="C148" s="15"/>
      <c r="D148" s="27"/>
      <c r="E148" s="15"/>
      <c r="F148" s="28"/>
      <c r="G148" s="25" t="str">
        <f aca="true">IF(OR(D148="",E148=""),"",IFERROR(D148*INDEX(UnidadesFactor,MATCH(E148,Unidades,0)),""))</f>
        <v/>
      </c>
      <c r="H148" s="17" t="str">
        <f aca="false">IF(I148&lt;&gt;"OK","",IF(G148=0,"",F148/G148))</f>
        <v/>
      </c>
      <c r="I148" s="20" t="str">
        <f aca="true">IF(B148="","",IF(ISNA(MATCH(B148,ListaInsumos,0)),"Insumo no está en Insumos",IF(OR(D148="",E148="",F148=""),"Faltan datos",IF(INDEX(UnidadesBase,MATCH(E148,Unidades,0))&lt;&gt;INDEX(InsBase,MATCH(B148,ListaInsumos,0)),"Unidad incompatible",IF(A148="","Falta fecha","OK")))))</f>
        <v/>
      </c>
      <c r="J148" s="15"/>
    </row>
    <row r="149" customFormat="false" ht="15" hidden="false" customHeight="false" outlineLevel="0" collapsed="false">
      <c r="A149" s="26"/>
      <c r="B149" s="15"/>
      <c r="C149" s="15"/>
      <c r="D149" s="27"/>
      <c r="E149" s="15"/>
      <c r="F149" s="28"/>
      <c r="G149" s="25" t="str">
        <f aca="true">IF(OR(D149="",E149=""),"",IFERROR(D149*INDEX(UnidadesFactor,MATCH(E149,Unidades,0)),""))</f>
        <v/>
      </c>
      <c r="H149" s="17" t="str">
        <f aca="false">IF(I149&lt;&gt;"OK","",IF(G149=0,"",F149/G149))</f>
        <v/>
      </c>
      <c r="I149" s="20" t="str">
        <f aca="true">IF(B149="","",IF(ISNA(MATCH(B149,ListaInsumos,0)),"Insumo no está en Insumos",IF(OR(D149="",E149="",F149=""),"Faltan datos",IF(INDEX(UnidadesBase,MATCH(E149,Unidades,0))&lt;&gt;INDEX(InsBase,MATCH(B149,ListaInsumos,0)),"Unidad incompatible",IF(A149="","Falta fecha","OK")))))</f>
        <v/>
      </c>
      <c r="J149" s="15"/>
    </row>
    <row r="150" customFormat="false" ht="15" hidden="false" customHeight="false" outlineLevel="0" collapsed="false">
      <c r="A150" s="26"/>
      <c r="B150" s="15"/>
      <c r="C150" s="15"/>
      <c r="D150" s="27"/>
      <c r="E150" s="15"/>
      <c r="F150" s="28"/>
      <c r="G150" s="25" t="str">
        <f aca="true">IF(OR(D150="",E150=""),"",IFERROR(D150*INDEX(UnidadesFactor,MATCH(E150,Unidades,0)),""))</f>
        <v/>
      </c>
      <c r="H150" s="17" t="str">
        <f aca="false">IF(I150&lt;&gt;"OK","",IF(G150=0,"",F150/G150))</f>
        <v/>
      </c>
      <c r="I150" s="20" t="str">
        <f aca="true">IF(B150="","",IF(ISNA(MATCH(B150,ListaInsumos,0)),"Insumo no está en Insumos",IF(OR(D150="",E150="",F150=""),"Faltan datos",IF(INDEX(UnidadesBase,MATCH(E150,Unidades,0))&lt;&gt;INDEX(InsBase,MATCH(B150,ListaInsumos,0)),"Unidad incompatible",IF(A150="","Falta fecha","OK")))))</f>
        <v/>
      </c>
      <c r="J150" s="15"/>
    </row>
    <row r="151" customFormat="false" ht="15" hidden="false" customHeight="false" outlineLevel="0" collapsed="false">
      <c r="A151" s="26"/>
      <c r="B151" s="15"/>
      <c r="C151" s="15"/>
      <c r="D151" s="27"/>
      <c r="E151" s="15"/>
      <c r="F151" s="28"/>
      <c r="G151" s="25" t="str">
        <f aca="true">IF(OR(D151="",E151=""),"",IFERROR(D151*INDEX(UnidadesFactor,MATCH(E151,Unidades,0)),""))</f>
        <v/>
      </c>
      <c r="H151" s="17" t="str">
        <f aca="false">IF(I151&lt;&gt;"OK","",IF(G151=0,"",F151/G151))</f>
        <v/>
      </c>
      <c r="I151" s="20" t="str">
        <f aca="true">IF(B151="","",IF(ISNA(MATCH(B151,ListaInsumos,0)),"Insumo no está en Insumos",IF(OR(D151="",E151="",F151=""),"Faltan datos",IF(INDEX(UnidadesBase,MATCH(E151,Unidades,0))&lt;&gt;INDEX(InsBase,MATCH(B151,ListaInsumos,0)),"Unidad incompatible",IF(A151="","Falta fecha","OK")))))</f>
        <v/>
      </c>
      <c r="J151" s="15"/>
    </row>
    <row r="152" customFormat="false" ht="15" hidden="false" customHeight="false" outlineLevel="0" collapsed="false">
      <c r="A152" s="26"/>
      <c r="B152" s="15"/>
      <c r="C152" s="15"/>
      <c r="D152" s="27"/>
      <c r="E152" s="15"/>
      <c r="F152" s="28"/>
      <c r="G152" s="25" t="str">
        <f aca="true">IF(OR(D152="",E152=""),"",IFERROR(D152*INDEX(UnidadesFactor,MATCH(E152,Unidades,0)),""))</f>
        <v/>
      </c>
      <c r="H152" s="17" t="str">
        <f aca="false">IF(I152&lt;&gt;"OK","",IF(G152=0,"",F152/G152))</f>
        <v/>
      </c>
      <c r="I152" s="20" t="str">
        <f aca="true">IF(B152="","",IF(ISNA(MATCH(B152,ListaInsumos,0)),"Insumo no está en Insumos",IF(OR(D152="",E152="",F152=""),"Faltan datos",IF(INDEX(UnidadesBase,MATCH(E152,Unidades,0))&lt;&gt;INDEX(InsBase,MATCH(B152,ListaInsumos,0)),"Unidad incompatible",IF(A152="","Falta fecha","OK")))))</f>
        <v/>
      </c>
      <c r="J152" s="15"/>
    </row>
    <row r="153" customFormat="false" ht="15" hidden="false" customHeight="false" outlineLevel="0" collapsed="false">
      <c r="A153" s="26"/>
      <c r="B153" s="15"/>
      <c r="C153" s="15"/>
      <c r="D153" s="27"/>
      <c r="E153" s="15"/>
      <c r="F153" s="28"/>
      <c r="G153" s="25" t="str">
        <f aca="true">IF(OR(D153="",E153=""),"",IFERROR(D153*INDEX(UnidadesFactor,MATCH(E153,Unidades,0)),""))</f>
        <v/>
      </c>
      <c r="H153" s="17" t="str">
        <f aca="false">IF(I153&lt;&gt;"OK","",IF(G153=0,"",F153/G153))</f>
        <v/>
      </c>
      <c r="I153" s="20" t="str">
        <f aca="true">IF(B153="","",IF(ISNA(MATCH(B153,ListaInsumos,0)),"Insumo no está en Insumos",IF(OR(D153="",E153="",F153=""),"Faltan datos",IF(INDEX(UnidadesBase,MATCH(E153,Unidades,0))&lt;&gt;INDEX(InsBase,MATCH(B153,ListaInsumos,0)),"Unidad incompatible",IF(A153="","Falta fecha","OK")))))</f>
        <v/>
      </c>
      <c r="J153" s="15"/>
    </row>
    <row r="154" customFormat="false" ht="15" hidden="false" customHeight="false" outlineLevel="0" collapsed="false">
      <c r="A154" s="26"/>
      <c r="B154" s="15"/>
      <c r="C154" s="15"/>
      <c r="D154" s="27"/>
      <c r="E154" s="15"/>
      <c r="F154" s="28"/>
      <c r="G154" s="25" t="str">
        <f aca="true">IF(OR(D154="",E154=""),"",IFERROR(D154*INDEX(UnidadesFactor,MATCH(E154,Unidades,0)),""))</f>
        <v/>
      </c>
      <c r="H154" s="17" t="str">
        <f aca="false">IF(I154&lt;&gt;"OK","",IF(G154=0,"",F154/G154))</f>
        <v/>
      </c>
      <c r="I154" s="20" t="str">
        <f aca="true">IF(B154="","",IF(ISNA(MATCH(B154,ListaInsumos,0)),"Insumo no está en Insumos",IF(OR(D154="",E154="",F154=""),"Faltan datos",IF(INDEX(UnidadesBase,MATCH(E154,Unidades,0))&lt;&gt;INDEX(InsBase,MATCH(B154,ListaInsumos,0)),"Unidad incompatible",IF(A154="","Falta fecha","OK")))))</f>
        <v/>
      </c>
      <c r="J154" s="15"/>
    </row>
    <row r="155" customFormat="false" ht="15" hidden="false" customHeight="false" outlineLevel="0" collapsed="false">
      <c r="A155" s="26"/>
      <c r="B155" s="15"/>
      <c r="C155" s="15"/>
      <c r="D155" s="27"/>
      <c r="E155" s="15"/>
      <c r="F155" s="28"/>
      <c r="G155" s="25" t="str">
        <f aca="true">IF(OR(D155="",E155=""),"",IFERROR(D155*INDEX(UnidadesFactor,MATCH(E155,Unidades,0)),""))</f>
        <v/>
      </c>
      <c r="H155" s="17" t="str">
        <f aca="false">IF(I155&lt;&gt;"OK","",IF(G155=0,"",F155/G155))</f>
        <v/>
      </c>
      <c r="I155" s="20" t="str">
        <f aca="true">IF(B155="","",IF(ISNA(MATCH(B155,ListaInsumos,0)),"Insumo no está en Insumos",IF(OR(D155="",E155="",F155=""),"Faltan datos",IF(INDEX(UnidadesBase,MATCH(E155,Unidades,0))&lt;&gt;INDEX(InsBase,MATCH(B155,ListaInsumos,0)),"Unidad incompatible",IF(A155="","Falta fecha","OK")))))</f>
        <v/>
      </c>
      <c r="J155" s="15"/>
    </row>
    <row r="156" customFormat="false" ht="15" hidden="false" customHeight="false" outlineLevel="0" collapsed="false">
      <c r="A156" s="26"/>
      <c r="B156" s="15"/>
      <c r="C156" s="15"/>
      <c r="D156" s="27"/>
      <c r="E156" s="15"/>
      <c r="F156" s="28"/>
      <c r="G156" s="25" t="str">
        <f aca="true">IF(OR(D156="",E156=""),"",IFERROR(D156*INDEX(UnidadesFactor,MATCH(E156,Unidades,0)),""))</f>
        <v/>
      </c>
      <c r="H156" s="17" t="str">
        <f aca="false">IF(I156&lt;&gt;"OK","",IF(G156=0,"",F156/G156))</f>
        <v/>
      </c>
      <c r="I156" s="20" t="str">
        <f aca="true">IF(B156="","",IF(ISNA(MATCH(B156,ListaInsumos,0)),"Insumo no está en Insumos",IF(OR(D156="",E156="",F156=""),"Faltan datos",IF(INDEX(UnidadesBase,MATCH(E156,Unidades,0))&lt;&gt;INDEX(InsBase,MATCH(B156,ListaInsumos,0)),"Unidad incompatible",IF(A156="","Falta fecha","OK")))))</f>
        <v/>
      </c>
      <c r="J156" s="15"/>
    </row>
    <row r="157" customFormat="false" ht="15" hidden="false" customHeight="false" outlineLevel="0" collapsed="false">
      <c r="A157" s="26"/>
      <c r="B157" s="15"/>
      <c r="C157" s="15"/>
      <c r="D157" s="27"/>
      <c r="E157" s="15"/>
      <c r="F157" s="28"/>
      <c r="G157" s="25" t="str">
        <f aca="true">IF(OR(D157="",E157=""),"",IFERROR(D157*INDEX(UnidadesFactor,MATCH(E157,Unidades,0)),""))</f>
        <v/>
      </c>
      <c r="H157" s="17" t="str">
        <f aca="false">IF(I157&lt;&gt;"OK","",IF(G157=0,"",F157/G157))</f>
        <v/>
      </c>
      <c r="I157" s="20" t="str">
        <f aca="true">IF(B157="","",IF(ISNA(MATCH(B157,ListaInsumos,0)),"Insumo no está en Insumos",IF(OR(D157="",E157="",F157=""),"Faltan datos",IF(INDEX(UnidadesBase,MATCH(E157,Unidades,0))&lt;&gt;INDEX(InsBase,MATCH(B157,ListaInsumos,0)),"Unidad incompatible",IF(A157="","Falta fecha","OK")))))</f>
        <v/>
      </c>
      <c r="J157" s="15"/>
    </row>
    <row r="158" customFormat="false" ht="15" hidden="false" customHeight="false" outlineLevel="0" collapsed="false">
      <c r="A158" s="26"/>
      <c r="B158" s="15"/>
      <c r="C158" s="15"/>
      <c r="D158" s="27"/>
      <c r="E158" s="15"/>
      <c r="F158" s="28"/>
      <c r="G158" s="25" t="str">
        <f aca="true">IF(OR(D158="",E158=""),"",IFERROR(D158*INDEX(UnidadesFactor,MATCH(E158,Unidades,0)),""))</f>
        <v/>
      </c>
      <c r="H158" s="17" t="str">
        <f aca="false">IF(I158&lt;&gt;"OK","",IF(G158=0,"",F158/G158))</f>
        <v/>
      </c>
      <c r="I158" s="20" t="str">
        <f aca="true">IF(B158="","",IF(ISNA(MATCH(B158,ListaInsumos,0)),"Insumo no está en Insumos",IF(OR(D158="",E158="",F158=""),"Faltan datos",IF(INDEX(UnidadesBase,MATCH(E158,Unidades,0))&lt;&gt;INDEX(InsBase,MATCH(B158,ListaInsumos,0)),"Unidad incompatible",IF(A158="","Falta fecha","OK")))))</f>
        <v/>
      </c>
      <c r="J158" s="15"/>
    </row>
    <row r="159" customFormat="false" ht="15" hidden="false" customHeight="false" outlineLevel="0" collapsed="false">
      <c r="A159" s="26"/>
      <c r="B159" s="15"/>
      <c r="C159" s="15"/>
      <c r="D159" s="27"/>
      <c r="E159" s="15"/>
      <c r="F159" s="28"/>
      <c r="G159" s="25" t="str">
        <f aca="true">IF(OR(D159="",E159=""),"",IFERROR(D159*INDEX(UnidadesFactor,MATCH(E159,Unidades,0)),""))</f>
        <v/>
      </c>
      <c r="H159" s="17" t="str">
        <f aca="false">IF(I159&lt;&gt;"OK","",IF(G159=0,"",F159/G159))</f>
        <v/>
      </c>
      <c r="I159" s="20" t="str">
        <f aca="true">IF(B159="","",IF(ISNA(MATCH(B159,ListaInsumos,0)),"Insumo no está en Insumos",IF(OR(D159="",E159="",F159=""),"Faltan datos",IF(INDEX(UnidadesBase,MATCH(E159,Unidades,0))&lt;&gt;INDEX(InsBase,MATCH(B159,ListaInsumos,0)),"Unidad incompatible",IF(A159="","Falta fecha","OK")))))</f>
        <v/>
      </c>
      <c r="J159" s="15"/>
    </row>
    <row r="160" customFormat="false" ht="15" hidden="false" customHeight="false" outlineLevel="0" collapsed="false">
      <c r="A160" s="26"/>
      <c r="B160" s="15"/>
      <c r="C160" s="15"/>
      <c r="D160" s="27"/>
      <c r="E160" s="15"/>
      <c r="F160" s="28"/>
      <c r="G160" s="25" t="str">
        <f aca="true">IF(OR(D160="",E160=""),"",IFERROR(D160*INDEX(UnidadesFactor,MATCH(E160,Unidades,0)),""))</f>
        <v/>
      </c>
      <c r="H160" s="17" t="str">
        <f aca="false">IF(I160&lt;&gt;"OK","",IF(G160=0,"",F160/G160))</f>
        <v/>
      </c>
      <c r="I160" s="20" t="str">
        <f aca="true">IF(B160="","",IF(ISNA(MATCH(B160,ListaInsumos,0)),"Insumo no está en Insumos",IF(OR(D160="",E160="",F160=""),"Faltan datos",IF(INDEX(UnidadesBase,MATCH(E160,Unidades,0))&lt;&gt;INDEX(InsBase,MATCH(B160,ListaInsumos,0)),"Unidad incompatible",IF(A160="","Falta fecha","OK")))))</f>
        <v/>
      </c>
      <c r="J160" s="15"/>
    </row>
    <row r="161" customFormat="false" ht="15" hidden="false" customHeight="false" outlineLevel="0" collapsed="false">
      <c r="A161" s="26"/>
      <c r="B161" s="15"/>
      <c r="C161" s="15"/>
      <c r="D161" s="27"/>
      <c r="E161" s="15"/>
      <c r="F161" s="28"/>
      <c r="G161" s="25" t="str">
        <f aca="true">IF(OR(D161="",E161=""),"",IFERROR(D161*INDEX(UnidadesFactor,MATCH(E161,Unidades,0)),""))</f>
        <v/>
      </c>
      <c r="H161" s="17" t="str">
        <f aca="false">IF(I161&lt;&gt;"OK","",IF(G161=0,"",F161/G161))</f>
        <v/>
      </c>
      <c r="I161" s="20" t="str">
        <f aca="true">IF(B161="","",IF(ISNA(MATCH(B161,ListaInsumos,0)),"Insumo no está en Insumos",IF(OR(D161="",E161="",F161=""),"Faltan datos",IF(INDEX(UnidadesBase,MATCH(E161,Unidades,0))&lt;&gt;INDEX(InsBase,MATCH(B161,ListaInsumos,0)),"Unidad incompatible",IF(A161="","Falta fecha","OK")))))</f>
        <v/>
      </c>
      <c r="J161" s="15"/>
    </row>
    <row r="162" customFormat="false" ht="15" hidden="false" customHeight="false" outlineLevel="0" collapsed="false">
      <c r="A162" s="26"/>
      <c r="B162" s="15"/>
      <c r="C162" s="15"/>
      <c r="D162" s="27"/>
      <c r="E162" s="15"/>
      <c r="F162" s="28"/>
      <c r="G162" s="25" t="str">
        <f aca="true">IF(OR(D162="",E162=""),"",IFERROR(D162*INDEX(UnidadesFactor,MATCH(E162,Unidades,0)),""))</f>
        <v/>
      </c>
      <c r="H162" s="17" t="str">
        <f aca="false">IF(I162&lt;&gt;"OK","",IF(G162=0,"",F162/G162))</f>
        <v/>
      </c>
      <c r="I162" s="20" t="str">
        <f aca="true">IF(B162="","",IF(ISNA(MATCH(B162,ListaInsumos,0)),"Insumo no está en Insumos",IF(OR(D162="",E162="",F162=""),"Faltan datos",IF(INDEX(UnidadesBase,MATCH(E162,Unidades,0))&lt;&gt;INDEX(InsBase,MATCH(B162,ListaInsumos,0)),"Unidad incompatible",IF(A162="","Falta fecha","OK")))))</f>
        <v/>
      </c>
      <c r="J162" s="15"/>
    </row>
    <row r="163" customFormat="false" ht="15" hidden="false" customHeight="false" outlineLevel="0" collapsed="false">
      <c r="A163" s="26"/>
      <c r="B163" s="15"/>
      <c r="C163" s="15"/>
      <c r="D163" s="27"/>
      <c r="E163" s="15"/>
      <c r="F163" s="28"/>
      <c r="G163" s="25" t="str">
        <f aca="true">IF(OR(D163="",E163=""),"",IFERROR(D163*INDEX(UnidadesFactor,MATCH(E163,Unidades,0)),""))</f>
        <v/>
      </c>
      <c r="H163" s="17" t="str">
        <f aca="false">IF(I163&lt;&gt;"OK","",IF(G163=0,"",F163/G163))</f>
        <v/>
      </c>
      <c r="I163" s="20" t="str">
        <f aca="true">IF(B163="","",IF(ISNA(MATCH(B163,ListaInsumos,0)),"Insumo no está en Insumos",IF(OR(D163="",E163="",F163=""),"Faltan datos",IF(INDEX(UnidadesBase,MATCH(E163,Unidades,0))&lt;&gt;INDEX(InsBase,MATCH(B163,ListaInsumos,0)),"Unidad incompatible",IF(A163="","Falta fecha","OK")))))</f>
        <v/>
      </c>
      <c r="J163" s="15"/>
    </row>
    <row r="164" customFormat="false" ht="15" hidden="false" customHeight="false" outlineLevel="0" collapsed="false">
      <c r="A164" s="26"/>
      <c r="B164" s="15"/>
      <c r="C164" s="15"/>
      <c r="D164" s="27"/>
      <c r="E164" s="15"/>
      <c r="F164" s="28"/>
      <c r="G164" s="25" t="str">
        <f aca="true">IF(OR(D164="",E164=""),"",IFERROR(D164*INDEX(UnidadesFactor,MATCH(E164,Unidades,0)),""))</f>
        <v/>
      </c>
      <c r="H164" s="17" t="str">
        <f aca="false">IF(I164&lt;&gt;"OK","",IF(G164=0,"",F164/G164))</f>
        <v/>
      </c>
      <c r="I164" s="20" t="str">
        <f aca="true">IF(B164="","",IF(ISNA(MATCH(B164,ListaInsumos,0)),"Insumo no está en Insumos",IF(OR(D164="",E164="",F164=""),"Faltan datos",IF(INDEX(UnidadesBase,MATCH(E164,Unidades,0))&lt;&gt;INDEX(InsBase,MATCH(B164,ListaInsumos,0)),"Unidad incompatible",IF(A164="","Falta fecha","OK")))))</f>
        <v/>
      </c>
      <c r="J164" s="15"/>
    </row>
    <row r="165" customFormat="false" ht="15" hidden="false" customHeight="false" outlineLevel="0" collapsed="false">
      <c r="A165" s="26"/>
      <c r="B165" s="15"/>
      <c r="C165" s="15"/>
      <c r="D165" s="27"/>
      <c r="E165" s="15"/>
      <c r="F165" s="28"/>
      <c r="G165" s="25" t="str">
        <f aca="true">IF(OR(D165="",E165=""),"",IFERROR(D165*INDEX(UnidadesFactor,MATCH(E165,Unidades,0)),""))</f>
        <v/>
      </c>
      <c r="H165" s="17" t="str">
        <f aca="false">IF(I165&lt;&gt;"OK","",IF(G165=0,"",F165/G165))</f>
        <v/>
      </c>
      <c r="I165" s="20" t="str">
        <f aca="true">IF(B165="","",IF(ISNA(MATCH(B165,ListaInsumos,0)),"Insumo no está en Insumos",IF(OR(D165="",E165="",F165=""),"Faltan datos",IF(INDEX(UnidadesBase,MATCH(E165,Unidades,0))&lt;&gt;INDEX(InsBase,MATCH(B165,ListaInsumos,0)),"Unidad incompatible",IF(A165="","Falta fecha","OK")))))</f>
        <v/>
      </c>
      <c r="J165" s="15"/>
    </row>
    <row r="166" customFormat="false" ht="15" hidden="false" customHeight="false" outlineLevel="0" collapsed="false">
      <c r="A166" s="26"/>
      <c r="B166" s="15"/>
      <c r="C166" s="15"/>
      <c r="D166" s="27"/>
      <c r="E166" s="15"/>
      <c r="F166" s="28"/>
      <c r="G166" s="25" t="str">
        <f aca="true">IF(OR(D166="",E166=""),"",IFERROR(D166*INDEX(UnidadesFactor,MATCH(E166,Unidades,0)),""))</f>
        <v/>
      </c>
      <c r="H166" s="17" t="str">
        <f aca="false">IF(I166&lt;&gt;"OK","",IF(G166=0,"",F166/G166))</f>
        <v/>
      </c>
      <c r="I166" s="20" t="str">
        <f aca="true">IF(B166="","",IF(ISNA(MATCH(B166,ListaInsumos,0)),"Insumo no está en Insumos",IF(OR(D166="",E166="",F166=""),"Faltan datos",IF(INDEX(UnidadesBase,MATCH(E166,Unidades,0))&lt;&gt;INDEX(InsBase,MATCH(B166,ListaInsumos,0)),"Unidad incompatible",IF(A166="","Falta fecha","OK")))))</f>
        <v/>
      </c>
      <c r="J166" s="15"/>
    </row>
    <row r="167" customFormat="false" ht="15" hidden="false" customHeight="false" outlineLevel="0" collapsed="false">
      <c r="A167" s="26"/>
      <c r="B167" s="15"/>
      <c r="C167" s="15"/>
      <c r="D167" s="27"/>
      <c r="E167" s="15"/>
      <c r="F167" s="28"/>
      <c r="G167" s="25" t="str">
        <f aca="true">IF(OR(D167="",E167=""),"",IFERROR(D167*INDEX(UnidadesFactor,MATCH(E167,Unidades,0)),""))</f>
        <v/>
      </c>
      <c r="H167" s="17" t="str">
        <f aca="false">IF(I167&lt;&gt;"OK","",IF(G167=0,"",F167/G167))</f>
        <v/>
      </c>
      <c r="I167" s="20" t="str">
        <f aca="true">IF(B167="","",IF(ISNA(MATCH(B167,ListaInsumos,0)),"Insumo no está en Insumos",IF(OR(D167="",E167="",F167=""),"Faltan datos",IF(INDEX(UnidadesBase,MATCH(E167,Unidades,0))&lt;&gt;INDEX(InsBase,MATCH(B167,ListaInsumos,0)),"Unidad incompatible",IF(A167="","Falta fecha","OK")))))</f>
        <v/>
      </c>
      <c r="J167" s="15"/>
    </row>
    <row r="168" customFormat="false" ht="15" hidden="false" customHeight="false" outlineLevel="0" collapsed="false">
      <c r="A168" s="26"/>
      <c r="B168" s="15"/>
      <c r="C168" s="15"/>
      <c r="D168" s="27"/>
      <c r="E168" s="15"/>
      <c r="F168" s="28"/>
      <c r="G168" s="25" t="str">
        <f aca="true">IF(OR(D168="",E168=""),"",IFERROR(D168*INDEX(UnidadesFactor,MATCH(E168,Unidades,0)),""))</f>
        <v/>
      </c>
      <c r="H168" s="17" t="str">
        <f aca="false">IF(I168&lt;&gt;"OK","",IF(G168=0,"",F168/G168))</f>
        <v/>
      </c>
      <c r="I168" s="20" t="str">
        <f aca="true">IF(B168="","",IF(ISNA(MATCH(B168,ListaInsumos,0)),"Insumo no está en Insumos",IF(OR(D168="",E168="",F168=""),"Faltan datos",IF(INDEX(UnidadesBase,MATCH(E168,Unidades,0))&lt;&gt;INDEX(InsBase,MATCH(B168,ListaInsumos,0)),"Unidad incompatible",IF(A168="","Falta fecha","OK")))))</f>
        <v/>
      </c>
      <c r="J168" s="15"/>
    </row>
    <row r="169" customFormat="false" ht="15" hidden="false" customHeight="false" outlineLevel="0" collapsed="false">
      <c r="A169" s="26"/>
      <c r="B169" s="15"/>
      <c r="C169" s="15"/>
      <c r="D169" s="27"/>
      <c r="E169" s="15"/>
      <c r="F169" s="28"/>
      <c r="G169" s="25" t="str">
        <f aca="true">IF(OR(D169="",E169=""),"",IFERROR(D169*INDEX(UnidadesFactor,MATCH(E169,Unidades,0)),""))</f>
        <v/>
      </c>
      <c r="H169" s="17" t="str">
        <f aca="false">IF(I169&lt;&gt;"OK","",IF(G169=0,"",F169/G169))</f>
        <v/>
      </c>
      <c r="I169" s="20" t="str">
        <f aca="true">IF(B169="","",IF(ISNA(MATCH(B169,ListaInsumos,0)),"Insumo no está en Insumos",IF(OR(D169="",E169="",F169=""),"Faltan datos",IF(INDEX(UnidadesBase,MATCH(E169,Unidades,0))&lt;&gt;INDEX(InsBase,MATCH(B169,ListaInsumos,0)),"Unidad incompatible",IF(A169="","Falta fecha","OK")))))</f>
        <v/>
      </c>
      <c r="J169" s="15"/>
    </row>
    <row r="170" customFormat="false" ht="15" hidden="false" customHeight="false" outlineLevel="0" collapsed="false">
      <c r="A170" s="26"/>
      <c r="B170" s="15"/>
      <c r="C170" s="15"/>
      <c r="D170" s="27"/>
      <c r="E170" s="15"/>
      <c r="F170" s="28"/>
      <c r="G170" s="25" t="str">
        <f aca="true">IF(OR(D170="",E170=""),"",IFERROR(D170*INDEX(UnidadesFactor,MATCH(E170,Unidades,0)),""))</f>
        <v/>
      </c>
      <c r="H170" s="17" t="str">
        <f aca="false">IF(I170&lt;&gt;"OK","",IF(G170=0,"",F170/G170))</f>
        <v/>
      </c>
      <c r="I170" s="20" t="str">
        <f aca="true">IF(B170="","",IF(ISNA(MATCH(B170,ListaInsumos,0)),"Insumo no está en Insumos",IF(OR(D170="",E170="",F170=""),"Faltan datos",IF(INDEX(UnidadesBase,MATCH(E170,Unidades,0))&lt;&gt;INDEX(InsBase,MATCH(B170,ListaInsumos,0)),"Unidad incompatible",IF(A170="","Falta fecha","OK")))))</f>
        <v/>
      </c>
      <c r="J170" s="15"/>
    </row>
    <row r="171" customFormat="false" ht="15" hidden="false" customHeight="false" outlineLevel="0" collapsed="false">
      <c r="A171" s="26"/>
      <c r="B171" s="15"/>
      <c r="C171" s="15"/>
      <c r="D171" s="27"/>
      <c r="E171" s="15"/>
      <c r="F171" s="28"/>
      <c r="G171" s="25" t="str">
        <f aca="true">IF(OR(D171="",E171=""),"",IFERROR(D171*INDEX(UnidadesFactor,MATCH(E171,Unidades,0)),""))</f>
        <v/>
      </c>
      <c r="H171" s="17" t="str">
        <f aca="false">IF(I171&lt;&gt;"OK","",IF(G171=0,"",F171/G171))</f>
        <v/>
      </c>
      <c r="I171" s="20" t="str">
        <f aca="true">IF(B171="","",IF(ISNA(MATCH(B171,ListaInsumos,0)),"Insumo no está en Insumos",IF(OR(D171="",E171="",F171=""),"Faltan datos",IF(INDEX(UnidadesBase,MATCH(E171,Unidades,0))&lt;&gt;INDEX(InsBase,MATCH(B171,ListaInsumos,0)),"Unidad incompatible",IF(A171="","Falta fecha","OK")))))</f>
        <v/>
      </c>
      <c r="J171" s="15"/>
    </row>
    <row r="172" customFormat="false" ht="15" hidden="false" customHeight="false" outlineLevel="0" collapsed="false">
      <c r="A172" s="26"/>
      <c r="B172" s="15"/>
      <c r="C172" s="15"/>
      <c r="D172" s="27"/>
      <c r="E172" s="15"/>
      <c r="F172" s="28"/>
      <c r="G172" s="25" t="str">
        <f aca="true">IF(OR(D172="",E172=""),"",IFERROR(D172*INDEX(UnidadesFactor,MATCH(E172,Unidades,0)),""))</f>
        <v/>
      </c>
      <c r="H172" s="17" t="str">
        <f aca="false">IF(I172&lt;&gt;"OK","",IF(G172=0,"",F172/G172))</f>
        <v/>
      </c>
      <c r="I172" s="20" t="str">
        <f aca="true">IF(B172="","",IF(ISNA(MATCH(B172,ListaInsumos,0)),"Insumo no está en Insumos",IF(OR(D172="",E172="",F172=""),"Faltan datos",IF(INDEX(UnidadesBase,MATCH(E172,Unidades,0))&lt;&gt;INDEX(InsBase,MATCH(B172,ListaInsumos,0)),"Unidad incompatible",IF(A172="","Falta fecha","OK")))))</f>
        <v/>
      </c>
      <c r="J172" s="15"/>
    </row>
    <row r="173" customFormat="false" ht="15" hidden="false" customHeight="false" outlineLevel="0" collapsed="false">
      <c r="A173" s="26"/>
      <c r="B173" s="15"/>
      <c r="C173" s="15"/>
      <c r="D173" s="27"/>
      <c r="E173" s="15"/>
      <c r="F173" s="28"/>
      <c r="G173" s="25" t="str">
        <f aca="true">IF(OR(D173="",E173=""),"",IFERROR(D173*INDEX(UnidadesFactor,MATCH(E173,Unidades,0)),""))</f>
        <v/>
      </c>
      <c r="H173" s="17" t="str">
        <f aca="false">IF(I173&lt;&gt;"OK","",IF(G173=0,"",F173/G173))</f>
        <v/>
      </c>
      <c r="I173" s="20" t="str">
        <f aca="true">IF(B173="","",IF(ISNA(MATCH(B173,ListaInsumos,0)),"Insumo no está en Insumos",IF(OR(D173="",E173="",F173=""),"Faltan datos",IF(INDEX(UnidadesBase,MATCH(E173,Unidades,0))&lt;&gt;INDEX(InsBase,MATCH(B173,ListaInsumos,0)),"Unidad incompatible",IF(A173="","Falta fecha","OK")))))</f>
        <v/>
      </c>
      <c r="J173" s="15"/>
    </row>
    <row r="174" customFormat="false" ht="15" hidden="false" customHeight="false" outlineLevel="0" collapsed="false">
      <c r="A174" s="26"/>
      <c r="B174" s="15"/>
      <c r="C174" s="15"/>
      <c r="D174" s="27"/>
      <c r="E174" s="15"/>
      <c r="F174" s="28"/>
      <c r="G174" s="25" t="str">
        <f aca="true">IF(OR(D174="",E174=""),"",IFERROR(D174*INDEX(UnidadesFactor,MATCH(E174,Unidades,0)),""))</f>
        <v/>
      </c>
      <c r="H174" s="17" t="str">
        <f aca="false">IF(I174&lt;&gt;"OK","",IF(G174=0,"",F174/G174))</f>
        <v/>
      </c>
      <c r="I174" s="20" t="str">
        <f aca="true">IF(B174="","",IF(ISNA(MATCH(B174,ListaInsumos,0)),"Insumo no está en Insumos",IF(OR(D174="",E174="",F174=""),"Faltan datos",IF(INDEX(UnidadesBase,MATCH(E174,Unidades,0))&lt;&gt;INDEX(InsBase,MATCH(B174,ListaInsumos,0)),"Unidad incompatible",IF(A174="","Falta fecha","OK")))))</f>
        <v/>
      </c>
      <c r="J174" s="15"/>
    </row>
    <row r="175" customFormat="false" ht="15" hidden="false" customHeight="false" outlineLevel="0" collapsed="false">
      <c r="A175" s="26"/>
      <c r="B175" s="15"/>
      <c r="C175" s="15"/>
      <c r="D175" s="27"/>
      <c r="E175" s="15"/>
      <c r="F175" s="28"/>
      <c r="G175" s="25" t="str">
        <f aca="true">IF(OR(D175="",E175=""),"",IFERROR(D175*INDEX(UnidadesFactor,MATCH(E175,Unidades,0)),""))</f>
        <v/>
      </c>
      <c r="H175" s="17" t="str">
        <f aca="false">IF(I175&lt;&gt;"OK","",IF(G175=0,"",F175/G175))</f>
        <v/>
      </c>
      <c r="I175" s="20" t="str">
        <f aca="true">IF(B175="","",IF(ISNA(MATCH(B175,ListaInsumos,0)),"Insumo no está en Insumos",IF(OR(D175="",E175="",F175=""),"Faltan datos",IF(INDEX(UnidadesBase,MATCH(E175,Unidades,0))&lt;&gt;INDEX(InsBase,MATCH(B175,ListaInsumos,0)),"Unidad incompatible",IF(A175="","Falta fecha","OK")))))</f>
        <v/>
      </c>
      <c r="J175" s="15"/>
    </row>
    <row r="176" customFormat="false" ht="15" hidden="false" customHeight="false" outlineLevel="0" collapsed="false">
      <c r="A176" s="26"/>
      <c r="B176" s="15"/>
      <c r="C176" s="15"/>
      <c r="D176" s="27"/>
      <c r="E176" s="15"/>
      <c r="F176" s="28"/>
      <c r="G176" s="25" t="str">
        <f aca="true">IF(OR(D176="",E176=""),"",IFERROR(D176*INDEX(UnidadesFactor,MATCH(E176,Unidades,0)),""))</f>
        <v/>
      </c>
      <c r="H176" s="17" t="str">
        <f aca="false">IF(I176&lt;&gt;"OK","",IF(G176=0,"",F176/G176))</f>
        <v/>
      </c>
      <c r="I176" s="20" t="str">
        <f aca="true">IF(B176="","",IF(ISNA(MATCH(B176,ListaInsumos,0)),"Insumo no está en Insumos",IF(OR(D176="",E176="",F176=""),"Faltan datos",IF(INDEX(UnidadesBase,MATCH(E176,Unidades,0))&lt;&gt;INDEX(InsBase,MATCH(B176,ListaInsumos,0)),"Unidad incompatible",IF(A176="","Falta fecha","OK")))))</f>
        <v/>
      </c>
      <c r="J176" s="15"/>
    </row>
    <row r="177" customFormat="false" ht="15" hidden="false" customHeight="false" outlineLevel="0" collapsed="false">
      <c r="A177" s="26"/>
      <c r="B177" s="15"/>
      <c r="C177" s="15"/>
      <c r="D177" s="27"/>
      <c r="E177" s="15"/>
      <c r="F177" s="28"/>
      <c r="G177" s="25" t="str">
        <f aca="true">IF(OR(D177="",E177=""),"",IFERROR(D177*INDEX(UnidadesFactor,MATCH(E177,Unidades,0)),""))</f>
        <v/>
      </c>
      <c r="H177" s="17" t="str">
        <f aca="false">IF(I177&lt;&gt;"OK","",IF(G177=0,"",F177/G177))</f>
        <v/>
      </c>
      <c r="I177" s="20" t="str">
        <f aca="true">IF(B177="","",IF(ISNA(MATCH(B177,ListaInsumos,0)),"Insumo no está en Insumos",IF(OR(D177="",E177="",F177=""),"Faltan datos",IF(INDEX(UnidadesBase,MATCH(E177,Unidades,0))&lt;&gt;INDEX(InsBase,MATCH(B177,ListaInsumos,0)),"Unidad incompatible",IF(A177="","Falta fecha","OK")))))</f>
        <v/>
      </c>
      <c r="J177" s="15"/>
    </row>
    <row r="178" customFormat="false" ht="15" hidden="false" customHeight="false" outlineLevel="0" collapsed="false">
      <c r="A178" s="26"/>
      <c r="B178" s="15"/>
      <c r="C178" s="15"/>
      <c r="D178" s="27"/>
      <c r="E178" s="15"/>
      <c r="F178" s="28"/>
      <c r="G178" s="25" t="str">
        <f aca="true">IF(OR(D178="",E178=""),"",IFERROR(D178*INDEX(UnidadesFactor,MATCH(E178,Unidades,0)),""))</f>
        <v/>
      </c>
      <c r="H178" s="17" t="str">
        <f aca="false">IF(I178&lt;&gt;"OK","",IF(G178=0,"",F178/G178))</f>
        <v/>
      </c>
      <c r="I178" s="20" t="str">
        <f aca="true">IF(B178="","",IF(ISNA(MATCH(B178,ListaInsumos,0)),"Insumo no está en Insumos",IF(OR(D178="",E178="",F178=""),"Faltan datos",IF(INDEX(UnidadesBase,MATCH(E178,Unidades,0))&lt;&gt;INDEX(InsBase,MATCH(B178,ListaInsumos,0)),"Unidad incompatible",IF(A178="","Falta fecha","OK")))))</f>
        <v/>
      </c>
      <c r="J178" s="15"/>
    </row>
    <row r="179" customFormat="false" ht="15" hidden="false" customHeight="false" outlineLevel="0" collapsed="false">
      <c r="A179" s="26"/>
      <c r="B179" s="15"/>
      <c r="C179" s="15"/>
      <c r="D179" s="27"/>
      <c r="E179" s="15"/>
      <c r="F179" s="28"/>
      <c r="G179" s="25" t="str">
        <f aca="true">IF(OR(D179="",E179=""),"",IFERROR(D179*INDEX(UnidadesFactor,MATCH(E179,Unidades,0)),""))</f>
        <v/>
      </c>
      <c r="H179" s="17" t="str">
        <f aca="false">IF(I179&lt;&gt;"OK","",IF(G179=0,"",F179/G179))</f>
        <v/>
      </c>
      <c r="I179" s="20" t="str">
        <f aca="true">IF(B179="","",IF(ISNA(MATCH(B179,ListaInsumos,0)),"Insumo no está en Insumos",IF(OR(D179="",E179="",F179=""),"Faltan datos",IF(INDEX(UnidadesBase,MATCH(E179,Unidades,0))&lt;&gt;INDEX(InsBase,MATCH(B179,ListaInsumos,0)),"Unidad incompatible",IF(A179="","Falta fecha","OK")))))</f>
        <v/>
      </c>
      <c r="J179" s="15"/>
    </row>
    <row r="180" customFormat="false" ht="15" hidden="false" customHeight="false" outlineLevel="0" collapsed="false">
      <c r="A180" s="26"/>
      <c r="B180" s="15"/>
      <c r="C180" s="15"/>
      <c r="D180" s="27"/>
      <c r="E180" s="15"/>
      <c r="F180" s="28"/>
      <c r="G180" s="25" t="str">
        <f aca="true">IF(OR(D180="",E180=""),"",IFERROR(D180*INDEX(UnidadesFactor,MATCH(E180,Unidades,0)),""))</f>
        <v/>
      </c>
      <c r="H180" s="17" t="str">
        <f aca="false">IF(I180&lt;&gt;"OK","",IF(G180=0,"",F180/G180))</f>
        <v/>
      </c>
      <c r="I180" s="20" t="str">
        <f aca="true">IF(B180="","",IF(ISNA(MATCH(B180,ListaInsumos,0)),"Insumo no está en Insumos",IF(OR(D180="",E180="",F180=""),"Faltan datos",IF(INDEX(UnidadesBase,MATCH(E180,Unidades,0))&lt;&gt;INDEX(InsBase,MATCH(B180,ListaInsumos,0)),"Unidad incompatible",IF(A180="","Falta fecha","OK")))))</f>
        <v/>
      </c>
      <c r="J180" s="15"/>
    </row>
    <row r="181" customFormat="false" ht="15" hidden="false" customHeight="false" outlineLevel="0" collapsed="false">
      <c r="A181" s="26"/>
      <c r="B181" s="15"/>
      <c r="C181" s="15"/>
      <c r="D181" s="27"/>
      <c r="E181" s="15"/>
      <c r="F181" s="28"/>
      <c r="G181" s="25" t="str">
        <f aca="true">IF(OR(D181="",E181=""),"",IFERROR(D181*INDEX(UnidadesFactor,MATCH(E181,Unidades,0)),""))</f>
        <v/>
      </c>
      <c r="H181" s="17" t="str">
        <f aca="false">IF(I181&lt;&gt;"OK","",IF(G181=0,"",F181/G181))</f>
        <v/>
      </c>
      <c r="I181" s="20" t="str">
        <f aca="true">IF(B181="","",IF(ISNA(MATCH(B181,ListaInsumos,0)),"Insumo no está en Insumos",IF(OR(D181="",E181="",F181=""),"Faltan datos",IF(INDEX(UnidadesBase,MATCH(E181,Unidades,0))&lt;&gt;INDEX(InsBase,MATCH(B181,ListaInsumos,0)),"Unidad incompatible",IF(A181="","Falta fecha","OK")))))</f>
        <v/>
      </c>
      <c r="J181" s="15"/>
    </row>
    <row r="182" customFormat="false" ht="15" hidden="false" customHeight="false" outlineLevel="0" collapsed="false">
      <c r="A182" s="26"/>
      <c r="B182" s="15"/>
      <c r="C182" s="15"/>
      <c r="D182" s="27"/>
      <c r="E182" s="15"/>
      <c r="F182" s="28"/>
      <c r="G182" s="25" t="str">
        <f aca="true">IF(OR(D182="",E182=""),"",IFERROR(D182*INDEX(UnidadesFactor,MATCH(E182,Unidades,0)),""))</f>
        <v/>
      </c>
      <c r="H182" s="17" t="str">
        <f aca="false">IF(I182&lt;&gt;"OK","",IF(G182=0,"",F182/G182))</f>
        <v/>
      </c>
      <c r="I182" s="20" t="str">
        <f aca="true">IF(B182="","",IF(ISNA(MATCH(B182,ListaInsumos,0)),"Insumo no está en Insumos",IF(OR(D182="",E182="",F182=""),"Faltan datos",IF(INDEX(UnidadesBase,MATCH(E182,Unidades,0))&lt;&gt;INDEX(InsBase,MATCH(B182,ListaInsumos,0)),"Unidad incompatible",IF(A182="","Falta fecha","OK")))))</f>
        <v/>
      </c>
      <c r="J182" s="15"/>
    </row>
    <row r="183" customFormat="false" ht="15" hidden="false" customHeight="false" outlineLevel="0" collapsed="false">
      <c r="A183" s="26"/>
      <c r="B183" s="15"/>
      <c r="C183" s="15"/>
      <c r="D183" s="27"/>
      <c r="E183" s="15"/>
      <c r="F183" s="28"/>
      <c r="G183" s="25" t="str">
        <f aca="true">IF(OR(D183="",E183=""),"",IFERROR(D183*INDEX(UnidadesFactor,MATCH(E183,Unidades,0)),""))</f>
        <v/>
      </c>
      <c r="H183" s="17" t="str">
        <f aca="false">IF(I183&lt;&gt;"OK","",IF(G183=0,"",F183/G183))</f>
        <v/>
      </c>
      <c r="I183" s="20" t="str">
        <f aca="true">IF(B183="","",IF(ISNA(MATCH(B183,ListaInsumos,0)),"Insumo no está en Insumos",IF(OR(D183="",E183="",F183=""),"Faltan datos",IF(INDEX(UnidadesBase,MATCH(E183,Unidades,0))&lt;&gt;INDEX(InsBase,MATCH(B183,ListaInsumos,0)),"Unidad incompatible",IF(A183="","Falta fecha","OK")))))</f>
        <v/>
      </c>
      <c r="J183" s="15"/>
    </row>
    <row r="184" customFormat="false" ht="15" hidden="false" customHeight="false" outlineLevel="0" collapsed="false">
      <c r="A184" s="26"/>
      <c r="B184" s="15"/>
      <c r="C184" s="15"/>
      <c r="D184" s="27"/>
      <c r="E184" s="15"/>
      <c r="F184" s="28"/>
      <c r="G184" s="25" t="str">
        <f aca="true">IF(OR(D184="",E184=""),"",IFERROR(D184*INDEX(UnidadesFactor,MATCH(E184,Unidades,0)),""))</f>
        <v/>
      </c>
      <c r="H184" s="17" t="str">
        <f aca="false">IF(I184&lt;&gt;"OK","",IF(G184=0,"",F184/G184))</f>
        <v/>
      </c>
      <c r="I184" s="20" t="str">
        <f aca="true">IF(B184="","",IF(ISNA(MATCH(B184,ListaInsumos,0)),"Insumo no está en Insumos",IF(OR(D184="",E184="",F184=""),"Faltan datos",IF(INDEX(UnidadesBase,MATCH(E184,Unidades,0))&lt;&gt;INDEX(InsBase,MATCH(B184,ListaInsumos,0)),"Unidad incompatible",IF(A184="","Falta fecha","OK")))))</f>
        <v/>
      </c>
      <c r="J184" s="15"/>
    </row>
    <row r="185" customFormat="false" ht="15" hidden="false" customHeight="false" outlineLevel="0" collapsed="false">
      <c r="A185" s="26"/>
      <c r="B185" s="15"/>
      <c r="C185" s="15"/>
      <c r="D185" s="27"/>
      <c r="E185" s="15"/>
      <c r="F185" s="28"/>
      <c r="G185" s="25" t="str">
        <f aca="true">IF(OR(D185="",E185=""),"",IFERROR(D185*INDEX(UnidadesFactor,MATCH(E185,Unidades,0)),""))</f>
        <v/>
      </c>
      <c r="H185" s="17" t="str">
        <f aca="false">IF(I185&lt;&gt;"OK","",IF(G185=0,"",F185/G185))</f>
        <v/>
      </c>
      <c r="I185" s="20" t="str">
        <f aca="true">IF(B185="","",IF(ISNA(MATCH(B185,ListaInsumos,0)),"Insumo no está en Insumos",IF(OR(D185="",E185="",F185=""),"Faltan datos",IF(INDEX(UnidadesBase,MATCH(E185,Unidades,0))&lt;&gt;INDEX(InsBase,MATCH(B185,ListaInsumos,0)),"Unidad incompatible",IF(A185="","Falta fecha","OK")))))</f>
        <v/>
      </c>
      <c r="J185" s="15"/>
    </row>
    <row r="186" customFormat="false" ht="15" hidden="false" customHeight="false" outlineLevel="0" collapsed="false">
      <c r="A186" s="26"/>
      <c r="B186" s="15"/>
      <c r="C186" s="15"/>
      <c r="D186" s="27"/>
      <c r="E186" s="15"/>
      <c r="F186" s="28"/>
      <c r="G186" s="25" t="str">
        <f aca="true">IF(OR(D186="",E186=""),"",IFERROR(D186*INDEX(UnidadesFactor,MATCH(E186,Unidades,0)),""))</f>
        <v/>
      </c>
      <c r="H186" s="17" t="str">
        <f aca="false">IF(I186&lt;&gt;"OK","",IF(G186=0,"",F186/G186))</f>
        <v/>
      </c>
      <c r="I186" s="20" t="str">
        <f aca="true">IF(B186="","",IF(ISNA(MATCH(B186,ListaInsumos,0)),"Insumo no está en Insumos",IF(OR(D186="",E186="",F186=""),"Faltan datos",IF(INDEX(UnidadesBase,MATCH(E186,Unidades,0))&lt;&gt;INDEX(InsBase,MATCH(B186,ListaInsumos,0)),"Unidad incompatible",IF(A186="","Falta fecha","OK")))))</f>
        <v/>
      </c>
      <c r="J186" s="15"/>
    </row>
    <row r="187" customFormat="false" ht="15" hidden="false" customHeight="false" outlineLevel="0" collapsed="false">
      <c r="A187" s="26"/>
      <c r="B187" s="15"/>
      <c r="C187" s="15"/>
      <c r="D187" s="27"/>
      <c r="E187" s="15"/>
      <c r="F187" s="28"/>
      <c r="G187" s="25" t="str">
        <f aca="true">IF(OR(D187="",E187=""),"",IFERROR(D187*INDEX(UnidadesFactor,MATCH(E187,Unidades,0)),""))</f>
        <v/>
      </c>
      <c r="H187" s="17" t="str">
        <f aca="false">IF(I187&lt;&gt;"OK","",IF(G187=0,"",F187/G187))</f>
        <v/>
      </c>
      <c r="I187" s="20" t="str">
        <f aca="true">IF(B187="","",IF(ISNA(MATCH(B187,ListaInsumos,0)),"Insumo no está en Insumos",IF(OR(D187="",E187="",F187=""),"Faltan datos",IF(INDEX(UnidadesBase,MATCH(E187,Unidades,0))&lt;&gt;INDEX(InsBase,MATCH(B187,ListaInsumos,0)),"Unidad incompatible",IF(A187="","Falta fecha","OK")))))</f>
        <v/>
      </c>
      <c r="J187" s="15"/>
    </row>
    <row r="188" customFormat="false" ht="15" hidden="false" customHeight="false" outlineLevel="0" collapsed="false">
      <c r="A188" s="26"/>
      <c r="B188" s="15"/>
      <c r="C188" s="15"/>
      <c r="D188" s="27"/>
      <c r="E188" s="15"/>
      <c r="F188" s="28"/>
      <c r="G188" s="25" t="str">
        <f aca="true">IF(OR(D188="",E188=""),"",IFERROR(D188*INDEX(UnidadesFactor,MATCH(E188,Unidades,0)),""))</f>
        <v/>
      </c>
      <c r="H188" s="17" t="str">
        <f aca="false">IF(I188&lt;&gt;"OK","",IF(G188=0,"",F188/G188))</f>
        <v/>
      </c>
      <c r="I188" s="20" t="str">
        <f aca="true">IF(B188="","",IF(ISNA(MATCH(B188,ListaInsumos,0)),"Insumo no está en Insumos",IF(OR(D188="",E188="",F188=""),"Faltan datos",IF(INDEX(UnidadesBase,MATCH(E188,Unidades,0))&lt;&gt;INDEX(InsBase,MATCH(B188,ListaInsumos,0)),"Unidad incompatible",IF(A188="","Falta fecha","OK")))))</f>
        <v/>
      </c>
      <c r="J188" s="15"/>
    </row>
    <row r="189" customFormat="false" ht="15" hidden="false" customHeight="false" outlineLevel="0" collapsed="false">
      <c r="A189" s="26"/>
      <c r="B189" s="15"/>
      <c r="C189" s="15"/>
      <c r="D189" s="27"/>
      <c r="E189" s="15"/>
      <c r="F189" s="28"/>
      <c r="G189" s="25" t="str">
        <f aca="true">IF(OR(D189="",E189=""),"",IFERROR(D189*INDEX(UnidadesFactor,MATCH(E189,Unidades,0)),""))</f>
        <v/>
      </c>
      <c r="H189" s="17" t="str">
        <f aca="false">IF(I189&lt;&gt;"OK","",IF(G189=0,"",F189/G189))</f>
        <v/>
      </c>
      <c r="I189" s="20" t="str">
        <f aca="true">IF(B189="","",IF(ISNA(MATCH(B189,ListaInsumos,0)),"Insumo no está en Insumos",IF(OR(D189="",E189="",F189=""),"Faltan datos",IF(INDEX(UnidadesBase,MATCH(E189,Unidades,0))&lt;&gt;INDEX(InsBase,MATCH(B189,ListaInsumos,0)),"Unidad incompatible",IF(A189="","Falta fecha","OK")))))</f>
        <v/>
      </c>
      <c r="J189" s="15"/>
    </row>
    <row r="190" customFormat="false" ht="15" hidden="false" customHeight="false" outlineLevel="0" collapsed="false">
      <c r="A190" s="26"/>
      <c r="B190" s="15"/>
      <c r="C190" s="15"/>
      <c r="D190" s="27"/>
      <c r="E190" s="15"/>
      <c r="F190" s="28"/>
      <c r="G190" s="25" t="str">
        <f aca="true">IF(OR(D190="",E190=""),"",IFERROR(D190*INDEX(UnidadesFactor,MATCH(E190,Unidades,0)),""))</f>
        <v/>
      </c>
      <c r="H190" s="17" t="str">
        <f aca="false">IF(I190&lt;&gt;"OK","",IF(G190=0,"",F190/G190))</f>
        <v/>
      </c>
      <c r="I190" s="20" t="str">
        <f aca="true">IF(B190="","",IF(ISNA(MATCH(B190,ListaInsumos,0)),"Insumo no está en Insumos",IF(OR(D190="",E190="",F190=""),"Faltan datos",IF(INDEX(UnidadesBase,MATCH(E190,Unidades,0))&lt;&gt;INDEX(InsBase,MATCH(B190,ListaInsumos,0)),"Unidad incompatible",IF(A190="","Falta fecha","OK")))))</f>
        <v/>
      </c>
      <c r="J190" s="15"/>
    </row>
    <row r="191" customFormat="false" ht="15" hidden="false" customHeight="false" outlineLevel="0" collapsed="false">
      <c r="A191" s="26"/>
      <c r="B191" s="15"/>
      <c r="C191" s="15"/>
      <c r="D191" s="27"/>
      <c r="E191" s="15"/>
      <c r="F191" s="28"/>
      <c r="G191" s="25" t="str">
        <f aca="true">IF(OR(D191="",E191=""),"",IFERROR(D191*INDEX(UnidadesFactor,MATCH(E191,Unidades,0)),""))</f>
        <v/>
      </c>
      <c r="H191" s="17" t="str">
        <f aca="false">IF(I191&lt;&gt;"OK","",IF(G191=0,"",F191/G191))</f>
        <v/>
      </c>
      <c r="I191" s="20" t="str">
        <f aca="true">IF(B191="","",IF(ISNA(MATCH(B191,ListaInsumos,0)),"Insumo no está en Insumos",IF(OR(D191="",E191="",F191=""),"Faltan datos",IF(INDEX(UnidadesBase,MATCH(E191,Unidades,0))&lt;&gt;INDEX(InsBase,MATCH(B191,ListaInsumos,0)),"Unidad incompatible",IF(A191="","Falta fecha","OK")))))</f>
        <v/>
      </c>
      <c r="J191" s="15"/>
    </row>
    <row r="192" customFormat="false" ht="15" hidden="false" customHeight="false" outlineLevel="0" collapsed="false">
      <c r="A192" s="26"/>
      <c r="B192" s="15"/>
      <c r="C192" s="15"/>
      <c r="D192" s="27"/>
      <c r="E192" s="15"/>
      <c r="F192" s="28"/>
      <c r="G192" s="25" t="str">
        <f aca="true">IF(OR(D192="",E192=""),"",IFERROR(D192*INDEX(UnidadesFactor,MATCH(E192,Unidades,0)),""))</f>
        <v/>
      </c>
      <c r="H192" s="17" t="str">
        <f aca="false">IF(I192&lt;&gt;"OK","",IF(G192=0,"",F192/G192))</f>
        <v/>
      </c>
      <c r="I192" s="20" t="str">
        <f aca="true">IF(B192="","",IF(ISNA(MATCH(B192,ListaInsumos,0)),"Insumo no está en Insumos",IF(OR(D192="",E192="",F192=""),"Faltan datos",IF(INDEX(UnidadesBase,MATCH(E192,Unidades,0))&lt;&gt;INDEX(InsBase,MATCH(B192,ListaInsumos,0)),"Unidad incompatible",IF(A192="","Falta fecha","OK")))))</f>
        <v/>
      </c>
      <c r="J192" s="15"/>
    </row>
    <row r="193" customFormat="false" ht="15" hidden="false" customHeight="false" outlineLevel="0" collapsed="false">
      <c r="A193" s="26"/>
      <c r="B193" s="15"/>
      <c r="C193" s="15"/>
      <c r="D193" s="27"/>
      <c r="E193" s="15"/>
      <c r="F193" s="28"/>
      <c r="G193" s="25" t="str">
        <f aca="true">IF(OR(D193="",E193=""),"",IFERROR(D193*INDEX(UnidadesFactor,MATCH(E193,Unidades,0)),""))</f>
        <v/>
      </c>
      <c r="H193" s="17" t="str">
        <f aca="false">IF(I193&lt;&gt;"OK","",IF(G193=0,"",F193/G193))</f>
        <v/>
      </c>
      <c r="I193" s="20" t="str">
        <f aca="true">IF(B193="","",IF(ISNA(MATCH(B193,ListaInsumos,0)),"Insumo no está en Insumos",IF(OR(D193="",E193="",F193=""),"Faltan datos",IF(INDEX(UnidadesBase,MATCH(E193,Unidades,0))&lt;&gt;INDEX(InsBase,MATCH(B193,ListaInsumos,0)),"Unidad incompatible",IF(A193="","Falta fecha","OK")))))</f>
        <v/>
      </c>
      <c r="J193" s="15"/>
    </row>
    <row r="194" customFormat="false" ht="15" hidden="false" customHeight="false" outlineLevel="0" collapsed="false">
      <c r="A194" s="26"/>
      <c r="B194" s="15"/>
      <c r="C194" s="15"/>
      <c r="D194" s="27"/>
      <c r="E194" s="15"/>
      <c r="F194" s="28"/>
      <c r="G194" s="25" t="str">
        <f aca="true">IF(OR(D194="",E194=""),"",IFERROR(D194*INDEX(UnidadesFactor,MATCH(E194,Unidades,0)),""))</f>
        <v/>
      </c>
      <c r="H194" s="17" t="str">
        <f aca="false">IF(I194&lt;&gt;"OK","",IF(G194=0,"",F194/G194))</f>
        <v/>
      </c>
      <c r="I194" s="20" t="str">
        <f aca="true">IF(B194="","",IF(ISNA(MATCH(B194,ListaInsumos,0)),"Insumo no está en Insumos",IF(OR(D194="",E194="",F194=""),"Faltan datos",IF(INDEX(UnidadesBase,MATCH(E194,Unidades,0))&lt;&gt;INDEX(InsBase,MATCH(B194,ListaInsumos,0)),"Unidad incompatible",IF(A194="","Falta fecha","OK")))))</f>
        <v/>
      </c>
      <c r="J194" s="15"/>
    </row>
    <row r="195" customFormat="false" ht="15" hidden="false" customHeight="false" outlineLevel="0" collapsed="false">
      <c r="A195" s="26"/>
      <c r="B195" s="15"/>
      <c r="C195" s="15"/>
      <c r="D195" s="27"/>
      <c r="E195" s="15"/>
      <c r="F195" s="28"/>
      <c r="G195" s="25" t="str">
        <f aca="true">IF(OR(D195="",E195=""),"",IFERROR(D195*INDEX(UnidadesFactor,MATCH(E195,Unidades,0)),""))</f>
        <v/>
      </c>
      <c r="H195" s="17" t="str">
        <f aca="false">IF(I195&lt;&gt;"OK","",IF(G195=0,"",F195/G195))</f>
        <v/>
      </c>
      <c r="I195" s="20" t="str">
        <f aca="true">IF(B195="","",IF(ISNA(MATCH(B195,ListaInsumos,0)),"Insumo no está en Insumos",IF(OR(D195="",E195="",F195=""),"Faltan datos",IF(INDEX(UnidadesBase,MATCH(E195,Unidades,0))&lt;&gt;INDEX(InsBase,MATCH(B195,ListaInsumos,0)),"Unidad incompatible",IF(A195="","Falta fecha","OK")))))</f>
        <v/>
      </c>
      <c r="J195" s="15"/>
    </row>
    <row r="196" customFormat="false" ht="15" hidden="false" customHeight="false" outlineLevel="0" collapsed="false">
      <c r="A196" s="26"/>
      <c r="B196" s="15"/>
      <c r="C196" s="15"/>
      <c r="D196" s="27"/>
      <c r="E196" s="15"/>
      <c r="F196" s="28"/>
      <c r="G196" s="25" t="str">
        <f aca="true">IF(OR(D196="",E196=""),"",IFERROR(D196*INDEX(UnidadesFactor,MATCH(E196,Unidades,0)),""))</f>
        <v/>
      </c>
      <c r="H196" s="17" t="str">
        <f aca="false">IF(I196&lt;&gt;"OK","",IF(G196=0,"",F196/G196))</f>
        <v/>
      </c>
      <c r="I196" s="20" t="str">
        <f aca="true">IF(B196="","",IF(ISNA(MATCH(B196,ListaInsumos,0)),"Insumo no está en Insumos",IF(OR(D196="",E196="",F196=""),"Faltan datos",IF(INDEX(UnidadesBase,MATCH(E196,Unidades,0))&lt;&gt;INDEX(InsBase,MATCH(B196,ListaInsumos,0)),"Unidad incompatible",IF(A196="","Falta fecha","OK")))))</f>
        <v/>
      </c>
      <c r="J196" s="15"/>
    </row>
    <row r="197" customFormat="false" ht="15" hidden="false" customHeight="false" outlineLevel="0" collapsed="false">
      <c r="A197" s="26"/>
      <c r="B197" s="15"/>
      <c r="C197" s="15"/>
      <c r="D197" s="27"/>
      <c r="E197" s="15"/>
      <c r="F197" s="28"/>
      <c r="G197" s="25" t="str">
        <f aca="true">IF(OR(D197="",E197=""),"",IFERROR(D197*INDEX(UnidadesFactor,MATCH(E197,Unidades,0)),""))</f>
        <v/>
      </c>
      <c r="H197" s="17" t="str">
        <f aca="false">IF(I197&lt;&gt;"OK","",IF(G197=0,"",F197/G197))</f>
        <v/>
      </c>
      <c r="I197" s="20" t="str">
        <f aca="true">IF(B197="","",IF(ISNA(MATCH(B197,ListaInsumos,0)),"Insumo no está en Insumos",IF(OR(D197="",E197="",F197=""),"Faltan datos",IF(INDEX(UnidadesBase,MATCH(E197,Unidades,0))&lt;&gt;INDEX(InsBase,MATCH(B197,ListaInsumos,0)),"Unidad incompatible",IF(A197="","Falta fecha","OK")))))</f>
        <v/>
      </c>
      <c r="J197" s="15"/>
    </row>
    <row r="198" customFormat="false" ht="15" hidden="false" customHeight="false" outlineLevel="0" collapsed="false">
      <c r="A198" s="26"/>
      <c r="B198" s="15"/>
      <c r="C198" s="15"/>
      <c r="D198" s="27"/>
      <c r="E198" s="15"/>
      <c r="F198" s="28"/>
      <c r="G198" s="25" t="str">
        <f aca="true">IF(OR(D198="",E198=""),"",IFERROR(D198*INDEX(UnidadesFactor,MATCH(E198,Unidades,0)),""))</f>
        <v/>
      </c>
      <c r="H198" s="17" t="str">
        <f aca="false">IF(I198&lt;&gt;"OK","",IF(G198=0,"",F198/G198))</f>
        <v/>
      </c>
      <c r="I198" s="20" t="str">
        <f aca="true">IF(B198="","",IF(ISNA(MATCH(B198,ListaInsumos,0)),"Insumo no está en Insumos",IF(OR(D198="",E198="",F198=""),"Faltan datos",IF(INDEX(UnidadesBase,MATCH(E198,Unidades,0))&lt;&gt;INDEX(InsBase,MATCH(B198,ListaInsumos,0)),"Unidad incompatible",IF(A198="","Falta fecha","OK")))))</f>
        <v/>
      </c>
      <c r="J198" s="15"/>
    </row>
    <row r="199" customFormat="false" ht="15" hidden="false" customHeight="false" outlineLevel="0" collapsed="false">
      <c r="A199" s="26"/>
      <c r="B199" s="15"/>
      <c r="C199" s="15"/>
      <c r="D199" s="27"/>
      <c r="E199" s="15"/>
      <c r="F199" s="28"/>
      <c r="G199" s="25" t="str">
        <f aca="true">IF(OR(D199="",E199=""),"",IFERROR(D199*INDEX(UnidadesFactor,MATCH(E199,Unidades,0)),""))</f>
        <v/>
      </c>
      <c r="H199" s="17" t="str">
        <f aca="false">IF(I199&lt;&gt;"OK","",IF(G199=0,"",F199/G199))</f>
        <v/>
      </c>
      <c r="I199" s="20" t="str">
        <f aca="true">IF(B199="","",IF(ISNA(MATCH(B199,ListaInsumos,0)),"Insumo no está en Insumos",IF(OR(D199="",E199="",F199=""),"Faltan datos",IF(INDEX(UnidadesBase,MATCH(E199,Unidades,0))&lt;&gt;INDEX(InsBase,MATCH(B199,ListaInsumos,0)),"Unidad incompatible",IF(A199="","Falta fecha","OK")))))</f>
        <v/>
      </c>
      <c r="J199" s="15"/>
    </row>
    <row r="200" customFormat="false" ht="15" hidden="false" customHeight="false" outlineLevel="0" collapsed="false">
      <c r="A200" s="26"/>
      <c r="B200" s="15"/>
      <c r="C200" s="15"/>
      <c r="D200" s="27"/>
      <c r="E200" s="15"/>
      <c r="F200" s="28"/>
      <c r="G200" s="25" t="str">
        <f aca="true">IF(OR(D200="",E200=""),"",IFERROR(D200*INDEX(UnidadesFactor,MATCH(E200,Unidades,0)),""))</f>
        <v/>
      </c>
      <c r="H200" s="17" t="str">
        <f aca="false">IF(I200&lt;&gt;"OK","",IF(G200=0,"",F200/G200))</f>
        <v/>
      </c>
      <c r="I200" s="20" t="str">
        <f aca="true">IF(B200="","",IF(ISNA(MATCH(B200,ListaInsumos,0)),"Insumo no está en Insumos",IF(OR(D200="",E200="",F200=""),"Faltan datos",IF(INDEX(UnidadesBase,MATCH(E200,Unidades,0))&lt;&gt;INDEX(InsBase,MATCH(B200,ListaInsumos,0)),"Unidad incompatible",IF(A200="","Falta fecha","OK")))))</f>
        <v/>
      </c>
      <c r="J200" s="15"/>
    </row>
    <row r="201" customFormat="false" ht="15" hidden="false" customHeight="false" outlineLevel="0" collapsed="false">
      <c r="A201" s="26"/>
      <c r="B201" s="15"/>
      <c r="C201" s="15"/>
      <c r="D201" s="27"/>
      <c r="E201" s="15"/>
      <c r="F201" s="28"/>
      <c r="G201" s="25" t="str">
        <f aca="true">IF(OR(D201="",E201=""),"",IFERROR(D201*INDEX(UnidadesFactor,MATCH(E201,Unidades,0)),""))</f>
        <v/>
      </c>
      <c r="H201" s="17" t="str">
        <f aca="false">IF(I201&lt;&gt;"OK","",IF(G201=0,"",F201/G201))</f>
        <v/>
      </c>
      <c r="I201" s="20" t="str">
        <f aca="true">IF(B201="","",IF(ISNA(MATCH(B201,ListaInsumos,0)),"Insumo no está en Insumos",IF(OR(D201="",E201="",F201=""),"Faltan datos",IF(INDEX(UnidadesBase,MATCH(E201,Unidades,0))&lt;&gt;INDEX(InsBase,MATCH(B201,ListaInsumos,0)),"Unidad incompatible",IF(A201="","Falta fecha","OK")))))</f>
        <v/>
      </c>
      <c r="J201" s="15"/>
    </row>
    <row r="202" customFormat="false" ht="15" hidden="false" customHeight="false" outlineLevel="0" collapsed="false">
      <c r="A202" s="26"/>
      <c r="B202" s="15"/>
      <c r="C202" s="15"/>
      <c r="D202" s="27"/>
      <c r="E202" s="15"/>
      <c r="F202" s="28"/>
      <c r="G202" s="25" t="str">
        <f aca="true">IF(OR(D202="",E202=""),"",IFERROR(D202*INDEX(UnidadesFactor,MATCH(E202,Unidades,0)),""))</f>
        <v/>
      </c>
      <c r="H202" s="17" t="str">
        <f aca="false">IF(I202&lt;&gt;"OK","",IF(G202=0,"",F202/G202))</f>
        <v/>
      </c>
      <c r="I202" s="20" t="str">
        <f aca="true">IF(B202="","",IF(ISNA(MATCH(B202,ListaInsumos,0)),"Insumo no está en Insumos",IF(OR(D202="",E202="",F202=""),"Faltan datos",IF(INDEX(UnidadesBase,MATCH(E202,Unidades,0))&lt;&gt;INDEX(InsBase,MATCH(B202,ListaInsumos,0)),"Unidad incompatible",IF(A202="","Falta fecha","OK")))))</f>
        <v/>
      </c>
      <c r="J202" s="15"/>
    </row>
    <row r="203" customFormat="false" ht="15" hidden="false" customHeight="false" outlineLevel="0" collapsed="false">
      <c r="A203" s="26"/>
      <c r="B203" s="15"/>
      <c r="C203" s="15"/>
      <c r="D203" s="27"/>
      <c r="E203" s="15"/>
      <c r="F203" s="28"/>
      <c r="G203" s="25" t="str">
        <f aca="true">IF(OR(D203="",E203=""),"",IFERROR(D203*INDEX(UnidadesFactor,MATCH(E203,Unidades,0)),""))</f>
        <v/>
      </c>
      <c r="H203" s="17" t="str">
        <f aca="false">IF(I203&lt;&gt;"OK","",IF(G203=0,"",F203/G203))</f>
        <v/>
      </c>
      <c r="I203" s="20" t="str">
        <f aca="true">IF(B203="","",IF(ISNA(MATCH(B203,ListaInsumos,0)),"Insumo no está en Insumos",IF(OR(D203="",E203="",F203=""),"Faltan datos",IF(INDEX(UnidadesBase,MATCH(E203,Unidades,0))&lt;&gt;INDEX(InsBase,MATCH(B203,ListaInsumos,0)),"Unidad incompatible",IF(A203="","Falta fecha","OK")))))</f>
        <v/>
      </c>
      <c r="J203" s="15"/>
    </row>
    <row r="204" customFormat="false" ht="15" hidden="false" customHeight="false" outlineLevel="0" collapsed="false">
      <c r="A204" s="26"/>
      <c r="B204" s="15"/>
      <c r="C204" s="15"/>
      <c r="D204" s="27"/>
      <c r="E204" s="15"/>
      <c r="F204" s="28"/>
      <c r="G204" s="25" t="str">
        <f aca="true">IF(OR(D204="",E204=""),"",IFERROR(D204*INDEX(UnidadesFactor,MATCH(E204,Unidades,0)),""))</f>
        <v/>
      </c>
      <c r="H204" s="17" t="str">
        <f aca="false">IF(I204&lt;&gt;"OK","",IF(G204=0,"",F204/G204))</f>
        <v/>
      </c>
      <c r="I204" s="20" t="str">
        <f aca="true">IF(B204="","",IF(ISNA(MATCH(B204,ListaInsumos,0)),"Insumo no está en Insumos",IF(OR(D204="",E204="",F204=""),"Faltan datos",IF(INDEX(UnidadesBase,MATCH(E204,Unidades,0))&lt;&gt;INDEX(InsBase,MATCH(B204,ListaInsumos,0)),"Unidad incompatible",IF(A204="","Falta fecha","OK")))))</f>
        <v/>
      </c>
      <c r="J204" s="15"/>
    </row>
    <row r="205" customFormat="false" ht="15" hidden="false" customHeight="false" outlineLevel="0" collapsed="false">
      <c r="A205" s="26"/>
      <c r="B205" s="15"/>
      <c r="C205" s="15"/>
      <c r="D205" s="27"/>
      <c r="E205" s="15"/>
      <c r="F205" s="28"/>
      <c r="G205" s="25" t="str">
        <f aca="true">IF(OR(D205="",E205=""),"",IFERROR(D205*INDEX(UnidadesFactor,MATCH(E205,Unidades,0)),""))</f>
        <v/>
      </c>
      <c r="H205" s="17" t="str">
        <f aca="false">IF(I205&lt;&gt;"OK","",IF(G205=0,"",F205/G205))</f>
        <v/>
      </c>
      <c r="I205" s="20" t="str">
        <f aca="true">IF(B205="","",IF(ISNA(MATCH(B205,ListaInsumos,0)),"Insumo no está en Insumos",IF(OR(D205="",E205="",F205=""),"Faltan datos",IF(INDEX(UnidadesBase,MATCH(E205,Unidades,0))&lt;&gt;INDEX(InsBase,MATCH(B205,ListaInsumos,0)),"Unidad incompatible",IF(A205="","Falta fecha","OK")))))</f>
        <v/>
      </c>
      <c r="J205" s="15"/>
    </row>
    <row r="206" customFormat="false" ht="15" hidden="false" customHeight="false" outlineLevel="0" collapsed="false">
      <c r="A206" s="26"/>
      <c r="B206" s="15"/>
      <c r="C206" s="15"/>
      <c r="D206" s="27"/>
      <c r="E206" s="15"/>
      <c r="F206" s="28"/>
      <c r="G206" s="25" t="str">
        <f aca="true">IF(OR(D206="",E206=""),"",IFERROR(D206*INDEX(UnidadesFactor,MATCH(E206,Unidades,0)),""))</f>
        <v/>
      </c>
      <c r="H206" s="17" t="str">
        <f aca="false">IF(I206&lt;&gt;"OK","",IF(G206=0,"",F206/G206))</f>
        <v/>
      </c>
      <c r="I206" s="20" t="str">
        <f aca="true">IF(B206="","",IF(ISNA(MATCH(B206,ListaInsumos,0)),"Insumo no está en Insumos",IF(OR(D206="",E206="",F206=""),"Faltan datos",IF(INDEX(UnidadesBase,MATCH(E206,Unidades,0))&lt;&gt;INDEX(InsBase,MATCH(B206,ListaInsumos,0)),"Unidad incompatible",IF(A206="","Falta fecha","OK")))))</f>
        <v/>
      </c>
      <c r="J206" s="15"/>
    </row>
    <row r="207" customFormat="false" ht="15" hidden="false" customHeight="false" outlineLevel="0" collapsed="false">
      <c r="A207" s="26"/>
      <c r="B207" s="15"/>
      <c r="C207" s="15"/>
      <c r="D207" s="27"/>
      <c r="E207" s="15"/>
      <c r="F207" s="28"/>
      <c r="G207" s="25" t="str">
        <f aca="true">IF(OR(D207="",E207=""),"",IFERROR(D207*INDEX(UnidadesFactor,MATCH(E207,Unidades,0)),""))</f>
        <v/>
      </c>
      <c r="H207" s="17" t="str">
        <f aca="false">IF(I207&lt;&gt;"OK","",IF(G207=0,"",F207/G207))</f>
        <v/>
      </c>
      <c r="I207" s="20" t="str">
        <f aca="true">IF(B207="","",IF(ISNA(MATCH(B207,ListaInsumos,0)),"Insumo no está en Insumos",IF(OR(D207="",E207="",F207=""),"Faltan datos",IF(INDEX(UnidadesBase,MATCH(E207,Unidades,0))&lt;&gt;INDEX(InsBase,MATCH(B207,ListaInsumos,0)),"Unidad incompatible",IF(A207="","Falta fecha","OK")))))</f>
        <v/>
      </c>
      <c r="J207" s="15"/>
    </row>
    <row r="208" customFormat="false" ht="15" hidden="false" customHeight="false" outlineLevel="0" collapsed="false">
      <c r="A208" s="26"/>
      <c r="B208" s="15"/>
      <c r="C208" s="15"/>
      <c r="D208" s="27"/>
      <c r="E208" s="15"/>
      <c r="F208" s="28"/>
      <c r="G208" s="25" t="str">
        <f aca="true">IF(OR(D208="",E208=""),"",IFERROR(D208*INDEX(UnidadesFactor,MATCH(E208,Unidades,0)),""))</f>
        <v/>
      </c>
      <c r="H208" s="17" t="str">
        <f aca="false">IF(I208&lt;&gt;"OK","",IF(G208=0,"",F208/G208))</f>
        <v/>
      </c>
      <c r="I208" s="20" t="str">
        <f aca="true">IF(B208="","",IF(ISNA(MATCH(B208,ListaInsumos,0)),"Insumo no está en Insumos",IF(OR(D208="",E208="",F208=""),"Faltan datos",IF(INDEX(UnidadesBase,MATCH(E208,Unidades,0))&lt;&gt;INDEX(InsBase,MATCH(B208,ListaInsumos,0)),"Unidad incompatible",IF(A208="","Falta fecha","OK")))))</f>
        <v/>
      </c>
      <c r="J208" s="15"/>
    </row>
    <row r="209" customFormat="false" ht="15" hidden="false" customHeight="false" outlineLevel="0" collapsed="false">
      <c r="A209" s="26"/>
      <c r="B209" s="15"/>
      <c r="C209" s="15"/>
      <c r="D209" s="27"/>
      <c r="E209" s="15"/>
      <c r="F209" s="28"/>
      <c r="G209" s="25" t="str">
        <f aca="true">IF(OR(D209="",E209=""),"",IFERROR(D209*INDEX(UnidadesFactor,MATCH(E209,Unidades,0)),""))</f>
        <v/>
      </c>
      <c r="H209" s="17" t="str">
        <f aca="false">IF(I209&lt;&gt;"OK","",IF(G209=0,"",F209/G209))</f>
        <v/>
      </c>
      <c r="I209" s="20" t="str">
        <f aca="true">IF(B209="","",IF(ISNA(MATCH(B209,ListaInsumos,0)),"Insumo no está en Insumos",IF(OR(D209="",E209="",F209=""),"Faltan datos",IF(INDEX(UnidadesBase,MATCH(E209,Unidades,0))&lt;&gt;INDEX(InsBase,MATCH(B209,ListaInsumos,0)),"Unidad incompatible",IF(A209="","Falta fecha","OK")))))</f>
        <v/>
      </c>
      <c r="J209" s="15"/>
    </row>
    <row r="210" customFormat="false" ht="15" hidden="false" customHeight="false" outlineLevel="0" collapsed="false">
      <c r="A210" s="26"/>
      <c r="B210" s="15"/>
      <c r="C210" s="15"/>
      <c r="D210" s="27"/>
      <c r="E210" s="15"/>
      <c r="F210" s="28"/>
      <c r="G210" s="25" t="str">
        <f aca="true">IF(OR(D210="",E210=""),"",IFERROR(D210*INDEX(UnidadesFactor,MATCH(E210,Unidades,0)),""))</f>
        <v/>
      </c>
      <c r="H210" s="17" t="str">
        <f aca="false">IF(I210&lt;&gt;"OK","",IF(G210=0,"",F210/G210))</f>
        <v/>
      </c>
      <c r="I210" s="20" t="str">
        <f aca="true">IF(B210="","",IF(ISNA(MATCH(B210,ListaInsumos,0)),"Insumo no está en Insumos",IF(OR(D210="",E210="",F210=""),"Faltan datos",IF(INDEX(UnidadesBase,MATCH(E210,Unidades,0))&lt;&gt;INDEX(InsBase,MATCH(B210,ListaInsumos,0)),"Unidad incompatible",IF(A210="","Falta fecha","OK")))))</f>
        <v/>
      </c>
      <c r="J210" s="15"/>
    </row>
    <row r="211" customFormat="false" ht="15" hidden="false" customHeight="false" outlineLevel="0" collapsed="false">
      <c r="A211" s="26"/>
      <c r="B211" s="15"/>
      <c r="C211" s="15"/>
      <c r="D211" s="27"/>
      <c r="E211" s="15"/>
      <c r="F211" s="28"/>
      <c r="G211" s="25" t="str">
        <f aca="true">IF(OR(D211="",E211=""),"",IFERROR(D211*INDEX(UnidadesFactor,MATCH(E211,Unidades,0)),""))</f>
        <v/>
      </c>
      <c r="H211" s="17" t="str">
        <f aca="false">IF(I211&lt;&gt;"OK","",IF(G211=0,"",F211/G211))</f>
        <v/>
      </c>
      <c r="I211" s="20" t="str">
        <f aca="true">IF(B211="","",IF(ISNA(MATCH(B211,ListaInsumos,0)),"Insumo no está en Insumos",IF(OR(D211="",E211="",F211=""),"Faltan datos",IF(INDEX(UnidadesBase,MATCH(E211,Unidades,0))&lt;&gt;INDEX(InsBase,MATCH(B211,ListaInsumos,0)),"Unidad incompatible",IF(A211="","Falta fecha","OK")))))</f>
        <v/>
      </c>
      <c r="J211" s="15"/>
    </row>
    <row r="212" customFormat="false" ht="15" hidden="false" customHeight="false" outlineLevel="0" collapsed="false">
      <c r="A212" s="26"/>
      <c r="B212" s="15"/>
      <c r="C212" s="15"/>
      <c r="D212" s="27"/>
      <c r="E212" s="15"/>
      <c r="F212" s="28"/>
      <c r="G212" s="25" t="str">
        <f aca="true">IF(OR(D212="",E212=""),"",IFERROR(D212*INDEX(UnidadesFactor,MATCH(E212,Unidades,0)),""))</f>
        <v/>
      </c>
      <c r="H212" s="17" t="str">
        <f aca="false">IF(I212&lt;&gt;"OK","",IF(G212=0,"",F212/G212))</f>
        <v/>
      </c>
      <c r="I212" s="20" t="str">
        <f aca="true">IF(B212="","",IF(ISNA(MATCH(B212,ListaInsumos,0)),"Insumo no está en Insumos",IF(OR(D212="",E212="",F212=""),"Faltan datos",IF(INDEX(UnidadesBase,MATCH(E212,Unidades,0))&lt;&gt;INDEX(InsBase,MATCH(B212,ListaInsumos,0)),"Unidad incompatible",IF(A212="","Falta fecha","OK")))))</f>
        <v/>
      </c>
      <c r="J212" s="15"/>
    </row>
    <row r="213" customFormat="false" ht="15" hidden="false" customHeight="false" outlineLevel="0" collapsed="false">
      <c r="A213" s="26"/>
      <c r="B213" s="15"/>
      <c r="C213" s="15"/>
      <c r="D213" s="27"/>
      <c r="E213" s="15"/>
      <c r="F213" s="28"/>
      <c r="G213" s="25" t="str">
        <f aca="true">IF(OR(D213="",E213=""),"",IFERROR(D213*INDEX(UnidadesFactor,MATCH(E213,Unidades,0)),""))</f>
        <v/>
      </c>
      <c r="H213" s="17" t="str">
        <f aca="false">IF(I213&lt;&gt;"OK","",IF(G213=0,"",F213/G213))</f>
        <v/>
      </c>
      <c r="I213" s="20" t="str">
        <f aca="true">IF(B213="","",IF(ISNA(MATCH(B213,ListaInsumos,0)),"Insumo no está en Insumos",IF(OR(D213="",E213="",F213=""),"Faltan datos",IF(INDEX(UnidadesBase,MATCH(E213,Unidades,0))&lt;&gt;INDEX(InsBase,MATCH(B213,ListaInsumos,0)),"Unidad incompatible",IF(A213="","Falta fecha","OK")))))</f>
        <v/>
      </c>
      <c r="J213" s="15"/>
    </row>
    <row r="214" customFormat="false" ht="15" hidden="false" customHeight="false" outlineLevel="0" collapsed="false">
      <c r="A214" s="26"/>
      <c r="B214" s="15"/>
      <c r="C214" s="15"/>
      <c r="D214" s="27"/>
      <c r="E214" s="15"/>
      <c r="F214" s="28"/>
      <c r="G214" s="25" t="str">
        <f aca="true">IF(OR(D214="",E214=""),"",IFERROR(D214*INDEX(UnidadesFactor,MATCH(E214,Unidades,0)),""))</f>
        <v/>
      </c>
      <c r="H214" s="17" t="str">
        <f aca="false">IF(I214&lt;&gt;"OK","",IF(G214=0,"",F214/G214))</f>
        <v/>
      </c>
      <c r="I214" s="20" t="str">
        <f aca="true">IF(B214="","",IF(ISNA(MATCH(B214,ListaInsumos,0)),"Insumo no está en Insumos",IF(OR(D214="",E214="",F214=""),"Faltan datos",IF(INDEX(UnidadesBase,MATCH(E214,Unidades,0))&lt;&gt;INDEX(InsBase,MATCH(B214,ListaInsumos,0)),"Unidad incompatible",IF(A214="","Falta fecha","OK")))))</f>
        <v/>
      </c>
      <c r="J214" s="15"/>
    </row>
    <row r="215" customFormat="false" ht="15" hidden="false" customHeight="false" outlineLevel="0" collapsed="false">
      <c r="A215" s="26"/>
      <c r="B215" s="15"/>
      <c r="C215" s="15"/>
      <c r="D215" s="27"/>
      <c r="E215" s="15"/>
      <c r="F215" s="28"/>
      <c r="G215" s="25" t="str">
        <f aca="true">IF(OR(D215="",E215=""),"",IFERROR(D215*INDEX(UnidadesFactor,MATCH(E215,Unidades,0)),""))</f>
        <v/>
      </c>
      <c r="H215" s="17" t="str">
        <f aca="false">IF(I215&lt;&gt;"OK","",IF(G215=0,"",F215/G215))</f>
        <v/>
      </c>
      <c r="I215" s="20" t="str">
        <f aca="true">IF(B215="","",IF(ISNA(MATCH(B215,ListaInsumos,0)),"Insumo no está en Insumos",IF(OR(D215="",E215="",F215=""),"Faltan datos",IF(INDEX(UnidadesBase,MATCH(E215,Unidades,0))&lt;&gt;INDEX(InsBase,MATCH(B215,ListaInsumos,0)),"Unidad incompatible",IF(A215="","Falta fecha","OK")))))</f>
        <v/>
      </c>
      <c r="J215" s="15"/>
    </row>
    <row r="216" customFormat="false" ht="15" hidden="false" customHeight="false" outlineLevel="0" collapsed="false">
      <c r="A216" s="26"/>
      <c r="B216" s="15"/>
      <c r="C216" s="15"/>
      <c r="D216" s="27"/>
      <c r="E216" s="15"/>
      <c r="F216" s="28"/>
      <c r="G216" s="25" t="str">
        <f aca="true">IF(OR(D216="",E216=""),"",IFERROR(D216*INDEX(UnidadesFactor,MATCH(E216,Unidades,0)),""))</f>
        <v/>
      </c>
      <c r="H216" s="17" t="str">
        <f aca="false">IF(I216&lt;&gt;"OK","",IF(G216=0,"",F216/G216))</f>
        <v/>
      </c>
      <c r="I216" s="20" t="str">
        <f aca="true">IF(B216="","",IF(ISNA(MATCH(B216,ListaInsumos,0)),"Insumo no está en Insumos",IF(OR(D216="",E216="",F216=""),"Faltan datos",IF(INDEX(UnidadesBase,MATCH(E216,Unidades,0))&lt;&gt;INDEX(InsBase,MATCH(B216,ListaInsumos,0)),"Unidad incompatible",IF(A216="","Falta fecha","OK")))))</f>
        <v/>
      </c>
      <c r="J216" s="15"/>
    </row>
    <row r="217" customFormat="false" ht="15" hidden="false" customHeight="false" outlineLevel="0" collapsed="false">
      <c r="A217" s="26"/>
      <c r="B217" s="15"/>
      <c r="C217" s="15"/>
      <c r="D217" s="27"/>
      <c r="E217" s="15"/>
      <c r="F217" s="28"/>
      <c r="G217" s="25" t="str">
        <f aca="true">IF(OR(D217="",E217=""),"",IFERROR(D217*INDEX(UnidadesFactor,MATCH(E217,Unidades,0)),""))</f>
        <v/>
      </c>
      <c r="H217" s="17" t="str">
        <f aca="false">IF(I217&lt;&gt;"OK","",IF(G217=0,"",F217/G217))</f>
        <v/>
      </c>
      <c r="I217" s="20" t="str">
        <f aca="true">IF(B217="","",IF(ISNA(MATCH(B217,ListaInsumos,0)),"Insumo no está en Insumos",IF(OR(D217="",E217="",F217=""),"Faltan datos",IF(INDEX(UnidadesBase,MATCH(E217,Unidades,0))&lt;&gt;INDEX(InsBase,MATCH(B217,ListaInsumos,0)),"Unidad incompatible",IF(A217="","Falta fecha","OK")))))</f>
        <v/>
      </c>
      <c r="J217" s="15"/>
    </row>
    <row r="218" customFormat="false" ht="15" hidden="false" customHeight="false" outlineLevel="0" collapsed="false">
      <c r="A218" s="26"/>
      <c r="B218" s="15"/>
      <c r="C218" s="15"/>
      <c r="D218" s="27"/>
      <c r="E218" s="15"/>
      <c r="F218" s="28"/>
      <c r="G218" s="25" t="str">
        <f aca="true">IF(OR(D218="",E218=""),"",IFERROR(D218*INDEX(UnidadesFactor,MATCH(E218,Unidades,0)),""))</f>
        <v/>
      </c>
      <c r="H218" s="17" t="str">
        <f aca="false">IF(I218&lt;&gt;"OK","",IF(G218=0,"",F218/G218))</f>
        <v/>
      </c>
      <c r="I218" s="20" t="str">
        <f aca="true">IF(B218="","",IF(ISNA(MATCH(B218,ListaInsumos,0)),"Insumo no está en Insumos",IF(OR(D218="",E218="",F218=""),"Faltan datos",IF(INDEX(UnidadesBase,MATCH(E218,Unidades,0))&lt;&gt;INDEX(InsBase,MATCH(B218,ListaInsumos,0)),"Unidad incompatible",IF(A218="","Falta fecha","OK")))))</f>
        <v/>
      </c>
      <c r="J218" s="15"/>
    </row>
    <row r="219" customFormat="false" ht="15" hidden="false" customHeight="false" outlineLevel="0" collapsed="false">
      <c r="A219" s="26"/>
      <c r="B219" s="15"/>
      <c r="C219" s="15"/>
      <c r="D219" s="27"/>
      <c r="E219" s="15"/>
      <c r="F219" s="28"/>
      <c r="G219" s="25" t="str">
        <f aca="true">IF(OR(D219="",E219=""),"",IFERROR(D219*INDEX(UnidadesFactor,MATCH(E219,Unidades,0)),""))</f>
        <v/>
      </c>
      <c r="H219" s="17" t="str">
        <f aca="false">IF(I219&lt;&gt;"OK","",IF(G219=0,"",F219/G219))</f>
        <v/>
      </c>
      <c r="I219" s="20" t="str">
        <f aca="true">IF(B219="","",IF(ISNA(MATCH(B219,ListaInsumos,0)),"Insumo no está en Insumos",IF(OR(D219="",E219="",F219=""),"Faltan datos",IF(INDEX(UnidadesBase,MATCH(E219,Unidades,0))&lt;&gt;INDEX(InsBase,MATCH(B219,ListaInsumos,0)),"Unidad incompatible",IF(A219="","Falta fecha","OK")))))</f>
        <v/>
      </c>
      <c r="J219" s="15"/>
    </row>
    <row r="220" customFormat="false" ht="15" hidden="false" customHeight="false" outlineLevel="0" collapsed="false">
      <c r="A220" s="26"/>
      <c r="B220" s="15"/>
      <c r="C220" s="15"/>
      <c r="D220" s="27"/>
      <c r="E220" s="15"/>
      <c r="F220" s="28"/>
      <c r="G220" s="25" t="str">
        <f aca="true">IF(OR(D220="",E220=""),"",IFERROR(D220*INDEX(UnidadesFactor,MATCH(E220,Unidades,0)),""))</f>
        <v/>
      </c>
      <c r="H220" s="17" t="str">
        <f aca="false">IF(I220&lt;&gt;"OK","",IF(G220=0,"",F220/G220))</f>
        <v/>
      </c>
      <c r="I220" s="20" t="str">
        <f aca="true">IF(B220="","",IF(ISNA(MATCH(B220,ListaInsumos,0)),"Insumo no está en Insumos",IF(OR(D220="",E220="",F220=""),"Faltan datos",IF(INDEX(UnidadesBase,MATCH(E220,Unidades,0))&lt;&gt;INDEX(InsBase,MATCH(B220,ListaInsumos,0)),"Unidad incompatible",IF(A220="","Falta fecha","OK")))))</f>
        <v/>
      </c>
      <c r="J220" s="15"/>
    </row>
    <row r="221" customFormat="false" ht="15" hidden="false" customHeight="false" outlineLevel="0" collapsed="false">
      <c r="A221" s="26"/>
      <c r="B221" s="15"/>
      <c r="C221" s="15"/>
      <c r="D221" s="27"/>
      <c r="E221" s="15"/>
      <c r="F221" s="28"/>
      <c r="G221" s="25" t="str">
        <f aca="true">IF(OR(D221="",E221=""),"",IFERROR(D221*INDEX(UnidadesFactor,MATCH(E221,Unidades,0)),""))</f>
        <v/>
      </c>
      <c r="H221" s="17" t="str">
        <f aca="false">IF(I221&lt;&gt;"OK","",IF(G221=0,"",F221/G221))</f>
        <v/>
      </c>
      <c r="I221" s="20" t="str">
        <f aca="true">IF(B221="","",IF(ISNA(MATCH(B221,ListaInsumos,0)),"Insumo no está en Insumos",IF(OR(D221="",E221="",F221=""),"Faltan datos",IF(INDEX(UnidadesBase,MATCH(E221,Unidades,0))&lt;&gt;INDEX(InsBase,MATCH(B221,ListaInsumos,0)),"Unidad incompatible",IF(A221="","Falta fecha","OK")))))</f>
        <v/>
      </c>
      <c r="J221" s="15"/>
    </row>
    <row r="222" customFormat="false" ht="15" hidden="false" customHeight="false" outlineLevel="0" collapsed="false">
      <c r="A222" s="26"/>
      <c r="B222" s="15"/>
      <c r="C222" s="15"/>
      <c r="D222" s="27"/>
      <c r="E222" s="15"/>
      <c r="F222" s="28"/>
      <c r="G222" s="25" t="str">
        <f aca="true">IF(OR(D222="",E222=""),"",IFERROR(D222*INDEX(UnidadesFactor,MATCH(E222,Unidades,0)),""))</f>
        <v/>
      </c>
      <c r="H222" s="17" t="str">
        <f aca="false">IF(I222&lt;&gt;"OK","",IF(G222=0,"",F222/G222))</f>
        <v/>
      </c>
      <c r="I222" s="20" t="str">
        <f aca="true">IF(B222="","",IF(ISNA(MATCH(B222,ListaInsumos,0)),"Insumo no está en Insumos",IF(OR(D222="",E222="",F222=""),"Faltan datos",IF(INDEX(UnidadesBase,MATCH(E222,Unidades,0))&lt;&gt;INDEX(InsBase,MATCH(B222,ListaInsumos,0)),"Unidad incompatible",IF(A222="","Falta fecha","OK")))))</f>
        <v/>
      </c>
      <c r="J222" s="15"/>
    </row>
    <row r="223" customFormat="false" ht="15" hidden="false" customHeight="false" outlineLevel="0" collapsed="false">
      <c r="A223" s="26"/>
      <c r="B223" s="15"/>
      <c r="C223" s="15"/>
      <c r="D223" s="27"/>
      <c r="E223" s="15"/>
      <c r="F223" s="28"/>
      <c r="G223" s="25" t="str">
        <f aca="true">IF(OR(D223="",E223=""),"",IFERROR(D223*INDEX(UnidadesFactor,MATCH(E223,Unidades,0)),""))</f>
        <v/>
      </c>
      <c r="H223" s="17" t="str">
        <f aca="false">IF(I223&lt;&gt;"OK","",IF(G223=0,"",F223/G223))</f>
        <v/>
      </c>
      <c r="I223" s="20" t="str">
        <f aca="true">IF(B223="","",IF(ISNA(MATCH(B223,ListaInsumos,0)),"Insumo no está en Insumos",IF(OR(D223="",E223="",F223=""),"Faltan datos",IF(INDEX(UnidadesBase,MATCH(E223,Unidades,0))&lt;&gt;INDEX(InsBase,MATCH(B223,ListaInsumos,0)),"Unidad incompatible",IF(A223="","Falta fecha","OK")))))</f>
        <v/>
      </c>
      <c r="J223" s="15"/>
    </row>
    <row r="224" customFormat="false" ht="15" hidden="false" customHeight="false" outlineLevel="0" collapsed="false">
      <c r="A224" s="26"/>
      <c r="B224" s="15"/>
      <c r="C224" s="15"/>
      <c r="D224" s="27"/>
      <c r="E224" s="15"/>
      <c r="F224" s="28"/>
      <c r="G224" s="25" t="str">
        <f aca="true">IF(OR(D224="",E224=""),"",IFERROR(D224*INDEX(UnidadesFactor,MATCH(E224,Unidades,0)),""))</f>
        <v/>
      </c>
      <c r="H224" s="17" t="str">
        <f aca="false">IF(I224&lt;&gt;"OK","",IF(G224=0,"",F224/G224))</f>
        <v/>
      </c>
      <c r="I224" s="20" t="str">
        <f aca="true">IF(B224="","",IF(ISNA(MATCH(B224,ListaInsumos,0)),"Insumo no está en Insumos",IF(OR(D224="",E224="",F224=""),"Faltan datos",IF(INDEX(UnidadesBase,MATCH(E224,Unidades,0))&lt;&gt;INDEX(InsBase,MATCH(B224,ListaInsumos,0)),"Unidad incompatible",IF(A224="","Falta fecha","OK")))))</f>
        <v/>
      </c>
      <c r="J224" s="15"/>
    </row>
    <row r="225" customFormat="false" ht="15" hidden="false" customHeight="false" outlineLevel="0" collapsed="false">
      <c r="A225" s="26"/>
      <c r="B225" s="15"/>
      <c r="C225" s="15"/>
      <c r="D225" s="27"/>
      <c r="E225" s="15"/>
      <c r="F225" s="28"/>
      <c r="G225" s="25" t="str">
        <f aca="true">IF(OR(D225="",E225=""),"",IFERROR(D225*INDEX(UnidadesFactor,MATCH(E225,Unidades,0)),""))</f>
        <v/>
      </c>
      <c r="H225" s="17" t="str">
        <f aca="false">IF(I225&lt;&gt;"OK","",IF(G225=0,"",F225/G225))</f>
        <v/>
      </c>
      <c r="I225" s="20" t="str">
        <f aca="true">IF(B225="","",IF(ISNA(MATCH(B225,ListaInsumos,0)),"Insumo no está en Insumos",IF(OR(D225="",E225="",F225=""),"Faltan datos",IF(INDEX(UnidadesBase,MATCH(E225,Unidades,0))&lt;&gt;INDEX(InsBase,MATCH(B225,ListaInsumos,0)),"Unidad incompatible",IF(A225="","Falta fecha","OK")))))</f>
        <v/>
      </c>
      <c r="J225" s="15"/>
    </row>
    <row r="226" customFormat="false" ht="15" hidden="false" customHeight="false" outlineLevel="0" collapsed="false">
      <c r="A226" s="26"/>
      <c r="B226" s="15"/>
      <c r="C226" s="15"/>
      <c r="D226" s="27"/>
      <c r="E226" s="15"/>
      <c r="F226" s="28"/>
      <c r="G226" s="25" t="str">
        <f aca="true">IF(OR(D226="",E226=""),"",IFERROR(D226*INDEX(UnidadesFactor,MATCH(E226,Unidades,0)),""))</f>
        <v/>
      </c>
      <c r="H226" s="17" t="str">
        <f aca="false">IF(I226&lt;&gt;"OK","",IF(G226=0,"",F226/G226))</f>
        <v/>
      </c>
      <c r="I226" s="20" t="str">
        <f aca="true">IF(B226="","",IF(ISNA(MATCH(B226,ListaInsumos,0)),"Insumo no está en Insumos",IF(OR(D226="",E226="",F226=""),"Faltan datos",IF(INDEX(UnidadesBase,MATCH(E226,Unidades,0))&lt;&gt;INDEX(InsBase,MATCH(B226,ListaInsumos,0)),"Unidad incompatible",IF(A226="","Falta fecha","OK")))))</f>
        <v/>
      </c>
      <c r="J226" s="15"/>
    </row>
    <row r="227" customFormat="false" ht="15" hidden="false" customHeight="false" outlineLevel="0" collapsed="false">
      <c r="A227" s="26"/>
      <c r="B227" s="15"/>
      <c r="C227" s="15"/>
      <c r="D227" s="27"/>
      <c r="E227" s="15"/>
      <c r="F227" s="28"/>
      <c r="G227" s="25" t="str">
        <f aca="true">IF(OR(D227="",E227=""),"",IFERROR(D227*INDEX(UnidadesFactor,MATCH(E227,Unidades,0)),""))</f>
        <v/>
      </c>
      <c r="H227" s="17" t="str">
        <f aca="false">IF(I227&lt;&gt;"OK","",IF(G227=0,"",F227/G227))</f>
        <v/>
      </c>
      <c r="I227" s="20" t="str">
        <f aca="true">IF(B227="","",IF(ISNA(MATCH(B227,ListaInsumos,0)),"Insumo no está en Insumos",IF(OR(D227="",E227="",F227=""),"Faltan datos",IF(INDEX(UnidadesBase,MATCH(E227,Unidades,0))&lt;&gt;INDEX(InsBase,MATCH(B227,ListaInsumos,0)),"Unidad incompatible",IF(A227="","Falta fecha","OK")))))</f>
        <v/>
      </c>
      <c r="J227" s="15"/>
    </row>
    <row r="228" customFormat="false" ht="15" hidden="false" customHeight="false" outlineLevel="0" collapsed="false">
      <c r="A228" s="26"/>
      <c r="B228" s="15"/>
      <c r="C228" s="15"/>
      <c r="D228" s="27"/>
      <c r="E228" s="15"/>
      <c r="F228" s="28"/>
      <c r="G228" s="25" t="str">
        <f aca="true">IF(OR(D228="",E228=""),"",IFERROR(D228*INDEX(UnidadesFactor,MATCH(E228,Unidades,0)),""))</f>
        <v/>
      </c>
      <c r="H228" s="17" t="str">
        <f aca="false">IF(I228&lt;&gt;"OK","",IF(G228=0,"",F228/G228))</f>
        <v/>
      </c>
      <c r="I228" s="20" t="str">
        <f aca="true">IF(B228="","",IF(ISNA(MATCH(B228,ListaInsumos,0)),"Insumo no está en Insumos",IF(OR(D228="",E228="",F228=""),"Faltan datos",IF(INDEX(UnidadesBase,MATCH(E228,Unidades,0))&lt;&gt;INDEX(InsBase,MATCH(B228,ListaInsumos,0)),"Unidad incompatible",IF(A228="","Falta fecha","OK")))))</f>
        <v/>
      </c>
      <c r="J228" s="15"/>
    </row>
    <row r="229" customFormat="false" ht="15" hidden="false" customHeight="false" outlineLevel="0" collapsed="false">
      <c r="A229" s="26"/>
      <c r="B229" s="15"/>
      <c r="C229" s="15"/>
      <c r="D229" s="27"/>
      <c r="E229" s="15"/>
      <c r="F229" s="28"/>
      <c r="G229" s="25" t="str">
        <f aca="true">IF(OR(D229="",E229=""),"",IFERROR(D229*INDEX(UnidadesFactor,MATCH(E229,Unidades,0)),""))</f>
        <v/>
      </c>
      <c r="H229" s="17" t="str">
        <f aca="false">IF(I229&lt;&gt;"OK","",IF(G229=0,"",F229/G229))</f>
        <v/>
      </c>
      <c r="I229" s="20" t="str">
        <f aca="true">IF(B229="","",IF(ISNA(MATCH(B229,ListaInsumos,0)),"Insumo no está en Insumos",IF(OR(D229="",E229="",F229=""),"Faltan datos",IF(INDEX(UnidadesBase,MATCH(E229,Unidades,0))&lt;&gt;INDEX(InsBase,MATCH(B229,ListaInsumos,0)),"Unidad incompatible",IF(A229="","Falta fecha","OK")))))</f>
        <v/>
      </c>
      <c r="J229" s="15"/>
    </row>
    <row r="230" customFormat="false" ht="15" hidden="false" customHeight="false" outlineLevel="0" collapsed="false">
      <c r="A230" s="26"/>
      <c r="B230" s="15"/>
      <c r="C230" s="15"/>
      <c r="D230" s="27"/>
      <c r="E230" s="15"/>
      <c r="F230" s="28"/>
      <c r="G230" s="25" t="str">
        <f aca="true">IF(OR(D230="",E230=""),"",IFERROR(D230*INDEX(UnidadesFactor,MATCH(E230,Unidades,0)),""))</f>
        <v/>
      </c>
      <c r="H230" s="17" t="str">
        <f aca="false">IF(I230&lt;&gt;"OK","",IF(G230=0,"",F230/G230))</f>
        <v/>
      </c>
      <c r="I230" s="20" t="str">
        <f aca="true">IF(B230="","",IF(ISNA(MATCH(B230,ListaInsumos,0)),"Insumo no está en Insumos",IF(OR(D230="",E230="",F230=""),"Faltan datos",IF(INDEX(UnidadesBase,MATCH(E230,Unidades,0))&lt;&gt;INDEX(InsBase,MATCH(B230,ListaInsumos,0)),"Unidad incompatible",IF(A230="","Falta fecha","OK")))))</f>
        <v/>
      </c>
      <c r="J230" s="15"/>
    </row>
    <row r="231" customFormat="false" ht="15" hidden="false" customHeight="false" outlineLevel="0" collapsed="false">
      <c r="A231" s="26"/>
      <c r="B231" s="15"/>
      <c r="C231" s="15"/>
      <c r="D231" s="27"/>
      <c r="E231" s="15"/>
      <c r="F231" s="28"/>
      <c r="G231" s="25" t="str">
        <f aca="true">IF(OR(D231="",E231=""),"",IFERROR(D231*INDEX(UnidadesFactor,MATCH(E231,Unidades,0)),""))</f>
        <v/>
      </c>
      <c r="H231" s="17" t="str">
        <f aca="false">IF(I231&lt;&gt;"OK","",IF(G231=0,"",F231/G231))</f>
        <v/>
      </c>
      <c r="I231" s="20" t="str">
        <f aca="true">IF(B231="","",IF(ISNA(MATCH(B231,ListaInsumos,0)),"Insumo no está en Insumos",IF(OR(D231="",E231="",F231=""),"Faltan datos",IF(INDEX(UnidadesBase,MATCH(E231,Unidades,0))&lt;&gt;INDEX(InsBase,MATCH(B231,ListaInsumos,0)),"Unidad incompatible",IF(A231="","Falta fecha","OK")))))</f>
        <v/>
      </c>
      <c r="J231" s="15"/>
    </row>
    <row r="232" customFormat="false" ht="15" hidden="false" customHeight="false" outlineLevel="0" collapsed="false">
      <c r="A232" s="26"/>
      <c r="B232" s="15"/>
      <c r="C232" s="15"/>
      <c r="D232" s="27"/>
      <c r="E232" s="15"/>
      <c r="F232" s="28"/>
      <c r="G232" s="25" t="str">
        <f aca="true">IF(OR(D232="",E232=""),"",IFERROR(D232*INDEX(UnidadesFactor,MATCH(E232,Unidades,0)),""))</f>
        <v/>
      </c>
      <c r="H232" s="17" t="str">
        <f aca="false">IF(I232&lt;&gt;"OK","",IF(G232=0,"",F232/G232))</f>
        <v/>
      </c>
      <c r="I232" s="20" t="str">
        <f aca="true">IF(B232="","",IF(ISNA(MATCH(B232,ListaInsumos,0)),"Insumo no está en Insumos",IF(OR(D232="",E232="",F232=""),"Faltan datos",IF(INDEX(UnidadesBase,MATCH(E232,Unidades,0))&lt;&gt;INDEX(InsBase,MATCH(B232,ListaInsumos,0)),"Unidad incompatible",IF(A232="","Falta fecha","OK")))))</f>
        <v/>
      </c>
      <c r="J232" s="15"/>
    </row>
    <row r="233" customFormat="false" ht="15" hidden="false" customHeight="false" outlineLevel="0" collapsed="false">
      <c r="A233" s="26"/>
      <c r="B233" s="15"/>
      <c r="C233" s="15"/>
      <c r="D233" s="27"/>
      <c r="E233" s="15"/>
      <c r="F233" s="28"/>
      <c r="G233" s="25" t="str">
        <f aca="true">IF(OR(D233="",E233=""),"",IFERROR(D233*INDEX(UnidadesFactor,MATCH(E233,Unidades,0)),""))</f>
        <v/>
      </c>
      <c r="H233" s="17" t="str">
        <f aca="false">IF(I233&lt;&gt;"OK","",IF(G233=0,"",F233/G233))</f>
        <v/>
      </c>
      <c r="I233" s="20" t="str">
        <f aca="true">IF(B233="","",IF(ISNA(MATCH(B233,ListaInsumos,0)),"Insumo no está en Insumos",IF(OR(D233="",E233="",F233=""),"Faltan datos",IF(INDEX(UnidadesBase,MATCH(E233,Unidades,0))&lt;&gt;INDEX(InsBase,MATCH(B233,ListaInsumos,0)),"Unidad incompatible",IF(A233="","Falta fecha","OK")))))</f>
        <v/>
      </c>
      <c r="J233" s="15"/>
    </row>
    <row r="234" customFormat="false" ht="15" hidden="false" customHeight="false" outlineLevel="0" collapsed="false">
      <c r="A234" s="26"/>
      <c r="B234" s="15"/>
      <c r="C234" s="15"/>
      <c r="D234" s="27"/>
      <c r="E234" s="15"/>
      <c r="F234" s="28"/>
      <c r="G234" s="25" t="str">
        <f aca="true">IF(OR(D234="",E234=""),"",IFERROR(D234*INDEX(UnidadesFactor,MATCH(E234,Unidades,0)),""))</f>
        <v/>
      </c>
      <c r="H234" s="17" t="str">
        <f aca="false">IF(I234&lt;&gt;"OK","",IF(G234=0,"",F234/G234))</f>
        <v/>
      </c>
      <c r="I234" s="20" t="str">
        <f aca="true">IF(B234="","",IF(ISNA(MATCH(B234,ListaInsumos,0)),"Insumo no está en Insumos",IF(OR(D234="",E234="",F234=""),"Faltan datos",IF(INDEX(UnidadesBase,MATCH(E234,Unidades,0))&lt;&gt;INDEX(InsBase,MATCH(B234,ListaInsumos,0)),"Unidad incompatible",IF(A234="","Falta fecha","OK")))))</f>
        <v/>
      </c>
      <c r="J234" s="15"/>
    </row>
    <row r="235" customFormat="false" ht="15" hidden="false" customHeight="false" outlineLevel="0" collapsed="false">
      <c r="A235" s="26"/>
      <c r="B235" s="15"/>
      <c r="C235" s="15"/>
      <c r="D235" s="27"/>
      <c r="E235" s="15"/>
      <c r="F235" s="28"/>
      <c r="G235" s="25" t="str">
        <f aca="true">IF(OR(D235="",E235=""),"",IFERROR(D235*INDEX(UnidadesFactor,MATCH(E235,Unidades,0)),""))</f>
        <v/>
      </c>
      <c r="H235" s="17" t="str">
        <f aca="false">IF(I235&lt;&gt;"OK","",IF(G235=0,"",F235/G235))</f>
        <v/>
      </c>
      <c r="I235" s="20" t="str">
        <f aca="true">IF(B235="","",IF(ISNA(MATCH(B235,ListaInsumos,0)),"Insumo no está en Insumos",IF(OR(D235="",E235="",F235=""),"Faltan datos",IF(INDEX(UnidadesBase,MATCH(E235,Unidades,0))&lt;&gt;INDEX(InsBase,MATCH(B235,ListaInsumos,0)),"Unidad incompatible",IF(A235="","Falta fecha","OK")))))</f>
        <v/>
      </c>
      <c r="J235" s="15"/>
    </row>
    <row r="236" customFormat="false" ht="15" hidden="false" customHeight="false" outlineLevel="0" collapsed="false">
      <c r="A236" s="26"/>
      <c r="B236" s="15"/>
      <c r="C236" s="15"/>
      <c r="D236" s="27"/>
      <c r="E236" s="15"/>
      <c r="F236" s="28"/>
      <c r="G236" s="25" t="str">
        <f aca="true">IF(OR(D236="",E236=""),"",IFERROR(D236*INDEX(UnidadesFactor,MATCH(E236,Unidades,0)),""))</f>
        <v/>
      </c>
      <c r="H236" s="17" t="str">
        <f aca="false">IF(I236&lt;&gt;"OK","",IF(G236=0,"",F236/G236))</f>
        <v/>
      </c>
      <c r="I236" s="20" t="str">
        <f aca="true">IF(B236="","",IF(ISNA(MATCH(B236,ListaInsumos,0)),"Insumo no está en Insumos",IF(OR(D236="",E236="",F236=""),"Faltan datos",IF(INDEX(UnidadesBase,MATCH(E236,Unidades,0))&lt;&gt;INDEX(InsBase,MATCH(B236,ListaInsumos,0)),"Unidad incompatible",IF(A236="","Falta fecha","OK")))))</f>
        <v/>
      </c>
      <c r="J236" s="15"/>
    </row>
    <row r="237" customFormat="false" ht="15" hidden="false" customHeight="false" outlineLevel="0" collapsed="false">
      <c r="A237" s="26"/>
      <c r="B237" s="15"/>
      <c r="C237" s="15"/>
      <c r="D237" s="27"/>
      <c r="E237" s="15"/>
      <c r="F237" s="28"/>
      <c r="G237" s="25" t="str">
        <f aca="true">IF(OR(D237="",E237=""),"",IFERROR(D237*INDEX(UnidadesFactor,MATCH(E237,Unidades,0)),""))</f>
        <v/>
      </c>
      <c r="H237" s="17" t="str">
        <f aca="false">IF(I237&lt;&gt;"OK","",IF(G237=0,"",F237/G237))</f>
        <v/>
      </c>
      <c r="I237" s="20" t="str">
        <f aca="true">IF(B237="","",IF(ISNA(MATCH(B237,ListaInsumos,0)),"Insumo no está en Insumos",IF(OR(D237="",E237="",F237=""),"Faltan datos",IF(INDEX(UnidadesBase,MATCH(E237,Unidades,0))&lt;&gt;INDEX(InsBase,MATCH(B237,ListaInsumos,0)),"Unidad incompatible",IF(A237="","Falta fecha","OK")))))</f>
        <v/>
      </c>
      <c r="J237" s="15"/>
    </row>
    <row r="238" customFormat="false" ht="15" hidden="false" customHeight="false" outlineLevel="0" collapsed="false">
      <c r="A238" s="26"/>
      <c r="B238" s="15"/>
      <c r="C238" s="15"/>
      <c r="D238" s="27"/>
      <c r="E238" s="15"/>
      <c r="F238" s="28"/>
      <c r="G238" s="25" t="str">
        <f aca="true">IF(OR(D238="",E238=""),"",IFERROR(D238*INDEX(UnidadesFactor,MATCH(E238,Unidades,0)),""))</f>
        <v/>
      </c>
      <c r="H238" s="17" t="str">
        <f aca="false">IF(I238&lt;&gt;"OK","",IF(G238=0,"",F238/G238))</f>
        <v/>
      </c>
      <c r="I238" s="20" t="str">
        <f aca="true">IF(B238="","",IF(ISNA(MATCH(B238,ListaInsumos,0)),"Insumo no está en Insumos",IF(OR(D238="",E238="",F238=""),"Faltan datos",IF(INDEX(UnidadesBase,MATCH(E238,Unidades,0))&lt;&gt;INDEX(InsBase,MATCH(B238,ListaInsumos,0)),"Unidad incompatible",IF(A238="","Falta fecha","OK")))))</f>
        <v/>
      </c>
      <c r="J238" s="15"/>
    </row>
    <row r="239" customFormat="false" ht="15" hidden="false" customHeight="false" outlineLevel="0" collapsed="false">
      <c r="A239" s="26"/>
      <c r="B239" s="15"/>
      <c r="C239" s="15"/>
      <c r="D239" s="27"/>
      <c r="E239" s="15"/>
      <c r="F239" s="28"/>
      <c r="G239" s="25" t="str">
        <f aca="true">IF(OR(D239="",E239=""),"",IFERROR(D239*INDEX(UnidadesFactor,MATCH(E239,Unidades,0)),""))</f>
        <v/>
      </c>
      <c r="H239" s="17" t="str">
        <f aca="false">IF(I239&lt;&gt;"OK","",IF(G239=0,"",F239/G239))</f>
        <v/>
      </c>
      <c r="I239" s="20" t="str">
        <f aca="true">IF(B239="","",IF(ISNA(MATCH(B239,ListaInsumos,0)),"Insumo no está en Insumos",IF(OR(D239="",E239="",F239=""),"Faltan datos",IF(INDEX(UnidadesBase,MATCH(E239,Unidades,0))&lt;&gt;INDEX(InsBase,MATCH(B239,ListaInsumos,0)),"Unidad incompatible",IF(A239="","Falta fecha","OK")))))</f>
        <v/>
      </c>
      <c r="J239" s="15"/>
    </row>
    <row r="240" customFormat="false" ht="15" hidden="false" customHeight="false" outlineLevel="0" collapsed="false">
      <c r="A240" s="26"/>
      <c r="B240" s="15"/>
      <c r="C240" s="15"/>
      <c r="D240" s="27"/>
      <c r="E240" s="15"/>
      <c r="F240" s="28"/>
      <c r="G240" s="25" t="str">
        <f aca="true">IF(OR(D240="",E240=""),"",IFERROR(D240*INDEX(UnidadesFactor,MATCH(E240,Unidades,0)),""))</f>
        <v/>
      </c>
      <c r="H240" s="17" t="str">
        <f aca="false">IF(I240&lt;&gt;"OK","",IF(G240=0,"",F240/G240))</f>
        <v/>
      </c>
      <c r="I240" s="20" t="str">
        <f aca="true">IF(B240="","",IF(ISNA(MATCH(B240,ListaInsumos,0)),"Insumo no está en Insumos",IF(OR(D240="",E240="",F240=""),"Faltan datos",IF(INDEX(UnidadesBase,MATCH(E240,Unidades,0))&lt;&gt;INDEX(InsBase,MATCH(B240,ListaInsumos,0)),"Unidad incompatible",IF(A240="","Falta fecha","OK")))))</f>
        <v/>
      </c>
      <c r="J240" s="15"/>
    </row>
    <row r="241" customFormat="false" ht="15" hidden="false" customHeight="false" outlineLevel="0" collapsed="false">
      <c r="A241" s="26"/>
      <c r="B241" s="15"/>
      <c r="C241" s="15"/>
      <c r="D241" s="27"/>
      <c r="E241" s="15"/>
      <c r="F241" s="28"/>
      <c r="G241" s="25" t="str">
        <f aca="true">IF(OR(D241="",E241=""),"",IFERROR(D241*INDEX(UnidadesFactor,MATCH(E241,Unidades,0)),""))</f>
        <v/>
      </c>
      <c r="H241" s="17" t="str">
        <f aca="false">IF(I241&lt;&gt;"OK","",IF(G241=0,"",F241/G241))</f>
        <v/>
      </c>
      <c r="I241" s="20" t="str">
        <f aca="true">IF(B241="","",IF(ISNA(MATCH(B241,ListaInsumos,0)),"Insumo no está en Insumos",IF(OR(D241="",E241="",F241=""),"Faltan datos",IF(INDEX(UnidadesBase,MATCH(E241,Unidades,0))&lt;&gt;INDEX(InsBase,MATCH(B241,ListaInsumos,0)),"Unidad incompatible",IF(A241="","Falta fecha","OK")))))</f>
        <v/>
      </c>
      <c r="J241" s="15"/>
    </row>
    <row r="242" customFormat="false" ht="15" hidden="false" customHeight="false" outlineLevel="0" collapsed="false">
      <c r="A242" s="26"/>
      <c r="B242" s="15"/>
      <c r="C242" s="15"/>
      <c r="D242" s="27"/>
      <c r="E242" s="15"/>
      <c r="F242" s="28"/>
      <c r="G242" s="25" t="str">
        <f aca="true">IF(OR(D242="",E242=""),"",IFERROR(D242*INDEX(UnidadesFactor,MATCH(E242,Unidades,0)),""))</f>
        <v/>
      </c>
      <c r="H242" s="17" t="str">
        <f aca="false">IF(I242&lt;&gt;"OK","",IF(G242=0,"",F242/G242))</f>
        <v/>
      </c>
      <c r="I242" s="20" t="str">
        <f aca="true">IF(B242="","",IF(ISNA(MATCH(B242,ListaInsumos,0)),"Insumo no está en Insumos",IF(OR(D242="",E242="",F242=""),"Faltan datos",IF(INDEX(UnidadesBase,MATCH(E242,Unidades,0))&lt;&gt;INDEX(InsBase,MATCH(B242,ListaInsumos,0)),"Unidad incompatible",IF(A242="","Falta fecha","OK")))))</f>
        <v/>
      </c>
      <c r="J242" s="15"/>
    </row>
    <row r="243" customFormat="false" ht="15" hidden="false" customHeight="false" outlineLevel="0" collapsed="false">
      <c r="A243" s="26"/>
      <c r="B243" s="15"/>
      <c r="C243" s="15"/>
      <c r="D243" s="27"/>
      <c r="E243" s="15"/>
      <c r="F243" s="28"/>
      <c r="G243" s="25" t="str">
        <f aca="true">IF(OR(D243="",E243=""),"",IFERROR(D243*INDEX(UnidadesFactor,MATCH(E243,Unidades,0)),""))</f>
        <v/>
      </c>
      <c r="H243" s="17" t="str">
        <f aca="false">IF(I243&lt;&gt;"OK","",IF(G243=0,"",F243/G243))</f>
        <v/>
      </c>
      <c r="I243" s="20" t="str">
        <f aca="true">IF(B243="","",IF(ISNA(MATCH(B243,ListaInsumos,0)),"Insumo no está en Insumos",IF(OR(D243="",E243="",F243=""),"Faltan datos",IF(INDEX(UnidadesBase,MATCH(E243,Unidades,0))&lt;&gt;INDEX(InsBase,MATCH(B243,ListaInsumos,0)),"Unidad incompatible",IF(A243="","Falta fecha","OK")))))</f>
        <v/>
      </c>
      <c r="J243" s="15"/>
    </row>
    <row r="244" customFormat="false" ht="15" hidden="false" customHeight="false" outlineLevel="0" collapsed="false">
      <c r="A244" s="26"/>
      <c r="B244" s="15"/>
      <c r="C244" s="15"/>
      <c r="D244" s="27"/>
      <c r="E244" s="15"/>
      <c r="F244" s="28"/>
      <c r="G244" s="25" t="str">
        <f aca="true">IF(OR(D244="",E244=""),"",IFERROR(D244*INDEX(UnidadesFactor,MATCH(E244,Unidades,0)),""))</f>
        <v/>
      </c>
      <c r="H244" s="17" t="str">
        <f aca="false">IF(I244&lt;&gt;"OK","",IF(G244=0,"",F244/G244))</f>
        <v/>
      </c>
      <c r="I244" s="20" t="str">
        <f aca="true">IF(B244="","",IF(ISNA(MATCH(B244,ListaInsumos,0)),"Insumo no está en Insumos",IF(OR(D244="",E244="",F244=""),"Faltan datos",IF(INDEX(UnidadesBase,MATCH(E244,Unidades,0))&lt;&gt;INDEX(InsBase,MATCH(B244,ListaInsumos,0)),"Unidad incompatible",IF(A244="","Falta fecha","OK")))))</f>
        <v/>
      </c>
      <c r="J244" s="15"/>
    </row>
    <row r="245" customFormat="false" ht="15" hidden="false" customHeight="false" outlineLevel="0" collapsed="false">
      <c r="A245" s="26"/>
      <c r="B245" s="15"/>
      <c r="C245" s="15"/>
      <c r="D245" s="27"/>
      <c r="E245" s="15"/>
      <c r="F245" s="28"/>
      <c r="G245" s="25" t="str">
        <f aca="true">IF(OR(D245="",E245=""),"",IFERROR(D245*INDEX(UnidadesFactor,MATCH(E245,Unidades,0)),""))</f>
        <v/>
      </c>
      <c r="H245" s="17" t="str">
        <f aca="false">IF(I245&lt;&gt;"OK","",IF(G245=0,"",F245/G245))</f>
        <v/>
      </c>
      <c r="I245" s="20" t="str">
        <f aca="true">IF(B245="","",IF(ISNA(MATCH(B245,ListaInsumos,0)),"Insumo no está en Insumos",IF(OR(D245="",E245="",F245=""),"Faltan datos",IF(INDEX(UnidadesBase,MATCH(E245,Unidades,0))&lt;&gt;INDEX(InsBase,MATCH(B245,ListaInsumos,0)),"Unidad incompatible",IF(A245="","Falta fecha","OK")))))</f>
        <v/>
      </c>
      <c r="J245" s="15"/>
    </row>
    <row r="246" customFormat="false" ht="15" hidden="false" customHeight="false" outlineLevel="0" collapsed="false">
      <c r="A246" s="26"/>
      <c r="B246" s="15"/>
      <c r="C246" s="15"/>
      <c r="D246" s="27"/>
      <c r="E246" s="15"/>
      <c r="F246" s="28"/>
      <c r="G246" s="25" t="str">
        <f aca="true">IF(OR(D246="",E246=""),"",IFERROR(D246*INDEX(UnidadesFactor,MATCH(E246,Unidades,0)),""))</f>
        <v/>
      </c>
      <c r="H246" s="17" t="str">
        <f aca="false">IF(I246&lt;&gt;"OK","",IF(G246=0,"",F246/G246))</f>
        <v/>
      </c>
      <c r="I246" s="20" t="str">
        <f aca="true">IF(B246="","",IF(ISNA(MATCH(B246,ListaInsumos,0)),"Insumo no está en Insumos",IF(OR(D246="",E246="",F246=""),"Faltan datos",IF(INDEX(UnidadesBase,MATCH(E246,Unidades,0))&lt;&gt;INDEX(InsBase,MATCH(B246,ListaInsumos,0)),"Unidad incompatible",IF(A246="","Falta fecha","OK")))))</f>
        <v/>
      </c>
      <c r="J246" s="15"/>
    </row>
    <row r="247" customFormat="false" ht="15" hidden="false" customHeight="false" outlineLevel="0" collapsed="false">
      <c r="A247" s="26"/>
      <c r="B247" s="15"/>
      <c r="C247" s="15"/>
      <c r="D247" s="27"/>
      <c r="E247" s="15"/>
      <c r="F247" s="28"/>
      <c r="G247" s="25" t="str">
        <f aca="true">IF(OR(D247="",E247=""),"",IFERROR(D247*INDEX(UnidadesFactor,MATCH(E247,Unidades,0)),""))</f>
        <v/>
      </c>
      <c r="H247" s="17" t="str">
        <f aca="false">IF(I247&lt;&gt;"OK","",IF(G247=0,"",F247/G247))</f>
        <v/>
      </c>
      <c r="I247" s="20" t="str">
        <f aca="true">IF(B247="","",IF(ISNA(MATCH(B247,ListaInsumos,0)),"Insumo no está en Insumos",IF(OR(D247="",E247="",F247=""),"Faltan datos",IF(INDEX(UnidadesBase,MATCH(E247,Unidades,0))&lt;&gt;INDEX(InsBase,MATCH(B247,ListaInsumos,0)),"Unidad incompatible",IF(A247="","Falta fecha","OK")))))</f>
        <v/>
      </c>
      <c r="J247" s="15"/>
    </row>
    <row r="248" customFormat="false" ht="15" hidden="false" customHeight="false" outlineLevel="0" collapsed="false">
      <c r="A248" s="26"/>
      <c r="B248" s="15"/>
      <c r="C248" s="15"/>
      <c r="D248" s="27"/>
      <c r="E248" s="15"/>
      <c r="F248" s="28"/>
      <c r="G248" s="25" t="str">
        <f aca="true">IF(OR(D248="",E248=""),"",IFERROR(D248*INDEX(UnidadesFactor,MATCH(E248,Unidades,0)),""))</f>
        <v/>
      </c>
      <c r="H248" s="17" t="str">
        <f aca="false">IF(I248&lt;&gt;"OK","",IF(G248=0,"",F248/G248))</f>
        <v/>
      </c>
      <c r="I248" s="20" t="str">
        <f aca="true">IF(B248="","",IF(ISNA(MATCH(B248,ListaInsumos,0)),"Insumo no está en Insumos",IF(OR(D248="",E248="",F248=""),"Faltan datos",IF(INDEX(UnidadesBase,MATCH(E248,Unidades,0))&lt;&gt;INDEX(InsBase,MATCH(B248,ListaInsumos,0)),"Unidad incompatible",IF(A248="","Falta fecha","OK")))))</f>
        <v/>
      </c>
      <c r="J248" s="15"/>
    </row>
    <row r="249" customFormat="false" ht="15" hidden="false" customHeight="false" outlineLevel="0" collapsed="false">
      <c r="A249" s="26"/>
      <c r="B249" s="15"/>
      <c r="C249" s="15"/>
      <c r="D249" s="27"/>
      <c r="E249" s="15"/>
      <c r="F249" s="28"/>
      <c r="G249" s="25" t="str">
        <f aca="true">IF(OR(D249="",E249=""),"",IFERROR(D249*INDEX(UnidadesFactor,MATCH(E249,Unidades,0)),""))</f>
        <v/>
      </c>
      <c r="H249" s="17" t="str">
        <f aca="false">IF(I249&lt;&gt;"OK","",IF(G249=0,"",F249/G249))</f>
        <v/>
      </c>
      <c r="I249" s="20" t="str">
        <f aca="true">IF(B249="","",IF(ISNA(MATCH(B249,ListaInsumos,0)),"Insumo no está en Insumos",IF(OR(D249="",E249="",F249=""),"Faltan datos",IF(INDEX(UnidadesBase,MATCH(E249,Unidades,0))&lt;&gt;INDEX(InsBase,MATCH(B249,ListaInsumos,0)),"Unidad incompatible",IF(A249="","Falta fecha","OK")))))</f>
        <v/>
      </c>
      <c r="J249" s="15"/>
    </row>
    <row r="250" customFormat="false" ht="15" hidden="false" customHeight="false" outlineLevel="0" collapsed="false">
      <c r="A250" s="26"/>
      <c r="B250" s="15"/>
      <c r="C250" s="15"/>
      <c r="D250" s="27"/>
      <c r="E250" s="15"/>
      <c r="F250" s="28"/>
      <c r="G250" s="25" t="str">
        <f aca="true">IF(OR(D250="",E250=""),"",IFERROR(D250*INDEX(UnidadesFactor,MATCH(E250,Unidades,0)),""))</f>
        <v/>
      </c>
      <c r="H250" s="17" t="str">
        <f aca="false">IF(I250&lt;&gt;"OK","",IF(G250=0,"",F250/G250))</f>
        <v/>
      </c>
      <c r="I250" s="20" t="str">
        <f aca="true">IF(B250="","",IF(ISNA(MATCH(B250,ListaInsumos,0)),"Insumo no está en Insumos",IF(OR(D250="",E250="",F250=""),"Faltan datos",IF(INDEX(UnidadesBase,MATCH(E250,Unidades,0))&lt;&gt;INDEX(InsBase,MATCH(B250,ListaInsumos,0)),"Unidad incompatible",IF(A250="","Falta fecha","OK")))))</f>
        <v/>
      </c>
      <c r="J250" s="15"/>
    </row>
    <row r="251" customFormat="false" ht="15" hidden="false" customHeight="false" outlineLevel="0" collapsed="false">
      <c r="A251" s="26"/>
      <c r="B251" s="15"/>
      <c r="C251" s="15"/>
      <c r="D251" s="27"/>
      <c r="E251" s="15"/>
      <c r="F251" s="28"/>
      <c r="G251" s="25" t="str">
        <f aca="true">IF(OR(D251="",E251=""),"",IFERROR(D251*INDEX(UnidadesFactor,MATCH(E251,Unidades,0)),""))</f>
        <v/>
      </c>
      <c r="H251" s="17" t="str">
        <f aca="false">IF(I251&lt;&gt;"OK","",IF(G251=0,"",F251/G251))</f>
        <v/>
      </c>
      <c r="I251" s="20" t="str">
        <f aca="true">IF(B251="","",IF(ISNA(MATCH(B251,ListaInsumos,0)),"Insumo no está en Insumos",IF(OR(D251="",E251="",F251=""),"Faltan datos",IF(INDEX(UnidadesBase,MATCH(E251,Unidades,0))&lt;&gt;INDEX(InsBase,MATCH(B251,ListaInsumos,0)),"Unidad incompatible",IF(A251="","Falta fecha","OK")))))</f>
        <v/>
      </c>
      <c r="J251" s="15"/>
    </row>
    <row r="252" customFormat="false" ht="15" hidden="false" customHeight="false" outlineLevel="0" collapsed="false">
      <c r="A252" s="26"/>
      <c r="B252" s="15"/>
      <c r="C252" s="15"/>
      <c r="D252" s="27"/>
      <c r="E252" s="15"/>
      <c r="F252" s="28"/>
      <c r="G252" s="25" t="str">
        <f aca="true">IF(OR(D252="",E252=""),"",IFERROR(D252*INDEX(UnidadesFactor,MATCH(E252,Unidades,0)),""))</f>
        <v/>
      </c>
      <c r="H252" s="17" t="str">
        <f aca="false">IF(I252&lt;&gt;"OK","",IF(G252=0,"",F252/G252))</f>
        <v/>
      </c>
      <c r="I252" s="20" t="str">
        <f aca="true">IF(B252="","",IF(ISNA(MATCH(B252,ListaInsumos,0)),"Insumo no está en Insumos",IF(OR(D252="",E252="",F252=""),"Faltan datos",IF(INDEX(UnidadesBase,MATCH(E252,Unidades,0))&lt;&gt;INDEX(InsBase,MATCH(B252,ListaInsumos,0)),"Unidad incompatible",IF(A252="","Falta fecha","OK")))))</f>
        <v/>
      </c>
      <c r="J252" s="15"/>
    </row>
    <row r="253" customFormat="false" ht="15" hidden="false" customHeight="false" outlineLevel="0" collapsed="false">
      <c r="A253" s="26"/>
      <c r="B253" s="15"/>
      <c r="C253" s="15"/>
      <c r="D253" s="27"/>
      <c r="E253" s="15"/>
      <c r="F253" s="28"/>
      <c r="G253" s="25" t="str">
        <f aca="true">IF(OR(D253="",E253=""),"",IFERROR(D253*INDEX(UnidadesFactor,MATCH(E253,Unidades,0)),""))</f>
        <v/>
      </c>
      <c r="H253" s="17" t="str">
        <f aca="false">IF(I253&lt;&gt;"OK","",IF(G253=0,"",F253/G253))</f>
        <v/>
      </c>
      <c r="I253" s="20" t="str">
        <f aca="true">IF(B253="","",IF(ISNA(MATCH(B253,ListaInsumos,0)),"Insumo no está en Insumos",IF(OR(D253="",E253="",F253=""),"Faltan datos",IF(INDEX(UnidadesBase,MATCH(E253,Unidades,0))&lt;&gt;INDEX(InsBase,MATCH(B253,ListaInsumos,0)),"Unidad incompatible",IF(A253="","Falta fecha","OK")))))</f>
        <v/>
      </c>
      <c r="J253" s="15"/>
    </row>
    <row r="254" customFormat="false" ht="15" hidden="false" customHeight="false" outlineLevel="0" collapsed="false">
      <c r="A254" s="26"/>
      <c r="B254" s="15"/>
      <c r="C254" s="15"/>
      <c r="D254" s="27"/>
      <c r="E254" s="15"/>
      <c r="F254" s="28"/>
      <c r="G254" s="25" t="str">
        <f aca="true">IF(OR(D254="",E254=""),"",IFERROR(D254*INDEX(UnidadesFactor,MATCH(E254,Unidades,0)),""))</f>
        <v/>
      </c>
      <c r="H254" s="17" t="str">
        <f aca="false">IF(I254&lt;&gt;"OK","",IF(G254=0,"",F254/G254))</f>
        <v/>
      </c>
      <c r="I254" s="20" t="str">
        <f aca="true">IF(B254="","",IF(ISNA(MATCH(B254,ListaInsumos,0)),"Insumo no está en Insumos",IF(OR(D254="",E254="",F254=""),"Faltan datos",IF(INDEX(UnidadesBase,MATCH(E254,Unidades,0))&lt;&gt;INDEX(InsBase,MATCH(B254,ListaInsumos,0)),"Unidad incompatible",IF(A254="","Falta fecha","OK")))))</f>
        <v/>
      </c>
      <c r="J254" s="15"/>
    </row>
    <row r="255" customFormat="false" ht="15" hidden="false" customHeight="false" outlineLevel="0" collapsed="false">
      <c r="A255" s="26"/>
      <c r="B255" s="15"/>
      <c r="C255" s="15"/>
      <c r="D255" s="27"/>
      <c r="E255" s="15"/>
      <c r="F255" s="28"/>
      <c r="G255" s="25" t="str">
        <f aca="true">IF(OR(D255="",E255=""),"",IFERROR(D255*INDEX(UnidadesFactor,MATCH(E255,Unidades,0)),""))</f>
        <v/>
      </c>
      <c r="H255" s="17" t="str">
        <f aca="false">IF(I255&lt;&gt;"OK","",IF(G255=0,"",F255/G255))</f>
        <v/>
      </c>
      <c r="I255" s="20" t="str">
        <f aca="true">IF(B255="","",IF(ISNA(MATCH(B255,ListaInsumos,0)),"Insumo no está en Insumos",IF(OR(D255="",E255="",F255=""),"Faltan datos",IF(INDEX(UnidadesBase,MATCH(E255,Unidades,0))&lt;&gt;INDEX(InsBase,MATCH(B255,ListaInsumos,0)),"Unidad incompatible",IF(A255="","Falta fecha","OK")))))</f>
        <v/>
      </c>
      <c r="J255" s="15"/>
    </row>
    <row r="256" customFormat="false" ht="15" hidden="false" customHeight="false" outlineLevel="0" collapsed="false">
      <c r="A256" s="26"/>
      <c r="B256" s="15"/>
      <c r="C256" s="15"/>
      <c r="D256" s="27"/>
      <c r="E256" s="15"/>
      <c r="F256" s="28"/>
      <c r="G256" s="25" t="str">
        <f aca="true">IF(OR(D256="",E256=""),"",IFERROR(D256*INDEX(UnidadesFactor,MATCH(E256,Unidades,0)),""))</f>
        <v/>
      </c>
      <c r="H256" s="17" t="str">
        <f aca="false">IF(I256&lt;&gt;"OK","",IF(G256=0,"",F256/G256))</f>
        <v/>
      </c>
      <c r="I256" s="20" t="str">
        <f aca="true">IF(B256="","",IF(ISNA(MATCH(B256,ListaInsumos,0)),"Insumo no está en Insumos",IF(OR(D256="",E256="",F256=""),"Faltan datos",IF(INDEX(UnidadesBase,MATCH(E256,Unidades,0))&lt;&gt;INDEX(InsBase,MATCH(B256,ListaInsumos,0)),"Unidad incompatible",IF(A256="","Falta fecha","OK")))))</f>
        <v/>
      </c>
      <c r="J256" s="15"/>
    </row>
    <row r="257" customFormat="false" ht="15" hidden="false" customHeight="false" outlineLevel="0" collapsed="false">
      <c r="A257" s="26"/>
      <c r="B257" s="15"/>
      <c r="C257" s="15"/>
      <c r="D257" s="27"/>
      <c r="E257" s="15"/>
      <c r="F257" s="28"/>
      <c r="G257" s="25" t="str">
        <f aca="true">IF(OR(D257="",E257=""),"",IFERROR(D257*INDEX(UnidadesFactor,MATCH(E257,Unidades,0)),""))</f>
        <v/>
      </c>
      <c r="H257" s="17" t="str">
        <f aca="false">IF(I257&lt;&gt;"OK","",IF(G257=0,"",F257/G257))</f>
        <v/>
      </c>
      <c r="I257" s="20" t="str">
        <f aca="true">IF(B257="","",IF(ISNA(MATCH(B257,ListaInsumos,0)),"Insumo no está en Insumos",IF(OR(D257="",E257="",F257=""),"Faltan datos",IF(INDEX(UnidadesBase,MATCH(E257,Unidades,0))&lt;&gt;INDEX(InsBase,MATCH(B257,ListaInsumos,0)),"Unidad incompatible",IF(A257="","Falta fecha","OK")))))</f>
        <v/>
      </c>
      <c r="J257" s="15"/>
    </row>
    <row r="258" customFormat="false" ht="15" hidden="false" customHeight="false" outlineLevel="0" collapsed="false">
      <c r="A258" s="26"/>
      <c r="B258" s="15"/>
      <c r="C258" s="15"/>
      <c r="D258" s="27"/>
      <c r="E258" s="15"/>
      <c r="F258" s="28"/>
      <c r="G258" s="25" t="str">
        <f aca="true">IF(OR(D258="",E258=""),"",IFERROR(D258*INDEX(UnidadesFactor,MATCH(E258,Unidades,0)),""))</f>
        <v/>
      </c>
      <c r="H258" s="17" t="str">
        <f aca="false">IF(I258&lt;&gt;"OK","",IF(G258=0,"",F258/G258))</f>
        <v/>
      </c>
      <c r="I258" s="20" t="str">
        <f aca="true">IF(B258="","",IF(ISNA(MATCH(B258,ListaInsumos,0)),"Insumo no está en Insumos",IF(OR(D258="",E258="",F258=""),"Faltan datos",IF(INDEX(UnidadesBase,MATCH(E258,Unidades,0))&lt;&gt;INDEX(InsBase,MATCH(B258,ListaInsumos,0)),"Unidad incompatible",IF(A258="","Falta fecha","OK")))))</f>
        <v/>
      </c>
      <c r="J258" s="15"/>
    </row>
    <row r="259" customFormat="false" ht="15" hidden="false" customHeight="false" outlineLevel="0" collapsed="false">
      <c r="A259" s="26"/>
      <c r="B259" s="15"/>
      <c r="C259" s="15"/>
      <c r="D259" s="27"/>
      <c r="E259" s="15"/>
      <c r="F259" s="28"/>
      <c r="G259" s="25" t="str">
        <f aca="true">IF(OR(D259="",E259=""),"",IFERROR(D259*INDEX(UnidadesFactor,MATCH(E259,Unidades,0)),""))</f>
        <v/>
      </c>
      <c r="H259" s="17" t="str">
        <f aca="false">IF(I259&lt;&gt;"OK","",IF(G259=0,"",F259/G259))</f>
        <v/>
      </c>
      <c r="I259" s="20" t="str">
        <f aca="true">IF(B259="","",IF(ISNA(MATCH(B259,ListaInsumos,0)),"Insumo no está en Insumos",IF(OR(D259="",E259="",F259=""),"Faltan datos",IF(INDEX(UnidadesBase,MATCH(E259,Unidades,0))&lt;&gt;INDEX(InsBase,MATCH(B259,ListaInsumos,0)),"Unidad incompatible",IF(A259="","Falta fecha","OK")))))</f>
        <v/>
      </c>
      <c r="J259" s="15"/>
    </row>
    <row r="260" customFormat="false" ht="15" hidden="false" customHeight="false" outlineLevel="0" collapsed="false">
      <c r="A260" s="26"/>
      <c r="B260" s="15"/>
      <c r="C260" s="15"/>
      <c r="D260" s="27"/>
      <c r="E260" s="15"/>
      <c r="F260" s="28"/>
      <c r="G260" s="25" t="str">
        <f aca="true">IF(OR(D260="",E260=""),"",IFERROR(D260*INDEX(UnidadesFactor,MATCH(E260,Unidades,0)),""))</f>
        <v/>
      </c>
      <c r="H260" s="17" t="str">
        <f aca="false">IF(I260&lt;&gt;"OK","",IF(G260=0,"",F260/G260))</f>
        <v/>
      </c>
      <c r="I260" s="20" t="str">
        <f aca="true">IF(B260="","",IF(ISNA(MATCH(B260,ListaInsumos,0)),"Insumo no está en Insumos",IF(OR(D260="",E260="",F260=""),"Faltan datos",IF(INDEX(UnidadesBase,MATCH(E260,Unidades,0))&lt;&gt;INDEX(InsBase,MATCH(B260,ListaInsumos,0)),"Unidad incompatible",IF(A260="","Falta fecha","OK")))))</f>
        <v/>
      </c>
      <c r="J260" s="15"/>
    </row>
    <row r="261" customFormat="false" ht="15" hidden="false" customHeight="false" outlineLevel="0" collapsed="false">
      <c r="A261" s="26"/>
      <c r="B261" s="15"/>
      <c r="C261" s="15"/>
      <c r="D261" s="27"/>
      <c r="E261" s="15"/>
      <c r="F261" s="28"/>
      <c r="G261" s="25" t="str">
        <f aca="true">IF(OR(D261="",E261=""),"",IFERROR(D261*INDEX(UnidadesFactor,MATCH(E261,Unidades,0)),""))</f>
        <v/>
      </c>
      <c r="H261" s="17" t="str">
        <f aca="false">IF(I261&lt;&gt;"OK","",IF(G261=0,"",F261/G261))</f>
        <v/>
      </c>
      <c r="I261" s="20" t="str">
        <f aca="true">IF(B261="","",IF(ISNA(MATCH(B261,ListaInsumos,0)),"Insumo no está en Insumos",IF(OR(D261="",E261="",F261=""),"Faltan datos",IF(INDEX(UnidadesBase,MATCH(E261,Unidades,0))&lt;&gt;INDEX(InsBase,MATCH(B261,ListaInsumos,0)),"Unidad incompatible",IF(A261="","Falta fecha","OK")))))</f>
        <v/>
      </c>
      <c r="J261" s="15"/>
    </row>
    <row r="262" customFormat="false" ht="15" hidden="false" customHeight="false" outlineLevel="0" collapsed="false">
      <c r="A262" s="26"/>
      <c r="B262" s="15"/>
      <c r="C262" s="15"/>
      <c r="D262" s="27"/>
      <c r="E262" s="15"/>
      <c r="F262" s="28"/>
      <c r="G262" s="25" t="str">
        <f aca="true">IF(OR(D262="",E262=""),"",IFERROR(D262*INDEX(UnidadesFactor,MATCH(E262,Unidades,0)),""))</f>
        <v/>
      </c>
      <c r="H262" s="17" t="str">
        <f aca="false">IF(I262&lt;&gt;"OK","",IF(G262=0,"",F262/G262))</f>
        <v/>
      </c>
      <c r="I262" s="20" t="str">
        <f aca="true">IF(B262="","",IF(ISNA(MATCH(B262,ListaInsumos,0)),"Insumo no está en Insumos",IF(OR(D262="",E262="",F262=""),"Faltan datos",IF(INDEX(UnidadesBase,MATCH(E262,Unidades,0))&lt;&gt;INDEX(InsBase,MATCH(B262,ListaInsumos,0)),"Unidad incompatible",IF(A262="","Falta fecha","OK")))))</f>
        <v/>
      </c>
      <c r="J262" s="15"/>
    </row>
    <row r="263" customFormat="false" ht="15" hidden="false" customHeight="false" outlineLevel="0" collapsed="false">
      <c r="A263" s="26"/>
      <c r="B263" s="15"/>
      <c r="C263" s="15"/>
      <c r="D263" s="27"/>
      <c r="E263" s="15"/>
      <c r="F263" s="28"/>
      <c r="G263" s="25" t="str">
        <f aca="true">IF(OR(D263="",E263=""),"",IFERROR(D263*INDEX(UnidadesFactor,MATCH(E263,Unidades,0)),""))</f>
        <v/>
      </c>
      <c r="H263" s="17" t="str">
        <f aca="false">IF(I263&lt;&gt;"OK","",IF(G263=0,"",F263/G263))</f>
        <v/>
      </c>
      <c r="I263" s="20" t="str">
        <f aca="true">IF(B263="","",IF(ISNA(MATCH(B263,ListaInsumos,0)),"Insumo no está en Insumos",IF(OR(D263="",E263="",F263=""),"Faltan datos",IF(INDEX(UnidadesBase,MATCH(E263,Unidades,0))&lt;&gt;INDEX(InsBase,MATCH(B263,ListaInsumos,0)),"Unidad incompatible",IF(A263="","Falta fecha","OK")))))</f>
        <v/>
      </c>
      <c r="J263" s="15"/>
    </row>
    <row r="264" customFormat="false" ht="15" hidden="false" customHeight="false" outlineLevel="0" collapsed="false">
      <c r="A264" s="26"/>
      <c r="B264" s="15"/>
      <c r="C264" s="15"/>
      <c r="D264" s="27"/>
      <c r="E264" s="15"/>
      <c r="F264" s="28"/>
      <c r="G264" s="25" t="str">
        <f aca="true">IF(OR(D264="",E264=""),"",IFERROR(D264*INDEX(UnidadesFactor,MATCH(E264,Unidades,0)),""))</f>
        <v/>
      </c>
      <c r="H264" s="17" t="str">
        <f aca="false">IF(I264&lt;&gt;"OK","",IF(G264=0,"",F264/G264))</f>
        <v/>
      </c>
      <c r="I264" s="20" t="str">
        <f aca="true">IF(B264="","",IF(ISNA(MATCH(B264,ListaInsumos,0)),"Insumo no está en Insumos",IF(OR(D264="",E264="",F264=""),"Faltan datos",IF(INDEX(UnidadesBase,MATCH(E264,Unidades,0))&lt;&gt;INDEX(InsBase,MATCH(B264,ListaInsumos,0)),"Unidad incompatible",IF(A264="","Falta fecha","OK")))))</f>
        <v/>
      </c>
      <c r="J264" s="15"/>
    </row>
    <row r="265" customFormat="false" ht="15" hidden="false" customHeight="false" outlineLevel="0" collapsed="false">
      <c r="A265" s="26"/>
      <c r="B265" s="15"/>
      <c r="C265" s="15"/>
      <c r="D265" s="27"/>
      <c r="E265" s="15"/>
      <c r="F265" s="28"/>
      <c r="G265" s="25" t="str">
        <f aca="true">IF(OR(D265="",E265=""),"",IFERROR(D265*INDEX(UnidadesFactor,MATCH(E265,Unidades,0)),""))</f>
        <v/>
      </c>
      <c r="H265" s="17" t="str">
        <f aca="false">IF(I265&lt;&gt;"OK","",IF(G265=0,"",F265/G265))</f>
        <v/>
      </c>
      <c r="I265" s="20" t="str">
        <f aca="true">IF(B265="","",IF(ISNA(MATCH(B265,ListaInsumos,0)),"Insumo no está en Insumos",IF(OR(D265="",E265="",F265=""),"Faltan datos",IF(INDEX(UnidadesBase,MATCH(E265,Unidades,0))&lt;&gt;INDEX(InsBase,MATCH(B265,ListaInsumos,0)),"Unidad incompatible",IF(A265="","Falta fecha","OK")))))</f>
        <v/>
      </c>
      <c r="J265" s="15"/>
    </row>
    <row r="266" customFormat="false" ht="15" hidden="false" customHeight="false" outlineLevel="0" collapsed="false">
      <c r="A266" s="26"/>
      <c r="B266" s="15"/>
      <c r="C266" s="15"/>
      <c r="D266" s="27"/>
      <c r="E266" s="15"/>
      <c r="F266" s="28"/>
      <c r="G266" s="25" t="str">
        <f aca="true">IF(OR(D266="",E266=""),"",IFERROR(D266*INDEX(UnidadesFactor,MATCH(E266,Unidades,0)),""))</f>
        <v/>
      </c>
      <c r="H266" s="17" t="str">
        <f aca="false">IF(I266&lt;&gt;"OK","",IF(G266=0,"",F266/G266))</f>
        <v/>
      </c>
      <c r="I266" s="20" t="str">
        <f aca="true">IF(B266="","",IF(ISNA(MATCH(B266,ListaInsumos,0)),"Insumo no está en Insumos",IF(OR(D266="",E266="",F266=""),"Faltan datos",IF(INDEX(UnidadesBase,MATCH(E266,Unidades,0))&lt;&gt;INDEX(InsBase,MATCH(B266,ListaInsumos,0)),"Unidad incompatible",IF(A266="","Falta fecha","OK")))))</f>
        <v/>
      </c>
      <c r="J266" s="15"/>
    </row>
    <row r="267" customFormat="false" ht="15" hidden="false" customHeight="false" outlineLevel="0" collapsed="false">
      <c r="A267" s="26"/>
      <c r="B267" s="15"/>
      <c r="C267" s="15"/>
      <c r="D267" s="27"/>
      <c r="E267" s="15"/>
      <c r="F267" s="28"/>
      <c r="G267" s="25" t="str">
        <f aca="true">IF(OR(D267="",E267=""),"",IFERROR(D267*INDEX(UnidadesFactor,MATCH(E267,Unidades,0)),""))</f>
        <v/>
      </c>
      <c r="H267" s="17" t="str">
        <f aca="false">IF(I267&lt;&gt;"OK","",IF(G267=0,"",F267/G267))</f>
        <v/>
      </c>
      <c r="I267" s="20" t="str">
        <f aca="true">IF(B267="","",IF(ISNA(MATCH(B267,ListaInsumos,0)),"Insumo no está en Insumos",IF(OR(D267="",E267="",F267=""),"Faltan datos",IF(INDEX(UnidadesBase,MATCH(E267,Unidades,0))&lt;&gt;INDEX(InsBase,MATCH(B267,ListaInsumos,0)),"Unidad incompatible",IF(A267="","Falta fecha","OK")))))</f>
        <v/>
      </c>
      <c r="J267" s="15"/>
    </row>
    <row r="268" customFormat="false" ht="15" hidden="false" customHeight="false" outlineLevel="0" collapsed="false">
      <c r="A268" s="26"/>
      <c r="B268" s="15"/>
      <c r="C268" s="15"/>
      <c r="D268" s="27"/>
      <c r="E268" s="15"/>
      <c r="F268" s="28"/>
      <c r="G268" s="25" t="str">
        <f aca="true">IF(OR(D268="",E268=""),"",IFERROR(D268*INDEX(UnidadesFactor,MATCH(E268,Unidades,0)),""))</f>
        <v/>
      </c>
      <c r="H268" s="17" t="str">
        <f aca="false">IF(I268&lt;&gt;"OK","",IF(G268=0,"",F268/G268))</f>
        <v/>
      </c>
      <c r="I268" s="20" t="str">
        <f aca="true">IF(B268="","",IF(ISNA(MATCH(B268,ListaInsumos,0)),"Insumo no está en Insumos",IF(OR(D268="",E268="",F268=""),"Faltan datos",IF(INDEX(UnidadesBase,MATCH(E268,Unidades,0))&lt;&gt;INDEX(InsBase,MATCH(B268,ListaInsumos,0)),"Unidad incompatible",IF(A268="","Falta fecha","OK")))))</f>
        <v/>
      </c>
      <c r="J268" s="15"/>
    </row>
    <row r="269" customFormat="false" ht="15" hidden="false" customHeight="false" outlineLevel="0" collapsed="false">
      <c r="A269" s="26"/>
      <c r="B269" s="15"/>
      <c r="C269" s="15"/>
      <c r="D269" s="27"/>
      <c r="E269" s="15"/>
      <c r="F269" s="28"/>
      <c r="G269" s="25" t="str">
        <f aca="true">IF(OR(D269="",E269=""),"",IFERROR(D269*INDEX(UnidadesFactor,MATCH(E269,Unidades,0)),""))</f>
        <v/>
      </c>
      <c r="H269" s="17" t="str">
        <f aca="false">IF(I269&lt;&gt;"OK","",IF(G269=0,"",F269/G269))</f>
        <v/>
      </c>
      <c r="I269" s="20" t="str">
        <f aca="true">IF(B269="","",IF(ISNA(MATCH(B269,ListaInsumos,0)),"Insumo no está en Insumos",IF(OR(D269="",E269="",F269=""),"Faltan datos",IF(INDEX(UnidadesBase,MATCH(E269,Unidades,0))&lt;&gt;INDEX(InsBase,MATCH(B269,ListaInsumos,0)),"Unidad incompatible",IF(A269="","Falta fecha","OK")))))</f>
        <v/>
      </c>
      <c r="J269" s="15"/>
    </row>
    <row r="270" customFormat="false" ht="15" hidden="false" customHeight="false" outlineLevel="0" collapsed="false">
      <c r="A270" s="26"/>
      <c r="B270" s="15"/>
      <c r="C270" s="15"/>
      <c r="D270" s="27"/>
      <c r="E270" s="15"/>
      <c r="F270" s="28"/>
      <c r="G270" s="25" t="str">
        <f aca="true">IF(OR(D270="",E270=""),"",IFERROR(D270*INDEX(UnidadesFactor,MATCH(E270,Unidades,0)),""))</f>
        <v/>
      </c>
      <c r="H270" s="17" t="str">
        <f aca="false">IF(I270&lt;&gt;"OK","",IF(G270=0,"",F270/G270))</f>
        <v/>
      </c>
      <c r="I270" s="20" t="str">
        <f aca="true">IF(B270="","",IF(ISNA(MATCH(B270,ListaInsumos,0)),"Insumo no está en Insumos",IF(OR(D270="",E270="",F270=""),"Faltan datos",IF(INDEX(UnidadesBase,MATCH(E270,Unidades,0))&lt;&gt;INDEX(InsBase,MATCH(B270,ListaInsumos,0)),"Unidad incompatible",IF(A270="","Falta fecha","OK")))))</f>
        <v/>
      </c>
      <c r="J270" s="15"/>
    </row>
    <row r="271" customFormat="false" ht="15" hidden="false" customHeight="false" outlineLevel="0" collapsed="false">
      <c r="A271" s="26"/>
      <c r="B271" s="15"/>
      <c r="C271" s="15"/>
      <c r="D271" s="27"/>
      <c r="E271" s="15"/>
      <c r="F271" s="28"/>
      <c r="G271" s="25" t="str">
        <f aca="true">IF(OR(D271="",E271=""),"",IFERROR(D271*INDEX(UnidadesFactor,MATCH(E271,Unidades,0)),""))</f>
        <v/>
      </c>
      <c r="H271" s="17" t="str">
        <f aca="false">IF(I271&lt;&gt;"OK","",IF(G271=0,"",F271/G271))</f>
        <v/>
      </c>
      <c r="I271" s="20" t="str">
        <f aca="true">IF(B271="","",IF(ISNA(MATCH(B271,ListaInsumos,0)),"Insumo no está en Insumos",IF(OR(D271="",E271="",F271=""),"Faltan datos",IF(INDEX(UnidadesBase,MATCH(E271,Unidades,0))&lt;&gt;INDEX(InsBase,MATCH(B271,ListaInsumos,0)),"Unidad incompatible",IF(A271="","Falta fecha","OK")))))</f>
        <v/>
      </c>
      <c r="J271" s="15"/>
    </row>
    <row r="272" customFormat="false" ht="15" hidden="false" customHeight="false" outlineLevel="0" collapsed="false">
      <c r="A272" s="26"/>
      <c r="B272" s="15"/>
      <c r="C272" s="15"/>
      <c r="D272" s="27"/>
      <c r="E272" s="15"/>
      <c r="F272" s="28"/>
      <c r="G272" s="25" t="str">
        <f aca="true">IF(OR(D272="",E272=""),"",IFERROR(D272*INDEX(UnidadesFactor,MATCH(E272,Unidades,0)),""))</f>
        <v/>
      </c>
      <c r="H272" s="17" t="str">
        <f aca="false">IF(I272&lt;&gt;"OK","",IF(G272=0,"",F272/G272))</f>
        <v/>
      </c>
      <c r="I272" s="20" t="str">
        <f aca="true">IF(B272="","",IF(ISNA(MATCH(B272,ListaInsumos,0)),"Insumo no está en Insumos",IF(OR(D272="",E272="",F272=""),"Faltan datos",IF(INDEX(UnidadesBase,MATCH(E272,Unidades,0))&lt;&gt;INDEX(InsBase,MATCH(B272,ListaInsumos,0)),"Unidad incompatible",IF(A272="","Falta fecha","OK")))))</f>
        <v/>
      </c>
      <c r="J272" s="15"/>
    </row>
    <row r="273" customFormat="false" ht="15" hidden="false" customHeight="false" outlineLevel="0" collapsed="false">
      <c r="A273" s="26"/>
      <c r="B273" s="15"/>
      <c r="C273" s="15"/>
      <c r="D273" s="27"/>
      <c r="E273" s="15"/>
      <c r="F273" s="28"/>
      <c r="G273" s="25" t="str">
        <f aca="true">IF(OR(D273="",E273=""),"",IFERROR(D273*INDEX(UnidadesFactor,MATCH(E273,Unidades,0)),""))</f>
        <v/>
      </c>
      <c r="H273" s="17" t="str">
        <f aca="false">IF(I273&lt;&gt;"OK","",IF(G273=0,"",F273/G273))</f>
        <v/>
      </c>
      <c r="I273" s="20" t="str">
        <f aca="true">IF(B273="","",IF(ISNA(MATCH(B273,ListaInsumos,0)),"Insumo no está en Insumos",IF(OR(D273="",E273="",F273=""),"Faltan datos",IF(INDEX(UnidadesBase,MATCH(E273,Unidades,0))&lt;&gt;INDEX(InsBase,MATCH(B273,ListaInsumos,0)),"Unidad incompatible",IF(A273="","Falta fecha","OK")))))</f>
        <v/>
      </c>
      <c r="J273" s="15"/>
    </row>
    <row r="274" customFormat="false" ht="15" hidden="false" customHeight="false" outlineLevel="0" collapsed="false">
      <c r="A274" s="26"/>
      <c r="B274" s="15"/>
      <c r="C274" s="15"/>
      <c r="D274" s="27"/>
      <c r="E274" s="15"/>
      <c r="F274" s="28"/>
      <c r="G274" s="25" t="str">
        <f aca="true">IF(OR(D274="",E274=""),"",IFERROR(D274*INDEX(UnidadesFactor,MATCH(E274,Unidades,0)),""))</f>
        <v/>
      </c>
      <c r="H274" s="17" t="str">
        <f aca="false">IF(I274&lt;&gt;"OK","",IF(G274=0,"",F274/G274))</f>
        <v/>
      </c>
      <c r="I274" s="20" t="str">
        <f aca="true">IF(B274="","",IF(ISNA(MATCH(B274,ListaInsumos,0)),"Insumo no está en Insumos",IF(OR(D274="",E274="",F274=""),"Faltan datos",IF(INDEX(UnidadesBase,MATCH(E274,Unidades,0))&lt;&gt;INDEX(InsBase,MATCH(B274,ListaInsumos,0)),"Unidad incompatible",IF(A274="","Falta fecha","OK")))))</f>
        <v/>
      </c>
      <c r="J274" s="15"/>
    </row>
    <row r="275" customFormat="false" ht="15" hidden="false" customHeight="false" outlineLevel="0" collapsed="false">
      <c r="A275" s="26"/>
      <c r="B275" s="15"/>
      <c r="C275" s="15"/>
      <c r="D275" s="27"/>
      <c r="E275" s="15"/>
      <c r="F275" s="28"/>
      <c r="G275" s="25" t="str">
        <f aca="true">IF(OR(D275="",E275=""),"",IFERROR(D275*INDEX(UnidadesFactor,MATCH(E275,Unidades,0)),""))</f>
        <v/>
      </c>
      <c r="H275" s="17" t="str">
        <f aca="false">IF(I275&lt;&gt;"OK","",IF(G275=0,"",F275/G275))</f>
        <v/>
      </c>
      <c r="I275" s="20" t="str">
        <f aca="true">IF(B275="","",IF(ISNA(MATCH(B275,ListaInsumos,0)),"Insumo no está en Insumos",IF(OR(D275="",E275="",F275=""),"Faltan datos",IF(INDEX(UnidadesBase,MATCH(E275,Unidades,0))&lt;&gt;INDEX(InsBase,MATCH(B275,ListaInsumos,0)),"Unidad incompatible",IF(A275="","Falta fecha","OK")))))</f>
        <v/>
      </c>
      <c r="J275" s="15"/>
    </row>
    <row r="276" customFormat="false" ht="15" hidden="false" customHeight="false" outlineLevel="0" collapsed="false">
      <c r="A276" s="26"/>
      <c r="B276" s="15"/>
      <c r="C276" s="15"/>
      <c r="D276" s="27"/>
      <c r="E276" s="15"/>
      <c r="F276" s="28"/>
      <c r="G276" s="25" t="str">
        <f aca="true">IF(OR(D276="",E276=""),"",IFERROR(D276*INDEX(UnidadesFactor,MATCH(E276,Unidades,0)),""))</f>
        <v/>
      </c>
      <c r="H276" s="17" t="str">
        <f aca="false">IF(I276&lt;&gt;"OK","",IF(G276=0,"",F276/G276))</f>
        <v/>
      </c>
      <c r="I276" s="20" t="str">
        <f aca="true">IF(B276="","",IF(ISNA(MATCH(B276,ListaInsumos,0)),"Insumo no está en Insumos",IF(OR(D276="",E276="",F276=""),"Faltan datos",IF(INDEX(UnidadesBase,MATCH(E276,Unidades,0))&lt;&gt;INDEX(InsBase,MATCH(B276,ListaInsumos,0)),"Unidad incompatible",IF(A276="","Falta fecha","OK")))))</f>
        <v/>
      </c>
      <c r="J276" s="15"/>
    </row>
    <row r="277" customFormat="false" ht="15" hidden="false" customHeight="false" outlineLevel="0" collapsed="false">
      <c r="A277" s="26"/>
      <c r="B277" s="15"/>
      <c r="C277" s="15"/>
      <c r="D277" s="27"/>
      <c r="E277" s="15"/>
      <c r="F277" s="28"/>
      <c r="G277" s="25" t="str">
        <f aca="true">IF(OR(D277="",E277=""),"",IFERROR(D277*INDEX(UnidadesFactor,MATCH(E277,Unidades,0)),""))</f>
        <v/>
      </c>
      <c r="H277" s="17" t="str">
        <f aca="false">IF(I277&lt;&gt;"OK","",IF(G277=0,"",F277/G277))</f>
        <v/>
      </c>
      <c r="I277" s="20" t="str">
        <f aca="true">IF(B277="","",IF(ISNA(MATCH(B277,ListaInsumos,0)),"Insumo no está en Insumos",IF(OR(D277="",E277="",F277=""),"Faltan datos",IF(INDEX(UnidadesBase,MATCH(E277,Unidades,0))&lt;&gt;INDEX(InsBase,MATCH(B277,ListaInsumos,0)),"Unidad incompatible",IF(A277="","Falta fecha","OK")))))</f>
        <v/>
      </c>
      <c r="J277" s="15"/>
    </row>
    <row r="278" customFormat="false" ht="15" hidden="false" customHeight="false" outlineLevel="0" collapsed="false">
      <c r="A278" s="26"/>
      <c r="B278" s="15"/>
      <c r="C278" s="15"/>
      <c r="D278" s="27"/>
      <c r="E278" s="15"/>
      <c r="F278" s="28"/>
      <c r="G278" s="25" t="str">
        <f aca="true">IF(OR(D278="",E278=""),"",IFERROR(D278*INDEX(UnidadesFactor,MATCH(E278,Unidades,0)),""))</f>
        <v/>
      </c>
      <c r="H278" s="17" t="str">
        <f aca="false">IF(I278&lt;&gt;"OK","",IF(G278=0,"",F278/G278))</f>
        <v/>
      </c>
      <c r="I278" s="20" t="str">
        <f aca="true">IF(B278="","",IF(ISNA(MATCH(B278,ListaInsumos,0)),"Insumo no está en Insumos",IF(OR(D278="",E278="",F278=""),"Faltan datos",IF(INDEX(UnidadesBase,MATCH(E278,Unidades,0))&lt;&gt;INDEX(InsBase,MATCH(B278,ListaInsumos,0)),"Unidad incompatible",IF(A278="","Falta fecha","OK")))))</f>
        <v/>
      </c>
      <c r="J278" s="15"/>
    </row>
    <row r="279" customFormat="false" ht="15" hidden="false" customHeight="false" outlineLevel="0" collapsed="false">
      <c r="A279" s="26"/>
      <c r="B279" s="15"/>
      <c r="C279" s="15"/>
      <c r="D279" s="27"/>
      <c r="E279" s="15"/>
      <c r="F279" s="28"/>
      <c r="G279" s="25" t="str">
        <f aca="true">IF(OR(D279="",E279=""),"",IFERROR(D279*INDEX(UnidadesFactor,MATCH(E279,Unidades,0)),""))</f>
        <v/>
      </c>
      <c r="H279" s="17" t="str">
        <f aca="false">IF(I279&lt;&gt;"OK","",IF(G279=0,"",F279/G279))</f>
        <v/>
      </c>
      <c r="I279" s="20" t="str">
        <f aca="true">IF(B279="","",IF(ISNA(MATCH(B279,ListaInsumos,0)),"Insumo no está en Insumos",IF(OR(D279="",E279="",F279=""),"Faltan datos",IF(INDEX(UnidadesBase,MATCH(E279,Unidades,0))&lt;&gt;INDEX(InsBase,MATCH(B279,ListaInsumos,0)),"Unidad incompatible",IF(A279="","Falta fecha","OK")))))</f>
        <v/>
      </c>
      <c r="J279" s="15"/>
    </row>
    <row r="280" customFormat="false" ht="15" hidden="false" customHeight="false" outlineLevel="0" collapsed="false">
      <c r="A280" s="26"/>
      <c r="B280" s="15"/>
      <c r="C280" s="15"/>
      <c r="D280" s="27"/>
      <c r="E280" s="15"/>
      <c r="F280" s="28"/>
      <c r="G280" s="25" t="str">
        <f aca="true">IF(OR(D280="",E280=""),"",IFERROR(D280*INDEX(UnidadesFactor,MATCH(E280,Unidades,0)),""))</f>
        <v/>
      </c>
      <c r="H280" s="17" t="str">
        <f aca="false">IF(I280&lt;&gt;"OK","",IF(G280=0,"",F280/G280))</f>
        <v/>
      </c>
      <c r="I280" s="20" t="str">
        <f aca="true">IF(B280="","",IF(ISNA(MATCH(B280,ListaInsumos,0)),"Insumo no está en Insumos",IF(OR(D280="",E280="",F280=""),"Faltan datos",IF(INDEX(UnidadesBase,MATCH(E280,Unidades,0))&lt;&gt;INDEX(InsBase,MATCH(B280,ListaInsumos,0)),"Unidad incompatible",IF(A280="","Falta fecha","OK")))))</f>
        <v/>
      </c>
      <c r="J280" s="15"/>
    </row>
    <row r="281" customFormat="false" ht="15" hidden="false" customHeight="false" outlineLevel="0" collapsed="false">
      <c r="A281" s="26"/>
      <c r="B281" s="15"/>
      <c r="C281" s="15"/>
      <c r="D281" s="27"/>
      <c r="E281" s="15"/>
      <c r="F281" s="28"/>
      <c r="G281" s="25" t="str">
        <f aca="true">IF(OR(D281="",E281=""),"",IFERROR(D281*INDEX(UnidadesFactor,MATCH(E281,Unidades,0)),""))</f>
        <v/>
      </c>
      <c r="H281" s="17" t="str">
        <f aca="false">IF(I281&lt;&gt;"OK","",IF(G281=0,"",F281/G281))</f>
        <v/>
      </c>
      <c r="I281" s="20" t="str">
        <f aca="true">IF(B281="","",IF(ISNA(MATCH(B281,ListaInsumos,0)),"Insumo no está en Insumos",IF(OR(D281="",E281="",F281=""),"Faltan datos",IF(INDEX(UnidadesBase,MATCH(E281,Unidades,0))&lt;&gt;INDEX(InsBase,MATCH(B281,ListaInsumos,0)),"Unidad incompatible",IF(A281="","Falta fecha","OK")))))</f>
        <v/>
      </c>
      <c r="J281" s="15"/>
    </row>
    <row r="282" customFormat="false" ht="15" hidden="false" customHeight="false" outlineLevel="0" collapsed="false">
      <c r="A282" s="26"/>
      <c r="B282" s="15"/>
      <c r="C282" s="15"/>
      <c r="D282" s="27"/>
      <c r="E282" s="15"/>
      <c r="F282" s="28"/>
      <c r="G282" s="25" t="str">
        <f aca="true">IF(OR(D282="",E282=""),"",IFERROR(D282*INDEX(UnidadesFactor,MATCH(E282,Unidades,0)),""))</f>
        <v/>
      </c>
      <c r="H282" s="17" t="str">
        <f aca="false">IF(I282&lt;&gt;"OK","",IF(G282=0,"",F282/G282))</f>
        <v/>
      </c>
      <c r="I282" s="20" t="str">
        <f aca="true">IF(B282="","",IF(ISNA(MATCH(B282,ListaInsumos,0)),"Insumo no está en Insumos",IF(OR(D282="",E282="",F282=""),"Faltan datos",IF(INDEX(UnidadesBase,MATCH(E282,Unidades,0))&lt;&gt;INDEX(InsBase,MATCH(B282,ListaInsumos,0)),"Unidad incompatible",IF(A282="","Falta fecha","OK")))))</f>
        <v/>
      </c>
      <c r="J282" s="15"/>
    </row>
    <row r="283" customFormat="false" ht="15" hidden="false" customHeight="false" outlineLevel="0" collapsed="false">
      <c r="A283" s="26"/>
      <c r="B283" s="15"/>
      <c r="C283" s="15"/>
      <c r="D283" s="27"/>
      <c r="E283" s="15"/>
      <c r="F283" s="28"/>
      <c r="G283" s="25" t="str">
        <f aca="true">IF(OR(D283="",E283=""),"",IFERROR(D283*INDEX(UnidadesFactor,MATCH(E283,Unidades,0)),""))</f>
        <v/>
      </c>
      <c r="H283" s="17" t="str">
        <f aca="false">IF(I283&lt;&gt;"OK","",IF(G283=0,"",F283/G283))</f>
        <v/>
      </c>
      <c r="I283" s="20" t="str">
        <f aca="true">IF(B283="","",IF(ISNA(MATCH(B283,ListaInsumos,0)),"Insumo no está en Insumos",IF(OR(D283="",E283="",F283=""),"Faltan datos",IF(INDEX(UnidadesBase,MATCH(E283,Unidades,0))&lt;&gt;INDEX(InsBase,MATCH(B283,ListaInsumos,0)),"Unidad incompatible",IF(A283="","Falta fecha","OK")))))</f>
        <v/>
      </c>
      <c r="J283" s="15"/>
    </row>
    <row r="284" customFormat="false" ht="15" hidden="false" customHeight="false" outlineLevel="0" collapsed="false">
      <c r="A284" s="26"/>
      <c r="B284" s="15"/>
      <c r="C284" s="15"/>
      <c r="D284" s="27"/>
      <c r="E284" s="15"/>
      <c r="F284" s="28"/>
      <c r="G284" s="25" t="str">
        <f aca="true">IF(OR(D284="",E284=""),"",IFERROR(D284*INDEX(UnidadesFactor,MATCH(E284,Unidades,0)),""))</f>
        <v/>
      </c>
      <c r="H284" s="17" t="str">
        <f aca="false">IF(I284&lt;&gt;"OK","",IF(G284=0,"",F284/G284))</f>
        <v/>
      </c>
      <c r="I284" s="20" t="str">
        <f aca="true">IF(B284="","",IF(ISNA(MATCH(B284,ListaInsumos,0)),"Insumo no está en Insumos",IF(OR(D284="",E284="",F284=""),"Faltan datos",IF(INDEX(UnidadesBase,MATCH(E284,Unidades,0))&lt;&gt;INDEX(InsBase,MATCH(B284,ListaInsumos,0)),"Unidad incompatible",IF(A284="","Falta fecha","OK")))))</f>
        <v/>
      </c>
      <c r="J284" s="15"/>
    </row>
    <row r="285" customFormat="false" ht="15" hidden="false" customHeight="false" outlineLevel="0" collapsed="false">
      <c r="A285" s="26"/>
      <c r="B285" s="15"/>
      <c r="C285" s="15"/>
      <c r="D285" s="27"/>
      <c r="E285" s="15"/>
      <c r="F285" s="28"/>
      <c r="G285" s="25" t="str">
        <f aca="true">IF(OR(D285="",E285=""),"",IFERROR(D285*INDEX(UnidadesFactor,MATCH(E285,Unidades,0)),""))</f>
        <v/>
      </c>
      <c r="H285" s="17" t="str">
        <f aca="false">IF(I285&lt;&gt;"OK","",IF(G285=0,"",F285/G285))</f>
        <v/>
      </c>
      <c r="I285" s="20" t="str">
        <f aca="true">IF(B285="","",IF(ISNA(MATCH(B285,ListaInsumos,0)),"Insumo no está en Insumos",IF(OR(D285="",E285="",F285=""),"Faltan datos",IF(INDEX(UnidadesBase,MATCH(E285,Unidades,0))&lt;&gt;INDEX(InsBase,MATCH(B285,ListaInsumos,0)),"Unidad incompatible",IF(A285="","Falta fecha","OK")))))</f>
        <v/>
      </c>
      <c r="J285" s="15"/>
    </row>
    <row r="286" customFormat="false" ht="15" hidden="false" customHeight="false" outlineLevel="0" collapsed="false">
      <c r="A286" s="26"/>
      <c r="B286" s="15"/>
      <c r="C286" s="15"/>
      <c r="D286" s="27"/>
      <c r="E286" s="15"/>
      <c r="F286" s="28"/>
      <c r="G286" s="25" t="str">
        <f aca="true">IF(OR(D286="",E286=""),"",IFERROR(D286*INDEX(UnidadesFactor,MATCH(E286,Unidades,0)),""))</f>
        <v/>
      </c>
      <c r="H286" s="17" t="str">
        <f aca="false">IF(I286&lt;&gt;"OK","",IF(G286=0,"",F286/G286))</f>
        <v/>
      </c>
      <c r="I286" s="20" t="str">
        <f aca="true">IF(B286="","",IF(ISNA(MATCH(B286,ListaInsumos,0)),"Insumo no está en Insumos",IF(OR(D286="",E286="",F286=""),"Faltan datos",IF(INDEX(UnidadesBase,MATCH(E286,Unidades,0))&lt;&gt;INDEX(InsBase,MATCH(B286,ListaInsumos,0)),"Unidad incompatible",IF(A286="","Falta fecha","OK")))))</f>
        <v/>
      </c>
      <c r="J286" s="15"/>
    </row>
    <row r="287" customFormat="false" ht="15" hidden="false" customHeight="false" outlineLevel="0" collapsed="false">
      <c r="A287" s="26"/>
      <c r="B287" s="15"/>
      <c r="C287" s="15"/>
      <c r="D287" s="27"/>
      <c r="E287" s="15"/>
      <c r="F287" s="28"/>
      <c r="G287" s="25" t="str">
        <f aca="true">IF(OR(D287="",E287=""),"",IFERROR(D287*INDEX(UnidadesFactor,MATCH(E287,Unidades,0)),""))</f>
        <v/>
      </c>
      <c r="H287" s="17" t="str">
        <f aca="false">IF(I287&lt;&gt;"OK","",IF(G287=0,"",F287/G287))</f>
        <v/>
      </c>
      <c r="I287" s="20" t="str">
        <f aca="true">IF(B287="","",IF(ISNA(MATCH(B287,ListaInsumos,0)),"Insumo no está en Insumos",IF(OR(D287="",E287="",F287=""),"Faltan datos",IF(INDEX(UnidadesBase,MATCH(E287,Unidades,0))&lt;&gt;INDEX(InsBase,MATCH(B287,ListaInsumos,0)),"Unidad incompatible",IF(A287="","Falta fecha","OK")))))</f>
        <v/>
      </c>
      <c r="J287" s="15"/>
    </row>
    <row r="288" customFormat="false" ht="15" hidden="false" customHeight="false" outlineLevel="0" collapsed="false">
      <c r="A288" s="26"/>
      <c r="B288" s="15"/>
      <c r="C288" s="15"/>
      <c r="D288" s="27"/>
      <c r="E288" s="15"/>
      <c r="F288" s="28"/>
      <c r="G288" s="25" t="str">
        <f aca="true">IF(OR(D288="",E288=""),"",IFERROR(D288*INDEX(UnidadesFactor,MATCH(E288,Unidades,0)),""))</f>
        <v/>
      </c>
      <c r="H288" s="17" t="str">
        <f aca="false">IF(I288&lt;&gt;"OK","",IF(G288=0,"",F288/G288))</f>
        <v/>
      </c>
      <c r="I288" s="20" t="str">
        <f aca="true">IF(B288="","",IF(ISNA(MATCH(B288,ListaInsumos,0)),"Insumo no está en Insumos",IF(OR(D288="",E288="",F288=""),"Faltan datos",IF(INDEX(UnidadesBase,MATCH(E288,Unidades,0))&lt;&gt;INDEX(InsBase,MATCH(B288,ListaInsumos,0)),"Unidad incompatible",IF(A288="","Falta fecha","OK")))))</f>
        <v/>
      </c>
      <c r="J288" s="15"/>
    </row>
    <row r="289" customFormat="false" ht="15" hidden="false" customHeight="false" outlineLevel="0" collapsed="false">
      <c r="A289" s="26"/>
      <c r="B289" s="15"/>
      <c r="C289" s="15"/>
      <c r="D289" s="27"/>
      <c r="E289" s="15"/>
      <c r="F289" s="28"/>
      <c r="G289" s="25" t="str">
        <f aca="true">IF(OR(D289="",E289=""),"",IFERROR(D289*INDEX(UnidadesFactor,MATCH(E289,Unidades,0)),""))</f>
        <v/>
      </c>
      <c r="H289" s="17" t="str">
        <f aca="false">IF(I289&lt;&gt;"OK","",IF(G289=0,"",F289/G289))</f>
        <v/>
      </c>
      <c r="I289" s="20" t="str">
        <f aca="true">IF(B289="","",IF(ISNA(MATCH(B289,ListaInsumos,0)),"Insumo no está en Insumos",IF(OR(D289="",E289="",F289=""),"Faltan datos",IF(INDEX(UnidadesBase,MATCH(E289,Unidades,0))&lt;&gt;INDEX(InsBase,MATCH(B289,ListaInsumos,0)),"Unidad incompatible",IF(A289="","Falta fecha","OK")))))</f>
        <v/>
      </c>
      <c r="J289" s="15"/>
    </row>
    <row r="290" customFormat="false" ht="15" hidden="false" customHeight="false" outlineLevel="0" collapsed="false">
      <c r="A290" s="26"/>
      <c r="B290" s="15"/>
      <c r="C290" s="15"/>
      <c r="D290" s="27"/>
      <c r="E290" s="15"/>
      <c r="F290" s="28"/>
      <c r="G290" s="25" t="str">
        <f aca="true">IF(OR(D290="",E290=""),"",IFERROR(D290*INDEX(UnidadesFactor,MATCH(E290,Unidades,0)),""))</f>
        <v/>
      </c>
      <c r="H290" s="17" t="str">
        <f aca="false">IF(I290&lt;&gt;"OK","",IF(G290=0,"",F290/G290))</f>
        <v/>
      </c>
      <c r="I290" s="20" t="str">
        <f aca="true">IF(B290="","",IF(ISNA(MATCH(B290,ListaInsumos,0)),"Insumo no está en Insumos",IF(OR(D290="",E290="",F290=""),"Faltan datos",IF(INDEX(UnidadesBase,MATCH(E290,Unidades,0))&lt;&gt;INDEX(InsBase,MATCH(B290,ListaInsumos,0)),"Unidad incompatible",IF(A290="","Falta fecha","OK")))))</f>
        <v/>
      </c>
      <c r="J290" s="15"/>
    </row>
    <row r="291" customFormat="false" ht="15" hidden="false" customHeight="false" outlineLevel="0" collapsed="false">
      <c r="A291" s="26"/>
      <c r="B291" s="15"/>
      <c r="C291" s="15"/>
      <c r="D291" s="27"/>
      <c r="E291" s="15"/>
      <c r="F291" s="28"/>
      <c r="G291" s="25" t="str">
        <f aca="true">IF(OR(D291="",E291=""),"",IFERROR(D291*INDEX(UnidadesFactor,MATCH(E291,Unidades,0)),""))</f>
        <v/>
      </c>
      <c r="H291" s="17" t="str">
        <f aca="false">IF(I291&lt;&gt;"OK","",IF(G291=0,"",F291/G291))</f>
        <v/>
      </c>
      <c r="I291" s="20" t="str">
        <f aca="true">IF(B291="","",IF(ISNA(MATCH(B291,ListaInsumos,0)),"Insumo no está en Insumos",IF(OR(D291="",E291="",F291=""),"Faltan datos",IF(INDEX(UnidadesBase,MATCH(E291,Unidades,0))&lt;&gt;INDEX(InsBase,MATCH(B291,ListaInsumos,0)),"Unidad incompatible",IF(A291="","Falta fecha","OK")))))</f>
        <v/>
      </c>
      <c r="J291" s="15"/>
    </row>
    <row r="292" customFormat="false" ht="15" hidden="false" customHeight="false" outlineLevel="0" collapsed="false">
      <c r="A292" s="26"/>
      <c r="B292" s="15"/>
      <c r="C292" s="15"/>
      <c r="D292" s="27"/>
      <c r="E292" s="15"/>
      <c r="F292" s="28"/>
      <c r="G292" s="25" t="str">
        <f aca="true">IF(OR(D292="",E292=""),"",IFERROR(D292*INDEX(UnidadesFactor,MATCH(E292,Unidades,0)),""))</f>
        <v/>
      </c>
      <c r="H292" s="17" t="str">
        <f aca="false">IF(I292&lt;&gt;"OK","",IF(G292=0,"",F292/G292))</f>
        <v/>
      </c>
      <c r="I292" s="20" t="str">
        <f aca="true">IF(B292="","",IF(ISNA(MATCH(B292,ListaInsumos,0)),"Insumo no está en Insumos",IF(OR(D292="",E292="",F292=""),"Faltan datos",IF(INDEX(UnidadesBase,MATCH(E292,Unidades,0))&lt;&gt;INDEX(InsBase,MATCH(B292,ListaInsumos,0)),"Unidad incompatible",IF(A292="","Falta fecha","OK")))))</f>
        <v/>
      </c>
      <c r="J292" s="15"/>
    </row>
    <row r="293" customFormat="false" ht="15" hidden="false" customHeight="false" outlineLevel="0" collapsed="false">
      <c r="A293" s="26"/>
      <c r="B293" s="15"/>
      <c r="C293" s="15"/>
      <c r="D293" s="27"/>
      <c r="E293" s="15"/>
      <c r="F293" s="28"/>
      <c r="G293" s="25" t="str">
        <f aca="true">IF(OR(D293="",E293=""),"",IFERROR(D293*INDEX(UnidadesFactor,MATCH(E293,Unidades,0)),""))</f>
        <v/>
      </c>
      <c r="H293" s="17" t="str">
        <f aca="false">IF(I293&lt;&gt;"OK","",IF(G293=0,"",F293/G293))</f>
        <v/>
      </c>
      <c r="I293" s="20" t="str">
        <f aca="true">IF(B293="","",IF(ISNA(MATCH(B293,ListaInsumos,0)),"Insumo no está en Insumos",IF(OR(D293="",E293="",F293=""),"Faltan datos",IF(INDEX(UnidadesBase,MATCH(E293,Unidades,0))&lt;&gt;INDEX(InsBase,MATCH(B293,ListaInsumos,0)),"Unidad incompatible",IF(A293="","Falta fecha","OK")))))</f>
        <v/>
      </c>
      <c r="J293" s="15"/>
    </row>
    <row r="294" customFormat="false" ht="15" hidden="false" customHeight="false" outlineLevel="0" collapsed="false">
      <c r="A294" s="26"/>
      <c r="B294" s="15"/>
      <c r="C294" s="15"/>
      <c r="D294" s="27"/>
      <c r="E294" s="15"/>
      <c r="F294" s="28"/>
      <c r="G294" s="25" t="str">
        <f aca="true">IF(OR(D294="",E294=""),"",IFERROR(D294*INDEX(UnidadesFactor,MATCH(E294,Unidades,0)),""))</f>
        <v/>
      </c>
      <c r="H294" s="17" t="str">
        <f aca="false">IF(I294&lt;&gt;"OK","",IF(G294=0,"",F294/G294))</f>
        <v/>
      </c>
      <c r="I294" s="20" t="str">
        <f aca="true">IF(B294="","",IF(ISNA(MATCH(B294,ListaInsumos,0)),"Insumo no está en Insumos",IF(OR(D294="",E294="",F294=""),"Faltan datos",IF(INDEX(UnidadesBase,MATCH(E294,Unidades,0))&lt;&gt;INDEX(InsBase,MATCH(B294,ListaInsumos,0)),"Unidad incompatible",IF(A294="","Falta fecha","OK")))))</f>
        <v/>
      </c>
      <c r="J294" s="15"/>
    </row>
    <row r="295" customFormat="false" ht="15" hidden="false" customHeight="false" outlineLevel="0" collapsed="false">
      <c r="A295" s="26"/>
      <c r="B295" s="15"/>
      <c r="C295" s="15"/>
      <c r="D295" s="27"/>
      <c r="E295" s="15"/>
      <c r="F295" s="28"/>
      <c r="G295" s="25" t="str">
        <f aca="true">IF(OR(D295="",E295=""),"",IFERROR(D295*INDEX(UnidadesFactor,MATCH(E295,Unidades,0)),""))</f>
        <v/>
      </c>
      <c r="H295" s="17" t="str">
        <f aca="false">IF(I295&lt;&gt;"OK","",IF(G295=0,"",F295/G295))</f>
        <v/>
      </c>
      <c r="I295" s="20" t="str">
        <f aca="true">IF(B295="","",IF(ISNA(MATCH(B295,ListaInsumos,0)),"Insumo no está en Insumos",IF(OR(D295="",E295="",F295=""),"Faltan datos",IF(INDEX(UnidadesBase,MATCH(E295,Unidades,0))&lt;&gt;INDEX(InsBase,MATCH(B295,ListaInsumos,0)),"Unidad incompatible",IF(A295="","Falta fecha","OK")))))</f>
        <v/>
      </c>
      <c r="J295" s="15"/>
    </row>
    <row r="296" customFormat="false" ht="15" hidden="false" customHeight="false" outlineLevel="0" collapsed="false">
      <c r="A296" s="26"/>
      <c r="B296" s="15"/>
      <c r="C296" s="15"/>
      <c r="D296" s="27"/>
      <c r="E296" s="15"/>
      <c r="F296" s="28"/>
      <c r="G296" s="25" t="str">
        <f aca="true">IF(OR(D296="",E296=""),"",IFERROR(D296*INDEX(UnidadesFactor,MATCH(E296,Unidades,0)),""))</f>
        <v/>
      </c>
      <c r="H296" s="17" t="str">
        <f aca="false">IF(I296&lt;&gt;"OK","",IF(G296=0,"",F296/G296))</f>
        <v/>
      </c>
      <c r="I296" s="20" t="str">
        <f aca="true">IF(B296="","",IF(ISNA(MATCH(B296,ListaInsumos,0)),"Insumo no está en Insumos",IF(OR(D296="",E296="",F296=""),"Faltan datos",IF(INDEX(UnidadesBase,MATCH(E296,Unidades,0))&lt;&gt;INDEX(InsBase,MATCH(B296,ListaInsumos,0)),"Unidad incompatible",IF(A296="","Falta fecha","OK")))))</f>
        <v/>
      </c>
      <c r="J296" s="15"/>
    </row>
    <row r="297" customFormat="false" ht="15" hidden="false" customHeight="false" outlineLevel="0" collapsed="false">
      <c r="A297" s="26"/>
      <c r="B297" s="15"/>
      <c r="C297" s="15"/>
      <c r="D297" s="27"/>
      <c r="E297" s="15"/>
      <c r="F297" s="28"/>
      <c r="G297" s="25" t="str">
        <f aca="true">IF(OR(D297="",E297=""),"",IFERROR(D297*INDEX(UnidadesFactor,MATCH(E297,Unidades,0)),""))</f>
        <v/>
      </c>
      <c r="H297" s="17" t="str">
        <f aca="false">IF(I297&lt;&gt;"OK","",IF(G297=0,"",F297/G297))</f>
        <v/>
      </c>
      <c r="I297" s="20" t="str">
        <f aca="true">IF(B297="","",IF(ISNA(MATCH(B297,ListaInsumos,0)),"Insumo no está en Insumos",IF(OR(D297="",E297="",F297=""),"Faltan datos",IF(INDEX(UnidadesBase,MATCH(E297,Unidades,0))&lt;&gt;INDEX(InsBase,MATCH(B297,ListaInsumos,0)),"Unidad incompatible",IF(A297="","Falta fecha","OK")))))</f>
        <v/>
      </c>
      <c r="J297" s="15"/>
    </row>
    <row r="298" customFormat="false" ht="15" hidden="false" customHeight="false" outlineLevel="0" collapsed="false">
      <c r="A298" s="26"/>
      <c r="B298" s="15"/>
      <c r="C298" s="15"/>
      <c r="D298" s="27"/>
      <c r="E298" s="15"/>
      <c r="F298" s="28"/>
      <c r="G298" s="25" t="str">
        <f aca="true">IF(OR(D298="",E298=""),"",IFERROR(D298*INDEX(UnidadesFactor,MATCH(E298,Unidades,0)),""))</f>
        <v/>
      </c>
      <c r="H298" s="17" t="str">
        <f aca="false">IF(I298&lt;&gt;"OK","",IF(G298=0,"",F298/G298))</f>
        <v/>
      </c>
      <c r="I298" s="20" t="str">
        <f aca="true">IF(B298="","",IF(ISNA(MATCH(B298,ListaInsumos,0)),"Insumo no está en Insumos",IF(OR(D298="",E298="",F298=""),"Faltan datos",IF(INDEX(UnidadesBase,MATCH(E298,Unidades,0))&lt;&gt;INDEX(InsBase,MATCH(B298,ListaInsumos,0)),"Unidad incompatible",IF(A298="","Falta fecha","OK")))))</f>
        <v/>
      </c>
      <c r="J298" s="15"/>
    </row>
    <row r="299" customFormat="false" ht="15" hidden="false" customHeight="false" outlineLevel="0" collapsed="false">
      <c r="A299" s="26"/>
      <c r="B299" s="15"/>
      <c r="C299" s="15"/>
      <c r="D299" s="27"/>
      <c r="E299" s="15"/>
      <c r="F299" s="28"/>
      <c r="G299" s="25" t="str">
        <f aca="true">IF(OR(D299="",E299=""),"",IFERROR(D299*INDEX(UnidadesFactor,MATCH(E299,Unidades,0)),""))</f>
        <v/>
      </c>
      <c r="H299" s="17" t="str">
        <f aca="false">IF(I299&lt;&gt;"OK","",IF(G299=0,"",F299/G299))</f>
        <v/>
      </c>
      <c r="I299" s="20" t="str">
        <f aca="true">IF(B299="","",IF(ISNA(MATCH(B299,ListaInsumos,0)),"Insumo no está en Insumos",IF(OR(D299="",E299="",F299=""),"Faltan datos",IF(INDEX(UnidadesBase,MATCH(E299,Unidades,0))&lt;&gt;INDEX(InsBase,MATCH(B299,ListaInsumos,0)),"Unidad incompatible",IF(A299="","Falta fecha","OK")))))</f>
        <v/>
      </c>
      <c r="J299" s="15"/>
    </row>
    <row r="300" customFormat="false" ht="15" hidden="false" customHeight="false" outlineLevel="0" collapsed="false">
      <c r="A300" s="26"/>
      <c r="B300" s="15"/>
      <c r="C300" s="15"/>
      <c r="D300" s="27"/>
      <c r="E300" s="15"/>
      <c r="F300" s="28"/>
      <c r="G300" s="25" t="str">
        <f aca="true">IF(OR(D300="",E300=""),"",IFERROR(D300*INDEX(UnidadesFactor,MATCH(E300,Unidades,0)),""))</f>
        <v/>
      </c>
      <c r="H300" s="17" t="str">
        <f aca="false">IF(I300&lt;&gt;"OK","",IF(G300=0,"",F300/G300))</f>
        <v/>
      </c>
      <c r="I300" s="20" t="str">
        <f aca="true">IF(B300="","",IF(ISNA(MATCH(B300,ListaInsumos,0)),"Insumo no está en Insumos",IF(OR(D300="",E300="",F300=""),"Faltan datos",IF(INDEX(UnidadesBase,MATCH(E300,Unidades,0))&lt;&gt;INDEX(InsBase,MATCH(B300,ListaInsumos,0)),"Unidad incompatible",IF(A300="","Falta fecha","OK")))))</f>
        <v/>
      </c>
      <c r="J300" s="15"/>
    </row>
    <row r="301" customFormat="false" ht="15" hidden="false" customHeight="false" outlineLevel="0" collapsed="false">
      <c r="A301" s="26"/>
      <c r="B301" s="15"/>
      <c r="C301" s="15"/>
      <c r="D301" s="27"/>
      <c r="E301" s="15"/>
      <c r="F301" s="28"/>
      <c r="G301" s="25" t="str">
        <f aca="true">IF(OR(D301="",E301=""),"",IFERROR(D301*INDEX(UnidadesFactor,MATCH(E301,Unidades,0)),""))</f>
        <v/>
      </c>
      <c r="H301" s="17" t="str">
        <f aca="false">IF(I301&lt;&gt;"OK","",IF(G301=0,"",F301/G301))</f>
        <v/>
      </c>
      <c r="I301" s="20" t="str">
        <f aca="true">IF(B301="","",IF(ISNA(MATCH(B301,ListaInsumos,0)),"Insumo no está en Insumos",IF(OR(D301="",E301="",F301=""),"Faltan datos",IF(INDEX(UnidadesBase,MATCH(E301,Unidades,0))&lt;&gt;INDEX(InsBase,MATCH(B301,ListaInsumos,0)),"Unidad incompatible",IF(A301="","Falta fecha","OK")))))</f>
        <v/>
      </c>
      <c r="J301" s="15"/>
    </row>
    <row r="302" customFormat="false" ht="15" hidden="false" customHeight="false" outlineLevel="0" collapsed="false">
      <c r="A302" s="26"/>
      <c r="B302" s="15"/>
      <c r="C302" s="15"/>
      <c r="D302" s="27"/>
      <c r="E302" s="15"/>
      <c r="F302" s="28"/>
      <c r="G302" s="25" t="str">
        <f aca="true">IF(OR(D302="",E302=""),"",IFERROR(D302*INDEX(UnidadesFactor,MATCH(E302,Unidades,0)),""))</f>
        <v/>
      </c>
      <c r="H302" s="17" t="str">
        <f aca="false">IF(I302&lt;&gt;"OK","",IF(G302=0,"",F302/G302))</f>
        <v/>
      </c>
      <c r="I302" s="20" t="str">
        <f aca="true">IF(B302="","",IF(ISNA(MATCH(B302,ListaInsumos,0)),"Insumo no está en Insumos",IF(OR(D302="",E302="",F302=""),"Faltan datos",IF(INDEX(UnidadesBase,MATCH(E302,Unidades,0))&lt;&gt;INDEX(InsBase,MATCH(B302,ListaInsumos,0)),"Unidad incompatible",IF(A302="","Falta fecha","OK")))))</f>
        <v/>
      </c>
      <c r="J302" s="15"/>
    </row>
    <row r="303" customFormat="false" ht="15" hidden="false" customHeight="false" outlineLevel="0" collapsed="false">
      <c r="A303" s="26"/>
      <c r="B303" s="15"/>
      <c r="C303" s="15"/>
      <c r="D303" s="27"/>
      <c r="E303" s="15"/>
      <c r="F303" s="28"/>
      <c r="G303" s="25" t="str">
        <f aca="true">IF(OR(D303="",E303=""),"",IFERROR(D303*INDEX(UnidadesFactor,MATCH(E303,Unidades,0)),""))</f>
        <v/>
      </c>
      <c r="H303" s="17" t="str">
        <f aca="false">IF(I303&lt;&gt;"OK","",IF(G303=0,"",F303/G303))</f>
        <v/>
      </c>
      <c r="I303" s="20" t="str">
        <f aca="true">IF(B303="","",IF(ISNA(MATCH(B303,ListaInsumos,0)),"Insumo no está en Insumos",IF(OR(D303="",E303="",F303=""),"Faltan datos",IF(INDEX(UnidadesBase,MATCH(E303,Unidades,0))&lt;&gt;INDEX(InsBase,MATCH(B303,ListaInsumos,0)),"Unidad incompatible",IF(A303="","Falta fecha","OK")))))</f>
        <v/>
      </c>
      <c r="J303" s="15"/>
    </row>
    <row r="304" customFormat="false" ht="15" hidden="false" customHeight="false" outlineLevel="0" collapsed="false">
      <c r="A304" s="26"/>
      <c r="B304" s="15"/>
      <c r="C304" s="15"/>
      <c r="D304" s="27"/>
      <c r="E304" s="15"/>
      <c r="F304" s="28"/>
      <c r="G304" s="25" t="str">
        <f aca="true">IF(OR(D304="",E304=""),"",IFERROR(D304*INDEX(UnidadesFactor,MATCH(E304,Unidades,0)),""))</f>
        <v/>
      </c>
      <c r="H304" s="17" t="str">
        <f aca="false">IF(I304&lt;&gt;"OK","",IF(G304=0,"",F304/G304))</f>
        <v/>
      </c>
      <c r="I304" s="20" t="str">
        <f aca="true">IF(B304="","",IF(ISNA(MATCH(B304,ListaInsumos,0)),"Insumo no está en Insumos",IF(OR(D304="",E304="",F304=""),"Faltan datos",IF(INDEX(UnidadesBase,MATCH(E304,Unidades,0))&lt;&gt;INDEX(InsBase,MATCH(B304,ListaInsumos,0)),"Unidad incompatible",IF(A304="","Falta fecha","OK")))))</f>
        <v/>
      </c>
      <c r="J304" s="15"/>
    </row>
    <row r="305" customFormat="false" ht="15" hidden="false" customHeight="false" outlineLevel="0" collapsed="false">
      <c r="A305" s="26"/>
      <c r="B305" s="15"/>
      <c r="C305" s="15"/>
      <c r="D305" s="27"/>
      <c r="E305" s="15"/>
      <c r="F305" s="28"/>
      <c r="G305" s="25" t="str">
        <f aca="true">IF(OR(D305="",E305=""),"",IFERROR(D305*INDEX(UnidadesFactor,MATCH(E305,Unidades,0)),""))</f>
        <v/>
      </c>
      <c r="H305" s="17" t="str">
        <f aca="false">IF(I305&lt;&gt;"OK","",IF(G305=0,"",F305/G305))</f>
        <v/>
      </c>
      <c r="I305" s="20" t="str">
        <f aca="true">IF(B305="","",IF(ISNA(MATCH(B305,ListaInsumos,0)),"Insumo no está en Insumos",IF(OR(D305="",E305="",F305=""),"Faltan datos",IF(INDEX(UnidadesBase,MATCH(E305,Unidades,0))&lt;&gt;INDEX(InsBase,MATCH(B305,ListaInsumos,0)),"Unidad incompatible",IF(A305="","Falta fecha","OK")))))</f>
        <v/>
      </c>
      <c r="J305" s="15"/>
    </row>
    <row r="306" customFormat="false" ht="15" hidden="false" customHeight="false" outlineLevel="0" collapsed="false">
      <c r="A306" s="26"/>
      <c r="B306" s="15"/>
      <c r="C306" s="15"/>
      <c r="D306" s="27"/>
      <c r="E306" s="15"/>
      <c r="F306" s="28"/>
      <c r="G306" s="25" t="str">
        <f aca="true">IF(OR(D306="",E306=""),"",IFERROR(D306*INDEX(UnidadesFactor,MATCH(E306,Unidades,0)),""))</f>
        <v/>
      </c>
      <c r="H306" s="17" t="str">
        <f aca="false">IF(I306&lt;&gt;"OK","",IF(G306=0,"",F306/G306))</f>
        <v/>
      </c>
      <c r="I306" s="20" t="str">
        <f aca="true">IF(B306="","",IF(ISNA(MATCH(B306,ListaInsumos,0)),"Insumo no está en Insumos",IF(OR(D306="",E306="",F306=""),"Faltan datos",IF(INDEX(UnidadesBase,MATCH(E306,Unidades,0))&lt;&gt;INDEX(InsBase,MATCH(B306,ListaInsumos,0)),"Unidad incompatible",IF(A306="","Falta fecha","OK")))))</f>
        <v/>
      </c>
      <c r="J306" s="15"/>
    </row>
    <row r="307" customFormat="false" ht="15" hidden="false" customHeight="false" outlineLevel="0" collapsed="false">
      <c r="A307" s="26"/>
      <c r="B307" s="15"/>
      <c r="C307" s="15"/>
      <c r="D307" s="27"/>
      <c r="E307" s="15"/>
      <c r="F307" s="28"/>
      <c r="G307" s="25" t="str">
        <f aca="true">IF(OR(D307="",E307=""),"",IFERROR(D307*INDEX(UnidadesFactor,MATCH(E307,Unidades,0)),""))</f>
        <v/>
      </c>
      <c r="H307" s="17" t="str">
        <f aca="false">IF(I307&lt;&gt;"OK","",IF(G307=0,"",F307/G307))</f>
        <v/>
      </c>
      <c r="I307" s="20" t="str">
        <f aca="true">IF(B307="","",IF(ISNA(MATCH(B307,ListaInsumos,0)),"Insumo no está en Insumos",IF(OR(D307="",E307="",F307=""),"Faltan datos",IF(INDEX(UnidadesBase,MATCH(E307,Unidades,0))&lt;&gt;INDEX(InsBase,MATCH(B307,ListaInsumos,0)),"Unidad incompatible",IF(A307="","Falta fecha","OK")))))</f>
        <v/>
      </c>
      <c r="J307" s="15"/>
    </row>
    <row r="308" customFormat="false" ht="15" hidden="false" customHeight="false" outlineLevel="0" collapsed="false">
      <c r="A308" s="26"/>
      <c r="B308" s="15"/>
      <c r="C308" s="15"/>
      <c r="D308" s="27"/>
      <c r="E308" s="15"/>
      <c r="F308" s="28"/>
      <c r="G308" s="25" t="str">
        <f aca="true">IF(OR(D308="",E308=""),"",IFERROR(D308*INDEX(UnidadesFactor,MATCH(E308,Unidades,0)),""))</f>
        <v/>
      </c>
      <c r="H308" s="17" t="str">
        <f aca="false">IF(I308&lt;&gt;"OK","",IF(G308=0,"",F308/G308))</f>
        <v/>
      </c>
      <c r="I308" s="20" t="str">
        <f aca="true">IF(B308="","",IF(ISNA(MATCH(B308,ListaInsumos,0)),"Insumo no está en Insumos",IF(OR(D308="",E308="",F308=""),"Faltan datos",IF(INDEX(UnidadesBase,MATCH(E308,Unidades,0))&lt;&gt;INDEX(InsBase,MATCH(B308,ListaInsumos,0)),"Unidad incompatible",IF(A308="","Falta fecha","OK")))))</f>
        <v/>
      </c>
      <c r="J308" s="15"/>
    </row>
    <row r="309" customFormat="false" ht="15" hidden="false" customHeight="false" outlineLevel="0" collapsed="false">
      <c r="A309" s="26"/>
      <c r="B309" s="15"/>
      <c r="C309" s="15"/>
      <c r="D309" s="27"/>
      <c r="E309" s="15"/>
      <c r="F309" s="28"/>
      <c r="G309" s="25" t="str">
        <f aca="true">IF(OR(D309="",E309=""),"",IFERROR(D309*INDEX(UnidadesFactor,MATCH(E309,Unidades,0)),""))</f>
        <v/>
      </c>
      <c r="H309" s="17" t="str">
        <f aca="false">IF(I309&lt;&gt;"OK","",IF(G309=0,"",F309/G309))</f>
        <v/>
      </c>
      <c r="I309" s="20" t="str">
        <f aca="true">IF(B309="","",IF(ISNA(MATCH(B309,ListaInsumos,0)),"Insumo no está en Insumos",IF(OR(D309="",E309="",F309=""),"Faltan datos",IF(INDEX(UnidadesBase,MATCH(E309,Unidades,0))&lt;&gt;INDEX(InsBase,MATCH(B309,ListaInsumos,0)),"Unidad incompatible",IF(A309="","Falta fecha","OK")))))</f>
        <v/>
      </c>
      <c r="J309" s="15"/>
    </row>
    <row r="310" customFormat="false" ht="15" hidden="false" customHeight="false" outlineLevel="0" collapsed="false">
      <c r="A310" s="26"/>
      <c r="B310" s="15"/>
      <c r="C310" s="15"/>
      <c r="D310" s="27"/>
      <c r="E310" s="15"/>
      <c r="F310" s="28"/>
      <c r="G310" s="25" t="str">
        <f aca="true">IF(OR(D310="",E310=""),"",IFERROR(D310*INDEX(UnidadesFactor,MATCH(E310,Unidades,0)),""))</f>
        <v/>
      </c>
      <c r="H310" s="17" t="str">
        <f aca="false">IF(I310&lt;&gt;"OK","",IF(G310=0,"",F310/G310))</f>
        <v/>
      </c>
      <c r="I310" s="20" t="str">
        <f aca="true">IF(B310="","",IF(ISNA(MATCH(B310,ListaInsumos,0)),"Insumo no está en Insumos",IF(OR(D310="",E310="",F310=""),"Faltan datos",IF(INDEX(UnidadesBase,MATCH(E310,Unidades,0))&lt;&gt;INDEX(InsBase,MATCH(B310,ListaInsumos,0)),"Unidad incompatible",IF(A310="","Falta fecha","OK")))))</f>
        <v/>
      </c>
      <c r="J310" s="15"/>
    </row>
    <row r="311" customFormat="false" ht="15" hidden="false" customHeight="false" outlineLevel="0" collapsed="false">
      <c r="A311" s="26"/>
      <c r="B311" s="15"/>
      <c r="C311" s="15"/>
      <c r="D311" s="27"/>
      <c r="E311" s="15"/>
      <c r="F311" s="28"/>
      <c r="G311" s="25" t="str">
        <f aca="true">IF(OR(D311="",E311=""),"",IFERROR(D311*INDEX(UnidadesFactor,MATCH(E311,Unidades,0)),""))</f>
        <v/>
      </c>
      <c r="H311" s="17" t="str">
        <f aca="false">IF(I311&lt;&gt;"OK","",IF(G311=0,"",F311/G311))</f>
        <v/>
      </c>
      <c r="I311" s="20" t="str">
        <f aca="true">IF(B311="","",IF(ISNA(MATCH(B311,ListaInsumos,0)),"Insumo no está en Insumos",IF(OR(D311="",E311="",F311=""),"Faltan datos",IF(INDEX(UnidadesBase,MATCH(E311,Unidades,0))&lt;&gt;INDEX(InsBase,MATCH(B311,ListaInsumos,0)),"Unidad incompatible",IF(A311="","Falta fecha","OK")))))</f>
        <v/>
      </c>
      <c r="J311" s="15"/>
    </row>
    <row r="312" customFormat="false" ht="15" hidden="false" customHeight="false" outlineLevel="0" collapsed="false">
      <c r="A312" s="26"/>
      <c r="B312" s="15"/>
      <c r="C312" s="15"/>
      <c r="D312" s="27"/>
      <c r="E312" s="15"/>
      <c r="F312" s="28"/>
      <c r="G312" s="25" t="str">
        <f aca="true">IF(OR(D312="",E312=""),"",IFERROR(D312*INDEX(UnidadesFactor,MATCH(E312,Unidades,0)),""))</f>
        <v/>
      </c>
      <c r="H312" s="17" t="str">
        <f aca="false">IF(I312&lt;&gt;"OK","",IF(G312=0,"",F312/G312))</f>
        <v/>
      </c>
      <c r="I312" s="20" t="str">
        <f aca="true">IF(B312="","",IF(ISNA(MATCH(B312,ListaInsumos,0)),"Insumo no está en Insumos",IF(OR(D312="",E312="",F312=""),"Faltan datos",IF(INDEX(UnidadesBase,MATCH(E312,Unidades,0))&lt;&gt;INDEX(InsBase,MATCH(B312,ListaInsumos,0)),"Unidad incompatible",IF(A312="","Falta fecha","OK")))))</f>
        <v/>
      </c>
      <c r="J312" s="15"/>
    </row>
    <row r="313" customFormat="false" ht="15" hidden="false" customHeight="false" outlineLevel="0" collapsed="false">
      <c r="A313" s="26"/>
      <c r="B313" s="15"/>
      <c r="C313" s="15"/>
      <c r="D313" s="27"/>
      <c r="E313" s="15"/>
      <c r="F313" s="28"/>
      <c r="G313" s="25" t="str">
        <f aca="true">IF(OR(D313="",E313=""),"",IFERROR(D313*INDEX(UnidadesFactor,MATCH(E313,Unidades,0)),""))</f>
        <v/>
      </c>
      <c r="H313" s="17" t="str">
        <f aca="false">IF(I313&lt;&gt;"OK","",IF(G313=0,"",F313/G313))</f>
        <v/>
      </c>
      <c r="I313" s="20" t="str">
        <f aca="true">IF(B313="","",IF(ISNA(MATCH(B313,ListaInsumos,0)),"Insumo no está en Insumos",IF(OR(D313="",E313="",F313=""),"Faltan datos",IF(INDEX(UnidadesBase,MATCH(E313,Unidades,0))&lt;&gt;INDEX(InsBase,MATCH(B313,ListaInsumos,0)),"Unidad incompatible",IF(A313="","Falta fecha","OK")))))</f>
        <v/>
      </c>
      <c r="J313" s="15"/>
    </row>
    <row r="314" customFormat="false" ht="15" hidden="false" customHeight="false" outlineLevel="0" collapsed="false">
      <c r="A314" s="26"/>
      <c r="B314" s="15"/>
      <c r="C314" s="15"/>
      <c r="D314" s="27"/>
      <c r="E314" s="15"/>
      <c r="F314" s="28"/>
      <c r="G314" s="25" t="str">
        <f aca="true">IF(OR(D314="",E314=""),"",IFERROR(D314*INDEX(UnidadesFactor,MATCH(E314,Unidades,0)),""))</f>
        <v/>
      </c>
      <c r="H314" s="17" t="str">
        <f aca="false">IF(I314&lt;&gt;"OK","",IF(G314=0,"",F314/G314))</f>
        <v/>
      </c>
      <c r="I314" s="20" t="str">
        <f aca="true">IF(B314="","",IF(ISNA(MATCH(B314,ListaInsumos,0)),"Insumo no está en Insumos",IF(OR(D314="",E314="",F314=""),"Faltan datos",IF(INDEX(UnidadesBase,MATCH(E314,Unidades,0))&lt;&gt;INDEX(InsBase,MATCH(B314,ListaInsumos,0)),"Unidad incompatible",IF(A314="","Falta fecha","OK")))))</f>
        <v/>
      </c>
      <c r="J314" s="15"/>
    </row>
    <row r="315" customFormat="false" ht="15" hidden="false" customHeight="false" outlineLevel="0" collapsed="false">
      <c r="A315" s="26"/>
      <c r="B315" s="15"/>
      <c r="C315" s="15"/>
      <c r="D315" s="27"/>
      <c r="E315" s="15"/>
      <c r="F315" s="28"/>
      <c r="G315" s="25" t="str">
        <f aca="true">IF(OR(D315="",E315=""),"",IFERROR(D315*INDEX(UnidadesFactor,MATCH(E315,Unidades,0)),""))</f>
        <v/>
      </c>
      <c r="H315" s="17" t="str">
        <f aca="false">IF(I315&lt;&gt;"OK","",IF(G315=0,"",F315/G315))</f>
        <v/>
      </c>
      <c r="I315" s="20" t="str">
        <f aca="true">IF(B315="","",IF(ISNA(MATCH(B315,ListaInsumos,0)),"Insumo no está en Insumos",IF(OR(D315="",E315="",F315=""),"Faltan datos",IF(INDEX(UnidadesBase,MATCH(E315,Unidades,0))&lt;&gt;INDEX(InsBase,MATCH(B315,ListaInsumos,0)),"Unidad incompatible",IF(A315="","Falta fecha","OK")))))</f>
        <v/>
      </c>
      <c r="J315" s="15"/>
    </row>
    <row r="316" customFormat="false" ht="15" hidden="false" customHeight="false" outlineLevel="0" collapsed="false">
      <c r="A316" s="26"/>
      <c r="B316" s="15"/>
      <c r="C316" s="15"/>
      <c r="D316" s="27"/>
      <c r="E316" s="15"/>
      <c r="F316" s="28"/>
      <c r="G316" s="25" t="str">
        <f aca="true">IF(OR(D316="",E316=""),"",IFERROR(D316*INDEX(UnidadesFactor,MATCH(E316,Unidades,0)),""))</f>
        <v/>
      </c>
      <c r="H316" s="17" t="str">
        <f aca="false">IF(I316&lt;&gt;"OK","",IF(G316=0,"",F316/G316))</f>
        <v/>
      </c>
      <c r="I316" s="20" t="str">
        <f aca="true">IF(B316="","",IF(ISNA(MATCH(B316,ListaInsumos,0)),"Insumo no está en Insumos",IF(OR(D316="",E316="",F316=""),"Faltan datos",IF(INDEX(UnidadesBase,MATCH(E316,Unidades,0))&lt;&gt;INDEX(InsBase,MATCH(B316,ListaInsumos,0)),"Unidad incompatible",IF(A316="","Falta fecha","OK")))))</f>
        <v/>
      </c>
      <c r="J316" s="15"/>
    </row>
    <row r="317" customFormat="false" ht="15" hidden="false" customHeight="false" outlineLevel="0" collapsed="false">
      <c r="A317" s="26"/>
      <c r="B317" s="15"/>
      <c r="C317" s="15"/>
      <c r="D317" s="27"/>
      <c r="E317" s="15"/>
      <c r="F317" s="28"/>
      <c r="G317" s="25" t="str">
        <f aca="true">IF(OR(D317="",E317=""),"",IFERROR(D317*INDEX(UnidadesFactor,MATCH(E317,Unidades,0)),""))</f>
        <v/>
      </c>
      <c r="H317" s="17" t="str">
        <f aca="false">IF(I317&lt;&gt;"OK","",IF(G317=0,"",F317/G317))</f>
        <v/>
      </c>
      <c r="I317" s="20" t="str">
        <f aca="true">IF(B317="","",IF(ISNA(MATCH(B317,ListaInsumos,0)),"Insumo no está en Insumos",IF(OR(D317="",E317="",F317=""),"Faltan datos",IF(INDEX(UnidadesBase,MATCH(E317,Unidades,0))&lt;&gt;INDEX(InsBase,MATCH(B317,ListaInsumos,0)),"Unidad incompatible",IF(A317="","Falta fecha","OK")))))</f>
        <v/>
      </c>
      <c r="J317" s="15"/>
    </row>
    <row r="318" customFormat="false" ht="15" hidden="false" customHeight="false" outlineLevel="0" collapsed="false">
      <c r="A318" s="26"/>
      <c r="B318" s="15"/>
      <c r="C318" s="15"/>
      <c r="D318" s="27"/>
      <c r="E318" s="15"/>
      <c r="F318" s="28"/>
      <c r="G318" s="25" t="str">
        <f aca="true">IF(OR(D318="",E318=""),"",IFERROR(D318*INDEX(UnidadesFactor,MATCH(E318,Unidades,0)),""))</f>
        <v/>
      </c>
      <c r="H318" s="17" t="str">
        <f aca="false">IF(I318&lt;&gt;"OK","",IF(G318=0,"",F318/G318))</f>
        <v/>
      </c>
      <c r="I318" s="20" t="str">
        <f aca="true">IF(B318="","",IF(ISNA(MATCH(B318,ListaInsumos,0)),"Insumo no está en Insumos",IF(OR(D318="",E318="",F318=""),"Faltan datos",IF(INDEX(UnidadesBase,MATCH(E318,Unidades,0))&lt;&gt;INDEX(InsBase,MATCH(B318,ListaInsumos,0)),"Unidad incompatible",IF(A318="","Falta fecha","OK")))))</f>
        <v/>
      </c>
      <c r="J318" s="15"/>
    </row>
    <row r="319" customFormat="false" ht="15" hidden="false" customHeight="false" outlineLevel="0" collapsed="false">
      <c r="A319" s="26"/>
      <c r="B319" s="15"/>
      <c r="C319" s="15"/>
      <c r="D319" s="27"/>
      <c r="E319" s="15"/>
      <c r="F319" s="28"/>
      <c r="G319" s="25" t="str">
        <f aca="true">IF(OR(D319="",E319=""),"",IFERROR(D319*INDEX(UnidadesFactor,MATCH(E319,Unidades,0)),""))</f>
        <v/>
      </c>
      <c r="H319" s="17" t="str">
        <f aca="false">IF(I319&lt;&gt;"OK","",IF(G319=0,"",F319/G319))</f>
        <v/>
      </c>
      <c r="I319" s="20" t="str">
        <f aca="true">IF(B319="","",IF(ISNA(MATCH(B319,ListaInsumos,0)),"Insumo no está en Insumos",IF(OR(D319="",E319="",F319=""),"Faltan datos",IF(INDEX(UnidadesBase,MATCH(E319,Unidades,0))&lt;&gt;INDEX(InsBase,MATCH(B319,ListaInsumos,0)),"Unidad incompatible",IF(A319="","Falta fecha","OK")))))</f>
        <v/>
      </c>
      <c r="J319" s="15"/>
    </row>
    <row r="320" customFormat="false" ht="15" hidden="false" customHeight="false" outlineLevel="0" collapsed="false">
      <c r="A320" s="26"/>
      <c r="B320" s="15"/>
      <c r="C320" s="15"/>
      <c r="D320" s="27"/>
      <c r="E320" s="15"/>
      <c r="F320" s="28"/>
      <c r="G320" s="25" t="str">
        <f aca="true">IF(OR(D320="",E320=""),"",IFERROR(D320*INDEX(UnidadesFactor,MATCH(E320,Unidades,0)),""))</f>
        <v/>
      </c>
      <c r="H320" s="17" t="str">
        <f aca="false">IF(I320&lt;&gt;"OK","",IF(G320=0,"",F320/G320))</f>
        <v/>
      </c>
      <c r="I320" s="20" t="str">
        <f aca="true">IF(B320="","",IF(ISNA(MATCH(B320,ListaInsumos,0)),"Insumo no está en Insumos",IF(OR(D320="",E320="",F320=""),"Faltan datos",IF(INDEX(UnidadesBase,MATCH(E320,Unidades,0))&lt;&gt;INDEX(InsBase,MATCH(B320,ListaInsumos,0)),"Unidad incompatible",IF(A320="","Falta fecha","OK")))))</f>
        <v/>
      </c>
      <c r="J320" s="15"/>
    </row>
    <row r="321" customFormat="false" ht="15" hidden="false" customHeight="false" outlineLevel="0" collapsed="false">
      <c r="A321" s="26"/>
      <c r="B321" s="15"/>
      <c r="C321" s="15"/>
      <c r="D321" s="27"/>
      <c r="E321" s="15"/>
      <c r="F321" s="28"/>
      <c r="G321" s="25" t="str">
        <f aca="true">IF(OR(D321="",E321=""),"",IFERROR(D321*INDEX(UnidadesFactor,MATCH(E321,Unidades,0)),""))</f>
        <v/>
      </c>
      <c r="H321" s="17" t="str">
        <f aca="false">IF(I321&lt;&gt;"OK","",IF(G321=0,"",F321/G321))</f>
        <v/>
      </c>
      <c r="I321" s="20" t="str">
        <f aca="true">IF(B321="","",IF(ISNA(MATCH(B321,ListaInsumos,0)),"Insumo no está en Insumos",IF(OR(D321="",E321="",F321=""),"Faltan datos",IF(INDEX(UnidadesBase,MATCH(E321,Unidades,0))&lt;&gt;INDEX(InsBase,MATCH(B321,ListaInsumos,0)),"Unidad incompatible",IF(A321="","Falta fecha","OK")))))</f>
        <v/>
      </c>
      <c r="J321" s="15"/>
    </row>
    <row r="322" customFormat="false" ht="15" hidden="false" customHeight="false" outlineLevel="0" collapsed="false">
      <c r="A322" s="26"/>
      <c r="B322" s="15"/>
      <c r="C322" s="15"/>
      <c r="D322" s="27"/>
      <c r="E322" s="15"/>
      <c r="F322" s="28"/>
      <c r="G322" s="25" t="str">
        <f aca="true">IF(OR(D322="",E322=""),"",IFERROR(D322*INDEX(UnidadesFactor,MATCH(E322,Unidades,0)),""))</f>
        <v/>
      </c>
      <c r="H322" s="17" t="str">
        <f aca="false">IF(I322&lt;&gt;"OK","",IF(G322=0,"",F322/G322))</f>
        <v/>
      </c>
      <c r="I322" s="20" t="str">
        <f aca="true">IF(B322="","",IF(ISNA(MATCH(B322,ListaInsumos,0)),"Insumo no está en Insumos",IF(OR(D322="",E322="",F322=""),"Faltan datos",IF(INDEX(UnidadesBase,MATCH(E322,Unidades,0))&lt;&gt;INDEX(InsBase,MATCH(B322,ListaInsumos,0)),"Unidad incompatible",IF(A322="","Falta fecha","OK")))))</f>
        <v/>
      </c>
      <c r="J322" s="15"/>
    </row>
    <row r="323" customFormat="false" ht="15" hidden="false" customHeight="false" outlineLevel="0" collapsed="false">
      <c r="A323" s="26"/>
      <c r="B323" s="15"/>
      <c r="C323" s="15"/>
      <c r="D323" s="27"/>
      <c r="E323" s="15"/>
      <c r="F323" s="28"/>
      <c r="G323" s="25" t="str">
        <f aca="true">IF(OR(D323="",E323=""),"",IFERROR(D323*INDEX(UnidadesFactor,MATCH(E323,Unidades,0)),""))</f>
        <v/>
      </c>
      <c r="H323" s="17" t="str">
        <f aca="false">IF(I323&lt;&gt;"OK","",IF(G323=0,"",F323/G323))</f>
        <v/>
      </c>
      <c r="I323" s="20" t="str">
        <f aca="true">IF(B323="","",IF(ISNA(MATCH(B323,ListaInsumos,0)),"Insumo no está en Insumos",IF(OR(D323="",E323="",F323=""),"Faltan datos",IF(INDEX(UnidadesBase,MATCH(E323,Unidades,0))&lt;&gt;INDEX(InsBase,MATCH(B323,ListaInsumos,0)),"Unidad incompatible",IF(A323="","Falta fecha","OK")))))</f>
        <v/>
      </c>
      <c r="J323" s="15"/>
    </row>
    <row r="324" customFormat="false" ht="15" hidden="false" customHeight="false" outlineLevel="0" collapsed="false">
      <c r="A324" s="26"/>
      <c r="B324" s="15"/>
      <c r="C324" s="15"/>
      <c r="D324" s="27"/>
      <c r="E324" s="15"/>
      <c r="F324" s="28"/>
      <c r="G324" s="25" t="str">
        <f aca="true">IF(OR(D324="",E324=""),"",IFERROR(D324*INDEX(UnidadesFactor,MATCH(E324,Unidades,0)),""))</f>
        <v/>
      </c>
      <c r="H324" s="17" t="str">
        <f aca="false">IF(I324&lt;&gt;"OK","",IF(G324=0,"",F324/G324))</f>
        <v/>
      </c>
      <c r="I324" s="20" t="str">
        <f aca="true">IF(B324="","",IF(ISNA(MATCH(B324,ListaInsumos,0)),"Insumo no está en Insumos",IF(OR(D324="",E324="",F324=""),"Faltan datos",IF(INDEX(UnidadesBase,MATCH(E324,Unidades,0))&lt;&gt;INDEX(InsBase,MATCH(B324,ListaInsumos,0)),"Unidad incompatible",IF(A324="","Falta fecha","OK")))))</f>
        <v/>
      </c>
      <c r="J324" s="15"/>
    </row>
    <row r="325" customFormat="false" ht="15" hidden="false" customHeight="false" outlineLevel="0" collapsed="false">
      <c r="A325" s="26"/>
      <c r="B325" s="15"/>
      <c r="C325" s="15"/>
      <c r="D325" s="27"/>
      <c r="E325" s="15"/>
      <c r="F325" s="28"/>
      <c r="G325" s="25" t="str">
        <f aca="true">IF(OR(D325="",E325=""),"",IFERROR(D325*INDEX(UnidadesFactor,MATCH(E325,Unidades,0)),""))</f>
        <v/>
      </c>
      <c r="H325" s="17" t="str">
        <f aca="false">IF(I325&lt;&gt;"OK","",IF(G325=0,"",F325/G325))</f>
        <v/>
      </c>
      <c r="I325" s="20" t="str">
        <f aca="true">IF(B325="","",IF(ISNA(MATCH(B325,ListaInsumos,0)),"Insumo no está en Insumos",IF(OR(D325="",E325="",F325=""),"Faltan datos",IF(INDEX(UnidadesBase,MATCH(E325,Unidades,0))&lt;&gt;INDEX(InsBase,MATCH(B325,ListaInsumos,0)),"Unidad incompatible",IF(A325="","Falta fecha","OK")))))</f>
        <v/>
      </c>
      <c r="J325" s="15"/>
    </row>
    <row r="326" customFormat="false" ht="15" hidden="false" customHeight="false" outlineLevel="0" collapsed="false">
      <c r="A326" s="26"/>
      <c r="B326" s="15"/>
      <c r="C326" s="15"/>
      <c r="D326" s="27"/>
      <c r="E326" s="15"/>
      <c r="F326" s="28"/>
      <c r="G326" s="25" t="str">
        <f aca="true">IF(OR(D326="",E326=""),"",IFERROR(D326*INDEX(UnidadesFactor,MATCH(E326,Unidades,0)),""))</f>
        <v/>
      </c>
      <c r="H326" s="17" t="str">
        <f aca="false">IF(I326&lt;&gt;"OK","",IF(G326=0,"",F326/G326))</f>
        <v/>
      </c>
      <c r="I326" s="20" t="str">
        <f aca="true">IF(B326="","",IF(ISNA(MATCH(B326,ListaInsumos,0)),"Insumo no está en Insumos",IF(OR(D326="",E326="",F326=""),"Faltan datos",IF(INDEX(UnidadesBase,MATCH(E326,Unidades,0))&lt;&gt;INDEX(InsBase,MATCH(B326,ListaInsumos,0)),"Unidad incompatible",IF(A326="","Falta fecha","OK")))))</f>
        <v/>
      </c>
      <c r="J326" s="15"/>
    </row>
    <row r="327" customFormat="false" ht="15" hidden="false" customHeight="false" outlineLevel="0" collapsed="false">
      <c r="A327" s="26"/>
      <c r="B327" s="15"/>
      <c r="C327" s="15"/>
      <c r="D327" s="27"/>
      <c r="E327" s="15"/>
      <c r="F327" s="28"/>
      <c r="G327" s="25" t="str">
        <f aca="true">IF(OR(D327="",E327=""),"",IFERROR(D327*INDEX(UnidadesFactor,MATCH(E327,Unidades,0)),""))</f>
        <v/>
      </c>
      <c r="H327" s="17" t="str">
        <f aca="false">IF(I327&lt;&gt;"OK","",IF(G327=0,"",F327/G327))</f>
        <v/>
      </c>
      <c r="I327" s="20" t="str">
        <f aca="true">IF(B327="","",IF(ISNA(MATCH(B327,ListaInsumos,0)),"Insumo no está en Insumos",IF(OR(D327="",E327="",F327=""),"Faltan datos",IF(INDEX(UnidadesBase,MATCH(E327,Unidades,0))&lt;&gt;INDEX(InsBase,MATCH(B327,ListaInsumos,0)),"Unidad incompatible",IF(A327="","Falta fecha","OK")))))</f>
        <v/>
      </c>
      <c r="J327" s="15"/>
    </row>
    <row r="328" customFormat="false" ht="15" hidden="false" customHeight="false" outlineLevel="0" collapsed="false">
      <c r="A328" s="26"/>
      <c r="B328" s="15"/>
      <c r="C328" s="15"/>
      <c r="D328" s="27"/>
      <c r="E328" s="15"/>
      <c r="F328" s="28"/>
      <c r="G328" s="25" t="str">
        <f aca="true">IF(OR(D328="",E328=""),"",IFERROR(D328*INDEX(UnidadesFactor,MATCH(E328,Unidades,0)),""))</f>
        <v/>
      </c>
      <c r="H328" s="17" t="str">
        <f aca="false">IF(I328&lt;&gt;"OK","",IF(G328=0,"",F328/G328))</f>
        <v/>
      </c>
      <c r="I328" s="20" t="str">
        <f aca="true">IF(B328="","",IF(ISNA(MATCH(B328,ListaInsumos,0)),"Insumo no está en Insumos",IF(OR(D328="",E328="",F328=""),"Faltan datos",IF(INDEX(UnidadesBase,MATCH(E328,Unidades,0))&lt;&gt;INDEX(InsBase,MATCH(B328,ListaInsumos,0)),"Unidad incompatible",IF(A328="","Falta fecha","OK")))))</f>
        <v/>
      </c>
      <c r="J328" s="15"/>
    </row>
    <row r="329" customFormat="false" ht="15" hidden="false" customHeight="false" outlineLevel="0" collapsed="false">
      <c r="A329" s="26"/>
      <c r="B329" s="15"/>
      <c r="C329" s="15"/>
      <c r="D329" s="27"/>
      <c r="E329" s="15"/>
      <c r="F329" s="28"/>
      <c r="G329" s="25" t="str">
        <f aca="true">IF(OR(D329="",E329=""),"",IFERROR(D329*INDEX(UnidadesFactor,MATCH(E329,Unidades,0)),""))</f>
        <v/>
      </c>
      <c r="H329" s="17" t="str">
        <f aca="false">IF(I329&lt;&gt;"OK","",IF(G329=0,"",F329/G329))</f>
        <v/>
      </c>
      <c r="I329" s="20" t="str">
        <f aca="true">IF(B329="","",IF(ISNA(MATCH(B329,ListaInsumos,0)),"Insumo no está en Insumos",IF(OR(D329="",E329="",F329=""),"Faltan datos",IF(INDEX(UnidadesBase,MATCH(E329,Unidades,0))&lt;&gt;INDEX(InsBase,MATCH(B329,ListaInsumos,0)),"Unidad incompatible",IF(A329="","Falta fecha","OK")))))</f>
        <v/>
      </c>
      <c r="J329" s="15"/>
    </row>
    <row r="330" customFormat="false" ht="15" hidden="false" customHeight="false" outlineLevel="0" collapsed="false">
      <c r="A330" s="26"/>
      <c r="B330" s="15"/>
      <c r="C330" s="15"/>
      <c r="D330" s="27"/>
      <c r="E330" s="15"/>
      <c r="F330" s="28"/>
      <c r="G330" s="25" t="str">
        <f aca="true">IF(OR(D330="",E330=""),"",IFERROR(D330*INDEX(UnidadesFactor,MATCH(E330,Unidades,0)),""))</f>
        <v/>
      </c>
      <c r="H330" s="17" t="str">
        <f aca="false">IF(I330&lt;&gt;"OK","",IF(G330=0,"",F330/G330))</f>
        <v/>
      </c>
      <c r="I330" s="20" t="str">
        <f aca="true">IF(B330="","",IF(ISNA(MATCH(B330,ListaInsumos,0)),"Insumo no está en Insumos",IF(OR(D330="",E330="",F330=""),"Faltan datos",IF(INDEX(UnidadesBase,MATCH(E330,Unidades,0))&lt;&gt;INDEX(InsBase,MATCH(B330,ListaInsumos,0)),"Unidad incompatible",IF(A330="","Falta fecha","OK")))))</f>
        <v/>
      </c>
      <c r="J330" s="15"/>
    </row>
    <row r="331" customFormat="false" ht="15" hidden="false" customHeight="false" outlineLevel="0" collapsed="false">
      <c r="A331" s="26"/>
      <c r="B331" s="15"/>
      <c r="C331" s="15"/>
      <c r="D331" s="27"/>
      <c r="E331" s="15"/>
      <c r="F331" s="28"/>
      <c r="G331" s="25" t="str">
        <f aca="true">IF(OR(D331="",E331=""),"",IFERROR(D331*INDEX(UnidadesFactor,MATCH(E331,Unidades,0)),""))</f>
        <v/>
      </c>
      <c r="H331" s="17" t="str">
        <f aca="false">IF(I331&lt;&gt;"OK","",IF(G331=0,"",F331/G331))</f>
        <v/>
      </c>
      <c r="I331" s="20" t="str">
        <f aca="true">IF(B331="","",IF(ISNA(MATCH(B331,ListaInsumos,0)),"Insumo no está en Insumos",IF(OR(D331="",E331="",F331=""),"Faltan datos",IF(INDEX(UnidadesBase,MATCH(E331,Unidades,0))&lt;&gt;INDEX(InsBase,MATCH(B331,ListaInsumos,0)),"Unidad incompatible",IF(A331="","Falta fecha","OK")))))</f>
        <v/>
      </c>
      <c r="J331" s="15"/>
    </row>
    <row r="332" customFormat="false" ht="15" hidden="false" customHeight="false" outlineLevel="0" collapsed="false">
      <c r="A332" s="26"/>
      <c r="B332" s="15"/>
      <c r="C332" s="15"/>
      <c r="D332" s="27"/>
      <c r="E332" s="15"/>
      <c r="F332" s="28"/>
      <c r="G332" s="25" t="str">
        <f aca="true">IF(OR(D332="",E332=""),"",IFERROR(D332*INDEX(UnidadesFactor,MATCH(E332,Unidades,0)),""))</f>
        <v/>
      </c>
      <c r="H332" s="17" t="str">
        <f aca="false">IF(I332&lt;&gt;"OK","",IF(G332=0,"",F332/G332))</f>
        <v/>
      </c>
      <c r="I332" s="20" t="str">
        <f aca="true">IF(B332="","",IF(ISNA(MATCH(B332,ListaInsumos,0)),"Insumo no está en Insumos",IF(OR(D332="",E332="",F332=""),"Faltan datos",IF(INDEX(UnidadesBase,MATCH(E332,Unidades,0))&lt;&gt;INDEX(InsBase,MATCH(B332,ListaInsumos,0)),"Unidad incompatible",IF(A332="","Falta fecha","OK")))))</f>
        <v/>
      </c>
      <c r="J332" s="15"/>
    </row>
    <row r="333" customFormat="false" ht="15" hidden="false" customHeight="false" outlineLevel="0" collapsed="false">
      <c r="A333" s="26"/>
      <c r="B333" s="15"/>
      <c r="C333" s="15"/>
      <c r="D333" s="27"/>
      <c r="E333" s="15"/>
      <c r="F333" s="28"/>
      <c r="G333" s="25" t="str">
        <f aca="true">IF(OR(D333="",E333=""),"",IFERROR(D333*INDEX(UnidadesFactor,MATCH(E333,Unidades,0)),""))</f>
        <v/>
      </c>
      <c r="H333" s="17" t="str">
        <f aca="false">IF(I333&lt;&gt;"OK","",IF(G333=0,"",F333/G333))</f>
        <v/>
      </c>
      <c r="I333" s="20" t="str">
        <f aca="true">IF(B333="","",IF(ISNA(MATCH(B333,ListaInsumos,0)),"Insumo no está en Insumos",IF(OR(D333="",E333="",F333=""),"Faltan datos",IF(INDEX(UnidadesBase,MATCH(E333,Unidades,0))&lt;&gt;INDEX(InsBase,MATCH(B333,ListaInsumos,0)),"Unidad incompatible",IF(A333="","Falta fecha","OK")))))</f>
        <v/>
      </c>
      <c r="J333" s="15"/>
    </row>
    <row r="334" customFormat="false" ht="15" hidden="false" customHeight="false" outlineLevel="0" collapsed="false">
      <c r="A334" s="26"/>
      <c r="B334" s="15"/>
      <c r="C334" s="15"/>
      <c r="D334" s="27"/>
      <c r="E334" s="15"/>
      <c r="F334" s="28"/>
      <c r="G334" s="25" t="str">
        <f aca="true">IF(OR(D334="",E334=""),"",IFERROR(D334*INDEX(UnidadesFactor,MATCH(E334,Unidades,0)),""))</f>
        <v/>
      </c>
      <c r="H334" s="17" t="str">
        <f aca="false">IF(I334&lt;&gt;"OK","",IF(G334=0,"",F334/G334))</f>
        <v/>
      </c>
      <c r="I334" s="20" t="str">
        <f aca="true">IF(B334="","",IF(ISNA(MATCH(B334,ListaInsumos,0)),"Insumo no está en Insumos",IF(OR(D334="",E334="",F334=""),"Faltan datos",IF(INDEX(UnidadesBase,MATCH(E334,Unidades,0))&lt;&gt;INDEX(InsBase,MATCH(B334,ListaInsumos,0)),"Unidad incompatible",IF(A334="","Falta fecha","OK")))))</f>
        <v/>
      </c>
      <c r="J334" s="15"/>
    </row>
    <row r="335" customFormat="false" ht="15" hidden="false" customHeight="false" outlineLevel="0" collapsed="false">
      <c r="A335" s="26"/>
      <c r="B335" s="15"/>
      <c r="C335" s="15"/>
      <c r="D335" s="27"/>
      <c r="E335" s="15"/>
      <c r="F335" s="28"/>
      <c r="G335" s="25" t="str">
        <f aca="true">IF(OR(D335="",E335=""),"",IFERROR(D335*INDEX(UnidadesFactor,MATCH(E335,Unidades,0)),""))</f>
        <v/>
      </c>
      <c r="H335" s="17" t="str">
        <f aca="false">IF(I335&lt;&gt;"OK","",IF(G335=0,"",F335/G335))</f>
        <v/>
      </c>
      <c r="I335" s="20" t="str">
        <f aca="true">IF(B335="","",IF(ISNA(MATCH(B335,ListaInsumos,0)),"Insumo no está en Insumos",IF(OR(D335="",E335="",F335=""),"Faltan datos",IF(INDEX(UnidadesBase,MATCH(E335,Unidades,0))&lt;&gt;INDEX(InsBase,MATCH(B335,ListaInsumos,0)),"Unidad incompatible",IF(A335="","Falta fecha","OK")))))</f>
        <v/>
      </c>
      <c r="J335" s="15"/>
    </row>
    <row r="336" customFormat="false" ht="15" hidden="false" customHeight="false" outlineLevel="0" collapsed="false">
      <c r="A336" s="26"/>
      <c r="B336" s="15"/>
      <c r="C336" s="15"/>
      <c r="D336" s="27"/>
      <c r="E336" s="15"/>
      <c r="F336" s="28"/>
      <c r="G336" s="25" t="str">
        <f aca="true">IF(OR(D336="",E336=""),"",IFERROR(D336*INDEX(UnidadesFactor,MATCH(E336,Unidades,0)),""))</f>
        <v/>
      </c>
      <c r="H336" s="17" t="str">
        <f aca="false">IF(I336&lt;&gt;"OK","",IF(G336=0,"",F336/G336))</f>
        <v/>
      </c>
      <c r="I336" s="20" t="str">
        <f aca="true">IF(B336="","",IF(ISNA(MATCH(B336,ListaInsumos,0)),"Insumo no está en Insumos",IF(OR(D336="",E336="",F336=""),"Faltan datos",IF(INDEX(UnidadesBase,MATCH(E336,Unidades,0))&lt;&gt;INDEX(InsBase,MATCH(B336,ListaInsumos,0)),"Unidad incompatible",IF(A336="","Falta fecha","OK")))))</f>
        <v/>
      </c>
      <c r="J336" s="15"/>
    </row>
    <row r="337" customFormat="false" ht="15" hidden="false" customHeight="false" outlineLevel="0" collapsed="false">
      <c r="A337" s="26"/>
      <c r="B337" s="15"/>
      <c r="C337" s="15"/>
      <c r="D337" s="27"/>
      <c r="E337" s="15"/>
      <c r="F337" s="28"/>
      <c r="G337" s="25" t="str">
        <f aca="true">IF(OR(D337="",E337=""),"",IFERROR(D337*INDEX(UnidadesFactor,MATCH(E337,Unidades,0)),""))</f>
        <v/>
      </c>
      <c r="H337" s="17" t="str">
        <f aca="false">IF(I337&lt;&gt;"OK","",IF(G337=0,"",F337/G337))</f>
        <v/>
      </c>
      <c r="I337" s="20" t="str">
        <f aca="true">IF(B337="","",IF(ISNA(MATCH(B337,ListaInsumos,0)),"Insumo no está en Insumos",IF(OR(D337="",E337="",F337=""),"Faltan datos",IF(INDEX(UnidadesBase,MATCH(E337,Unidades,0))&lt;&gt;INDEX(InsBase,MATCH(B337,ListaInsumos,0)),"Unidad incompatible",IF(A337="","Falta fecha","OK")))))</f>
        <v/>
      </c>
      <c r="J337" s="15"/>
    </row>
    <row r="338" customFormat="false" ht="15" hidden="false" customHeight="false" outlineLevel="0" collapsed="false">
      <c r="A338" s="26"/>
      <c r="B338" s="15"/>
      <c r="C338" s="15"/>
      <c r="D338" s="27"/>
      <c r="E338" s="15"/>
      <c r="F338" s="28"/>
      <c r="G338" s="25" t="str">
        <f aca="true">IF(OR(D338="",E338=""),"",IFERROR(D338*INDEX(UnidadesFactor,MATCH(E338,Unidades,0)),""))</f>
        <v/>
      </c>
      <c r="H338" s="17" t="str">
        <f aca="false">IF(I338&lt;&gt;"OK","",IF(G338=0,"",F338/G338))</f>
        <v/>
      </c>
      <c r="I338" s="20" t="str">
        <f aca="true">IF(B338="","",IF(ISNA(MATCH(B338,ListaInsumos,0)),"Insumo no está en Insumos",IF(OR(D338="",E338="",F338=""),"Faltan datos",IF(INDEX(UnidadesBase,MATCH(E338,Unidades,0))&lt;&gt;INDEX(InsBase,MATCH(B338,ListaInsumos,0)),"Unidad incompatible",IF(A338="","Falta fecha","OK")))))</f>
        <v/>
      </c>
      <c r="J338" s="15"/>
    </row>
    <row r="339" customFormat="false" ht="15" hidden="false" customHeight="false" outlineLevel="0" collapsed="false">
      <c r="A339" s="26"/>
      <c r="B339" s="15"/>
      <c r="C339" s="15"/>
      <c r="D339" s="27"/>
      <c r="E339" s="15"/>
      <c r="F339" s="28"/>
      <c r="G339" s="25" t="str">
        <f aca="true">IF(OR(D339="",E339=""),"",IFERROR(D339*INDEX(UnidadesFactor,MATCH(E339,Unidades,0)),""))</f>
        <v/>
      </c>
      <c r="H339" s="17" t="str">
        <f aca="false">IF(I339&lt;&gt;"OK","",IF(G339=0,"",F339/G339))</f>
        <v/>
      </c>
      <c r="I339" s="20" t="str">
        <f aca="true">IF(B339="","",IF(ISNA(MATCH(B339,ListaInsumos,0)),"Insumo no está en Insumos",IF(OR(D339="",E339="",F339=""),"Faltan datos",IF(INDEX(UnidadesBase,MATCH(E339,Unidades,0))&lt;&gt;INDEX(InsBase,MATCH(B339,ListaInsumos,0)),"Unidad incompatible",IF(A339="","Falta fecha","OK")))))</f>
        <v/>
      </c>
      <c r="J339" s="15"/>
    </row>
    <row r="340" customFormat="false" ht="15" hidden="false" customHeight="false" outlineLevel="0" collapsed="false">
      <c r="A340" s="26"/>
      <c r="B340" s="15"/>
      <c r="C340" s="15"/>
      <c r="D340" s="27"/>
      <c r="E340" s="15"/>
      <c r="F340" s="28"/>
      <c r="G340" s="25" t="str">
        <f aca="true">IF(OR(D340="",E340=""),"",IFERROR(D340*INDEX(UnidadesFactor,MATCH(E340,Unidades,0)),""))</f>
        <v/>
      </c>
      <c r="H340" s="17" t="str">
        <f aca="false">IF(I340&lt;&gt;"OK","",IF(G340=0,"",F340/G340))</f>
        <v/>
      </c>
      <c r="I340" s="20" t="str">
        <f aca="true">IF(B340="","",IF(ISNA(MATCH(B340,ListaInsumos,0)),"Insumo no está en Insumos",IF(OR(D340="",E340="",F340=""),"Faltan datos",IF(INDEX(UnidadesBase,MATCH(E340,Unidades,0))&lt;&gt;INDEX(InsBase,MATCH(B340,ListaInsumos,0)),"Unidad incompatible",IF(A340="","Falta fecha","OK")))))</f>
        <v/>
      </c>
      <c r="J340" s="15"/>
    </row>
    <row r="341" customFormat="false" ht="15" hidden="false" customHeight="false" outlineLevel="0" collapsed="false">
      <c r="A341" s="26"/>
      <c r="B341" s="15"/>
      <c r="C341" s="15"/>
      <c r="D341" s="27"/>
      <c r="E341" s="15"/>
      <c r="F341" s="28"/>
      <c r="G341" s="25" t="str">
        <f aca="true">IF(OR(D341="",E341=""),"",IFERROR(D341*INDEX(UnidadesFactor,MATCH(E341,Unidades,0)),""))</f>
        <v/>
      </c>
      <c r="H341" s="17" t="str">
        <f aca="false">IF(I341&lt;&gt;"OK","",IF(G341=0,"",F341/G341))</f>
        <v/>
      </c>
      <c r="I341" s="20" t="str">
        <f aca="true">IF(B341="","",IF(ISNA(MATCH(B341,ListaInsumos,0)),"Insumo no está en Insumos",IF(OR(D341="",E341="",F341=""),"Faltan datos",IF(INDEX(UnidadesBase,MATCH(E341,Unidades,0))&lt;&gt;INDEX(InsBase,MATCH(B341,ListaInsumos,0)),"Unidad incompatible",IF(A341="","Falta fecha","OK")))))</f>
        <v/>
      </c>
      <c r="J341" s="15"/>
    </row>
    <row r="342" customFormat="false" ht="15" hidden="false" customHeight="false" outlineLevel="0" collapsed="false">
      <c r="A342" s="26"/>
      <c r="B342" s="15"/>
      <c r="C342" s="15"/>
      <c r="D342" s="27"/>
      <c r="E342" s="15"/>
      <c r="F342" s="28"/>
      <c r="G342" s="25" t="str">
        <f aca="true">IF(OR(D342="",E342=""),"",IFERROR(D342*INDEX(UnidadesFactor,MATCH(E342,Unidades,0)),""))</f>
        <v/>
      </c>
      <c r="H342" s="17" t="str">
        <f aca="false">IF(I342&lt;&gt;"OK","",IF(G342=0,"",F342/G342))</f>
        <v/>
      </c>
      <c r="I342" s="20" t="str">
        <f aca="true">IF(B342="","",IF(ISNA(MATCH(B342,ListaInsumos,0)),"Insumo no está en Insumos",IF(OR(D342="",E342="",F342=""),"Faltan datos",IF(INDEX(UnidadesBase,MATCH(E342,Unidades,0))&lt;&gt;INDEX(InsBase,MATCH(B342,ListaInsumos,0)),"Unidad incompatible",IF(A342="","Falta fecha","OK")))))</f>
        <v/>
      </c>
      <c r="J342" s="15"/>
    </row>
    <row r="343" customFormat="false" ht="15" hidden="false" customHeight="false" outlineLevel="0" collapsed="false">
      <c r="A343" s="26"/>
      <c r="B343" s="15"/>
      <c r="C343" s="15"/>
      <c r="D343" s="27"/>
      <c r="E343" s="15"/>
      <c r="F343" s="28"/>
      <c r="G343" s="25" t="str">
        <f aca="true">IF(OR(D343="",E343=""),"",IFERROR(D343*INDEX(UnidadesFactor,MATCH(E343,Unidades,0)),""))</f>
        <v/>
      </c>
      <c r="H343" s="17" t="str">
        <f aca="false">IF(I343&lt;&gt;"OK","",IF(G343=0,"",F343/G343))</f>
        <v/>
      </c>
      <c r="I343" s="20" t="str">
        <f aca="true">IF(B343="","",IF(ISNA(MATCH(B343,ListaInsumos,0)),"Insumo no está en Insumos",IF(OR(D343="",E343="",F343=""),"Faltan datos",IF(INDEX(UnidadesBase,MATCH(E343,Unidades,0))&lt;&gt;INDEX(InsBase,MATCH(B343,ListaInsumos,0)),"Unidad incompatible",IF(A343="","Falta fecha","OK")))))</f>
        <v/>
      </c>
      <c r="J343" s="15"/>
    </row>
    <row r="344" customFormat="false" ht="15" hidden="false" customHeight="false" outlineLevel="0" collapsed="false">
      <c r="A344" s="26"/>
      <c r="B344" s="15"/>
      <c r="C344" s="15"/>
      <c r="D344" s="27"/>
      <c r="E344" s="15"/>
      <c r="F344" s="28"/>
      <c r="G344" s="25" t="str">
        <f aca="true">IF(OR(D344="",E344=""),"",IFERROR(D344*INDEX(UnidadesFactor,MATCH(E344,Unidades,0)),""))</f>
        <v/>
      </c>
      <c r="H344" s="17" t="str">
        <f aca="false">IF(I344&lt;&gt;"OK","",IF(G344=0,"",F344/G344))</f>
        <v/>
      </c>
      <c r="I344" s="20" t="str">
        <f aca="true">IF(B344="","",IF(ISNA(MATCH(B344,ListaInsumos,0)),"Insumo no está en Insumos",IF(OR(D344="",E344="",F344=""),"Faltan datos",IF(INDEX(UnidadesBase,MATCH(E344,Unidades,0))&lt;&gt;INDEX(InsBase,MATCH(B344,ListaInsumos,0)),"Unidad incompatible",IF(A344="","Falta fecha","OK")))))</f>
        <v/>
      </c>
      <c r="J344" s="15"/>
    </row>
    <row r="345" customFormat="false" ht="15" hidden="false" customHeight="false" outlineLevel="0" collapsed="false">
      <c r="A345" s="26"/>
      <c r="B345" s="15"/>
      <c r="C345" s="15"/>
      <c r="D345" s="27"/>
      <c r="E345" s="15"/>
      <c r="F345" s="28"/>
      <c r="G345" s="25" t="str">
        <f aca="true">IF(OR(D345="",E345=""),"",IFERROR(D345*INDEX(UnidadesFactor,MATCH(E345,Unidades,0)),""))</f>
        <v/>
      </c>
      <c r="H345" s="17" t="str">
        <f aca="false">IF(I345&lt;&gt;"OK","",IF(G345=0,"",F345/G345))</f>
        <v/>
      </c>
      <c r="I345" s="20" t="str">
        <f aca="true">IF(B345="","",IF(ISNA(MATCH(B345,ListaInsumos,0)),"Insumo no está en Insumos",IF(OR(D345="",E345="",F345=""),"Faltan datos",IF(INDEX(UnidadesBase,MATCH(E345,Unidades,0))&lt;&gt;INDEX(InsBase,MATCH(B345,ListaInsumos,0)),"Unidad incompatible",IF(A345="","Falta fecha","OK")))))</f>
        <v/>
      </c>
      <c r="J345" s="15"/>
    </row>
    <row r="346" customFormat="false" ht="15" hidden="false" customHeight="false" outlineLevel="0" collapsed="false">
      <c r="A346" s="26"/>
      <c r="B346" s="15"/>
      <c r="C346" s="15"/>
      <c r="D346" s="27"/>
      <c r="E346" s="15"/>
      <c r="F346" s="28"/>
      <c r="G346" s="25" t="str">
        <f aca="true">IF(OR(D346="",E346=""),"",IFERROR(D346*INDEX(UnidadesFactor,MATCH(E346,Unidades,0)),""))</f>
        <v/>
      </c>
      <c r="H346" s="17" t="str">
        <f aca="false">IF(I346&lt;&gt;"OK","",IF(G346=0,"",F346/G346))</f>
        <v/>
      </c>
      <c r="I346" s="20" t="str">
        <f aca="true">IF(B346="","",IF(ISNA(MATCH(B346,ListaInsumos,0)),"Insumo no está en Insumos",IF(OR(D346="",E346="",F346=""),"Faltan datos",IF(INDEX(UnidadesBase,MATCH(E346,Unidades,0))&lt;&gt;INDEX(InsBase,MATCH(B346,ListaInsumos,0)),"Unidad incompatible",IF(A346="","Falta fecha","OK")))))</f>
        <v/>
      </c>
      <c r="J346" s="15"/>
    </row>
    <row r="347" customFormat="false" ht="15" hidden="false" customHeight="false" outlineLevel="0" collapsed="false">
      <c r="A347" s="26"/>
      <c r="B347" s="15"/>
      <c r="C347" s="15"/>
      <c r="D347" s="27"/>
      <c r="E347" s="15"/>
      <c r="F347" s="28"/>
      <c r="G347" s="25" t="str">
        <f aca="true">IF(OR(D347="",E347=""),"",IFERROR(D347*INDEX(UnidadesFactor,MATCH(E347,Unidades,0)),""))</f>
        <v/>
      </c>
      <c r="H347" s="17" t="str">
        <f aca="false">IF(I347&lt;&gt;"OK","",IF(G347=0,"",F347/G347))</f>
        <v/>
      </c>
      <c r="I347" s="20" t="str">
        <f aca="true">IF(B347="","",IF(ISNA(MATCH(B347,ListaInsumos,0)),"Insumo no está en Insumos",IF(OR(D347="",E347="",F347=""),"Faltan datos",IF(INDEX(UnidadesBase,MATCH(E347,Unidades,0))&lt;&gt;INDEX(InsBase,MATCH(B347,ListaInsumos,0)),"Unidad incompatible",IF(A347="","Falta fecha","OK")))))</f>
        <v/>
      </c>
      <c r="J347" s="15"/>
    </row>
    <row r="348" customFormat="false" ht="15" hidden="false" customHeight="false" outlineLevel="0" collapsed="false">
      <c r="A348" s="26"/>
      <c r="B348" s="15"/>
      <c r="C348" s="15"/>
      <c r="D348" s="27"/>
      <c r="E348" s="15"/>
      <c r="F348" s="28"/>
      <c r="G348" s="25" t="str">
        <f aca="true">IF(OR(D348="",E348=""),"",IFERROR(D348*INDEX(UnidadesFactor,MATCH(E348,Unidades,0)),""))</f>
        <v/>
      </c>
      <c r="H348" s="17" t="str">
        <f aca="false">IF(I348&lt;&gt;"OK","",IF(G348=0,"",F348/G348))</f>
        <v/>
      </c>
      <c r="I348" s="20" t="str">
        <f aca="true">IF(B348="","",IF(ISNA(MATCH(B348,ListaInsumos,0)),"Insumo no está en Insumos",IF(OR(D348="",E348="",F348=""),"Faltan datos",IF(INDEX(UnidadesBase,MATCH(E348,Unidades,0))&lt;&gt;INDEX(InsBase,MATCH(B348,ListaInsumos,0)),"Unidad incompatible",IF(A348="","Falta fecha","OK")))))</f>
        <v/>
      </c>
      <c r="J348" s="15"/>
    </row>
    <row r="349" customFormat="false" ht="15" hidden="false" customHeight="false" outlineLevel="0" collapsed="false">
      <c r="A349" s="26"/>
      <c r="B349" s="15"/>
      <c r="C349" s="15"/>
      <c r="D349" s="27"/>
      <c r="E349" s="15"/>
      <c r="F349" s="28"/>
      <c r="G349" s="25" t="str">
        <f aca="true">IF(OR(D349="",E349=""),"",IFERROR(D349*INDEX(UnidadesFactor,MATCH(E349,Unidades,0)),""))</f>
        <v/>
      </c>
      <c r="H349" s="17" t="str">
        <f aca="false">IF(I349&lt;&gt;"OK","",IF(G349=0,"",F349/G349))</f>
        <v/>
      </c>
      <c r="I349" s="20" t="str">
        <f aca="true">IF(B349="","",IF(ISNA(MATCH(B349,ListaInsumos,0)),"Insumo no está en Insumos",IF(OR(D349="",E349="",F349=""),"Faltan datos",IF(INDEX(UnidadesBase,MATCH(E349,Unidades,0))&lt;&gt;INDEX(InsBase,MATCH(B349,ListaInsumos,0)),"Unidad incompatible",IF(A349="","Falta fecha","OK")))))</f>
        <v/>
      </c>
      <c r="J349" s="15"/>
    </row>
    <row r="350" customFormat="false" ht="15" hidden="false" customHeight="false" outlineLevel="0" collapsed="false">
      <c r="A350" s="26"/>
      <c r="B350" s="15"/>
      <c r="C350" s="15"/>
      <c r="D350" s="27"/>
      <c r="E350" s="15"/>
      <c r="F350" s="28"/>
      <c r="G350" s="25" t="str">
        <f aca="true">IF(OR(D350="",E350=""),"",IFERROR(D350*INDEX(UnidadesFactor,MATCH(E350,Unidades,0)),""))</f>
        <v/>
      </c>
      <c r="H350" s="17" t="str">
        <f aca="false">IF(I350&lt;&gt;"OK","",IF(G350=0,"",F350/G350))</f>
        <v/>
      </c>
      <c r="I350" s="20" t="str">
        <f aca="true">IF(B350="","",IF(ISNA(MATCH(B350,ListaInsumos,0)),"Insumo no está en Insumos",IF(OR(D350="",E350="",F350=""),"Faltan datos",IF(INDEX(UnidadesBase,MATCH(E350,Unidades,0))&lt;&gt;INDEX(InsBase,MATCH(B350,ListaInsumos,0)),"Unidad incompatible",IF(A350="","Falta fecha","OK")))))</f>
        <v/>
      </c>
      <c r="J350" s="15"/>
    </row>
    <row r="351" customFormat="false" ht="15" hidden="false" customHeight="false" outlineLevel="0" collapsed="false">
      <c r="A351" s="26"/>
      <c r="B351" s="15"/>
      <c r="C351" s="15"/>
      <c r="D351" s="27"/>
      <c r="E351" s="15"/>
      <c r="F351" s="28"/>
      <c r="G351" s="25" t="str">
        <f aca="true">IF(OR(D351="",E351=""),"",IFERROR(D351*INDEX(UnidadesFactor,MATCH(E351,Unidades,0)),""))</f>
        <v/>
      </c>
      <c r="H351" s="17" t="str">
        <f aca="false">IF(I351&lt;&gt;"OK","",IF(G351=0,"",F351/G351))</f>
        <v/>
      </c>
      <c r="I351" s="20" t="str">
        <f aca="true">IF(B351="","",IF(ISNA(MATCH(B351,ListaInsumos,0)),"Insumo no está en Insumos",IF(OR(D351="",E351="",F351=""),"Faltan datos",IF(INDEX(UnidadesBase,MATCH(E351,Unidades,0))&lt;&gt;INDEX(InsBase,MATCH(B351,ListaInsumos,0)),"Unidad incompatible",IF(A351="","Falta fecha","OK")))))</f>
        <v/>
      </c>
      <c r="J351" s="15"/>
    </row>
    <row r="352" customFormat="false" ht="15" hidden="false" customHeight="false" outlineLevel="0" collapsed="false">
      <c r="A352" s="26"/>
      <c r="B352" s="15"/>
      <c r="C352" s="15"/>
      <c r="D352" s="27"/>
      <c r="E352" s="15"/>
      <c r="F352" s="28"/>
      <c r="G352" s="25" t="str">
        <f aca="true">IF(OR(D352="",E352=""),"",IFERROR(D352*INDEX(UnidadesFactor,MATCH(E352,Unidades,0)),""))</f>
        <v/>
      </c>
      <c r="H352" s="17" t="str">
        <f aca="false">IF(I352&lt;&gt;"OK","",IF(G352=0,"",F352/G352))</f>
        <v/>
      </c>
      <c r="I352" s="20" t="str">
        <f aca="true">IF(B352="","",IF(ISNA(MATCH(B352,ListaInsumos,0)),"Insumo no está en Insumos",IF(OR(D352="",E352="",F352=""),"Faltan datos",IF(INDEX(UnidadesBase,MATCH(E352,Unidades,0))&lt;&gt;INDEX(InsBase,MATCH(B352,ListaInsumos,0)),"Unidad incompatible",IF(A352="","Falta fecha","OK")))))</f>
        <v/>
      </c>
      <c r="J352" s="15"/>
    </row>
    <row r="353" customFormat="false" ht="15" hidden="false" customHeight="false" outlineLevel="0" collapsed="false">
      <c r="A353" s="26"/>
      <c r="B353" s="15"/>
      <c r="C353" s="15"/>
      <c r="D353" s="27"/>
      <c r="E353" s="15"/>
      <c r="F353" s="28"/>
      <c r="G353" s="25" t="str">
        <f aca="true">IF(OR(D353="",E353=""),"",IFERROR(D353*INDEX(UnidadesFactor,MATCH(E353,Unidades,0)),""))</f>
        <v/>
      </c>
      <c r="H353" s="17" t="str">
        <f aca="false">IF(I353&lt;&gt;"OK","",IF(G353=0,"",F353/G353))</f>
        <v/>
      </c>
      <c r="I353" s="20" t="str">
        <f aca="true">IF(B353="","",IF(ISNA(MATCH(B353,ListaInsumos,0)),"Insumo no está en Insumos",IF(OR(D353="",E353="",F353=""),"Faltan datos",IF(INDEX(UnidadesBase,MATCH(E353,Unidades,0))&lt;&gt;INDEX(InsBase,MATCH(B353,ListaInsumos,0)),"Unidad incompatible",IF(A353="","Falta fecha","OK")))))</f>
        <v/>
      </c>
      <c r="J353" s="15"/>
    </row>
    <row r="354" customFormat="false" ht="15" hidden="false" customHeight="false" outlineLevel="0" collapsed="false">
      <c r="A354" s="26"/>
      <c r="B354" s="15"/>
      <c r="C354" s="15"/>
      <c r="D354" s="27"/>
      <c r="E354" s="15"/>
      <c r="F354" s="28"/>
      <c r="G354" s="25" t="str">
        <f aca="true">IF(OR(D354="",E354=""),"",IFERROR(D354*INDEX(UnidadesFactor,MATCH(E354,Unidades,0)),""))</f>
        <v/>
      </c>
      <c r="H354" s="17" t="str">
        <f aca="false">IF(I354&lt;&gt;"OK","",IF(G354=0,"",F354/G354))</f>
        <v/>
      </c>
      <c r="I354" s="20" t="str">
        <f aca="true">IF(B354="","",IF(ISNA(MATCH(B354,ListaInsumos,0)),"Insumo no está en Insumos",IF(OR(D354="",E354="",F354=""),"Faltan datos",IF(INDEX(UnidadesBase,MATCH(E354,Unidades,0))&lt;&gt;INDEX(InsBase,MATCH(B354,ListaInsumos,0)),"Unidad incompatible",IF(A354="","Falta fecha","OK")))))</f>
        <v/>
      </c>
      <c r="J354" s="15"/>
    </row>
    <row r="355" customFormat="false" ht="15" hidden="false" customHeight="false" outlineLevel="0" collapsed="false">
      <c r="A355" s="26"/>
      <c r="B355" s="15"/>
      <c r="C355" s="15"/>
      <c r="D355" s="27"/>
      <c r="E355" s="15"/>
      <c r="F355" s="28"/>
      <c r="G355" s="25" t="str">
        <f aca="true">IF(OR(D355="",E355=""),"",IFERROR(D355*INDEX(UnidadesFactor,MATCH(E355,Unidades,0)),""))</f>
        <v/>
      </c>
      <c r="H355" s="17" t="str">
        <f aca="false">IF(I355&lt;&gt;"OK","",IF(G355=0,"",F355/G355))</f>
        <v/>
      </c>
      <c r="I355" s="20" t="str">
        <f aca="true">IF(B355="","",IF(ISNA(MATCH(B355,ListaInsumos,0)),"Insumo no está en Insumos",IF(OR(D355="",E355="",F355=""),"Faltan datos",IF(INDEX(UnidadesBase,MATCH(E355,Unidades,0))&lt;&gt;INDEX(InsBase,MATCH(B355,ListaInsumos,0)),"Unidad incompatible",IF(A355="","Falta fecha","OK")))))</f>
        <v/>
      </c>
      <c r="J355" s="15"/>
    </row>
    <row r="356" customFormat="false" ht="15" hidden="false" customHeight="false" outlineLevel="0" collapsed="false">
      <c r="A356" s="26"/>
      <c r="B356" s="15"/>
      <c r="C356" s="15"/>
      <c r="D356" s="27"/>
      <c r="E356" s="15"/>
      <c r="F356" s="28"/>
      <c r="G356" s="25" t="str">
        <f aca="true">IF(OR(D356="",E356=""),"",IFERROR(D356*INDEX(UnidadesFactor,MATCH(E356,Unidades,0)),""))</f>
        <v/>
      </c>
      <c r="H356" s="17" t="str">
        <f aca="false">IF(I356&lt;&gt;"OK","",IF(G356=0,"",F356/G356))</f>
        <v/>
      </c>
      <c r="I356" s="20" t="str">
        <f aca="true">IF(B356="","",IF(ISNA(MATCH(B356,ListaInsumos,0)),"Insumo no está en Insumos",IF(OR(D356="",E356="",F356=""),"Faltan datos",IF(INDEX(UnidadesBase,MATCH(E356,Unidades,0))&lt;&gt;INDEX(InsBase,MATCH(B356,ListaInsumos,0)),"Unidad incompatible",IF(A356="","Falta fecha","OK")))))</f>
        <v/>
      </c>
      <c r="J356" s="15"/>
    </row>
    <row r="357" customFormat="false" ht="15" hidden="false" customHeight="false" outlineLevel="0" collapsed="false">
      <c r="A357" s="26"/>
      <c r="B357" s="15"/>
      <c r="C357" s="15"/>
      <c r="D357" s="27"/>
      <c r="E357" s="15"/>
      <c r="F357" s="28"/>
      <c r="G357" s="25" t="str">
        <f aca="true">IF(OR(D357="",E357=""),"",IFERROR(D357*INDEX(UnidadesFactor,MATCH(E357,Unidades,0)),""))</f>
        <v/>
      </c>
      <c r="H357" s="17" t="str">
        <f aca="false">IF(I357&lt;&gt;"OK","",IF(G357=0,"",F357/G357))</f>
        <v/>
      </c>
      <c r="I357" s="20" t="str">
        <f aca="true">IF(B357="","",IF(ISNA(MATCH(B357,ListaInsumos,0)),"Insumo no está en Insumos",IF(OR(D357="",E357="",F357=""),"Faltan datos",IF(INDEX(UnidadesBase,MATCH(E357,Unidades,0))&lt;&gt;INDEX(InsBase,MATCH(B357,ListaInsumos,0)),"Unidad incompatible",IF(A357="","Falta fecha","OK")))))</f>
        <v/>
      </c>
      <c r="J357" s="15"/>
    </row>
    <row r="358" customFormat="false" ht="15" hidden="false" customHeight="false" outlineLevel="0" collapsed="false">
      <c r="A358" s="26"/>
      <c r="B358" s="15"/>
      <c r="C358" s="15"/>
      <c r="D358" s="27"/>
      <c r="E358" s="15"/>
      <c r="F358" s="28"/>
      <c r="G358" s="25" t="str">
        <f aca="true">IF(OR(D358="",E358=""),"",IFERROR(D358*INDEX(UnidadesFactor,MATCH(E358,Unidades,0)),""))</f>
        <v/>
      </c>
      <c r="H358" s="17" t="str">
        <f aca="false">IF(I358&lt;&gt;"OK","",IF(G358=0,"",F358/G358))</f>
        <v/>
      </c>
      <c r="I358" s="20" t="str">
        <f aca="true">IF(B358="","",IF(ISNA(MATCH(B358,ListaInsumos,0)),"Insumo no está en Insumos",IF(OR(D358="",E358="",F358=""),"Faltan datos",IF(INDEX(UnidadesBase,MATCH(E358,Unidades,0))&lt;&gt;INDEX(InsBase,MATCH(B358,ListaInsumos,0)),"Unidad incompatible",IF(A358="","Falta fecha","OK")))))</f>
        <v/>
      </c>
      <c r="J358" s="15"/>
    </row>
    <row r="359" customFormat="false" ht="15" hidden="false" customHeight="false" outlineLevel="0" collapsed="false">
      <c r="A359" s="26"/>
      <c r="B359" s="15"/>
      <c r="C359" s="15"/>
      <c r="D359" s="27"/>
      <c r="E359" s="15"/>
      <c r="F359" s="28"/>
      <c r="G359" s="25" t="str">
        <f aca="true">IF(OR(D359="",E359=""),"",IFERROR(D359*INDEX(UnidadesFactor,MATCH(E359,Unidades,0)),""))</f>
        <v/>
      </c>
      <c r="H359" s="17" t="str">
        <f aca="false">IF(I359&lt;&gt;"OK","",IF(G359=0,"",F359/G359))</f>
        <v/>
      </c>
      <c r="I359" s="20" t="str">
        <f aca="true">IF(B359="","",IF(ISNA(MATCH(B359,ListaInsumos,0)),"Insumo no está en Insumos",IF(OR(D359="",E359="",F359=""),"Faltan datos",IF(INDEX(UnidadesBase,MATCH(E359,Unidades,0))&lt;&gt;INDEX(InsBase,MATCH(B359,ListaInsumos,0)),"Unidad incompatible",IF(A359="","Falta fecha","OK")))))</f>
        <v/>
      </c>
      <c r="J359" s="15"/>
    </row>
    <row r="360" customFormat="false" ht="15" hidden="false" customHeight="false" outlineLevel="0" collapsed="false">
      <c r="A360" s="26"/>
      <c r="B360" s="15"/>
      <c r="C360" s="15"/>
      <c r="D360" s="27"/>
      <c r="E360" s="15"/>
      <c r="F360" s="28"/>
      <c r="G360" s="25" t="str">
        <f aca="true">IF(OR(D360="",E360=""),"",IFERROR(D360*INDEX(UnidadesFactor,MATCH(E360,Unidades,0)),""))</f>
        <v/>
      </c>
      <c r="H360" s="17" t="str">
        <f aca="false">IF(I360&lt;&gt;"OK","",IF(G360=0,"",F360/G360))</f>
        <v/>
      </c>
      <c r="I360" s="20" t="str">
        <f aca="true">IF(B360="","",IF(ISNA(MATCH(B360,ListaInsumos,0)),"Insumo no está en Insumos",IF(OR(D360="",E360="",F360=""),"Faltan datos",IF(INDEX(UnidadesBase,MATCH(E360,Unidades,0))&lt;&gt;INDEX(InsBase,MATCH(B360,ListaInsumos,0)),"Unidad incompatible",IF(A360="","Falta fecha","OK")))))</f>
        <v/>
      </c>
      <c r="J360" s="15"/>
    </row>
    <row r="361" customFormat="false" ht="15" hidden="false" customHeight="false" outlineLevel="0" collapsed="false">
      <c r="A361" s="26"/>
      <c r="B361" s="15"/>
      <c r="C361" s="15"/>
      <c r="D361" s="27"/>
      <c r="E361" s="15"/>
      <c r="F361" s="28"/>
      <c r="G361" s="25" t="str">
        <f aca="true">IF(OR(D361="",E361=""),"",IFERROR(D361*INDEX(UnidadesFactor,MATCH(E361,Unidades,0)),""))</f>
        <v/>
      </c>
      <c r="H361" s="17" t="str">
        <f aca="false">IF(I361&lt;&gt;"OK","",IF(G361=0,"",F361/G361))</f>
        <v/>
      </c>
      <c r="I361" s="20" t="str">
        <f aca="true">IF(B361="","",IF(ISNA(MATCH(B361,ListaInsumos,0)),"Insumo no está en Insumos",IF(OR(D361="",E361="",F361=""),"Faltan datos",IF(INDEX(UnidadesBase,MATCH(E361,Unidades,0))&lt;&gt;INDEX(InsBase,MATCH(B361,ListaInsumos,0)),"Unidad incompatible",IF(A361="","Falta fecha","OK")))))</f>
        <v/>
      </c>
      <c r="J361" s="15"/>
    </row>
    <row r="362" customFormat="false" ht="15" hidden="false" customHeight="false" outlineLevel="0" collapsed="false">
      <c r="A362" s="26"/>
      <c r="B362" s="15"/>
      <c r="C362" s="15"/>
      <c r="D362" s="27"/>
      <c r="E362" s="15"/>
      <c r="F362" s="28"/>
      <c r="G362" s="25" t="str">
        <f aca="true">IF(OR(D362="",E362=""),"",IFERROR(D362*INDEX(UnidadesFactor,MATCH(E362,Unidades,0)),""))</f>
        <v/>
      </c>
      <c r="H362" s="17" t="str">
        <f aca="false">IF(I362&lt;&gt;"OK","",IF(G362=0,"",F362/G362))</f>
        <v/>
      </c>
      <c r="I362" s="20" t="str">
        <f aca="true">IF(B362="","",IF(ISNA(MATCH(B362,ListaInsumos,0)),"Insumo no está en Insumos",IF(OR(D362="",E362="",F362=""),"Faltan datos",IF(INDEX(UnidadesBase,MATCH(E362,Unidades,0))&lt;&gt;INDEX(InsBase,MATCH(B362,ListaInsumos,0)),"Unidad incompatible",IF(A362="","Falta fecha","OK")))))</f>
        <v/>
      </c>
      <c r="J362" s="15"/>
    </row>
    <row r="363" customFormat="false" ht="15" hidden="false" customHeight="false" outlineLevel="0" collapsed="false">
      <c r="A363" s="26"/>
      <c r="B363" s="15"/>
      <c r="C363" s="15"/>
      <c r="D363" s="27"/>
      <c r="E363" s="15"/>
      <c r="F363" s="28"/>
      <c r="G363" s="25" t="str">
        <f aca="true">IF(OR(D363="",E363=""),"",IFERROR(D363*INDEX(UnidadesFactor,MATCH(E363,Unidades,0)),""))</f>
        <v/>
      </c>
      <c r="H363" s="17" t="str">
        <f aca="false">IF(I363&lt;&gt;"OK","",IF(G363=0,"",F363/G363))</f>
        <v/>
      </c>
      <c r="I363" s="20" t="str">
        <f aca="true">IF(B363="","",IF(ISNA(MATCH(B363,ListaInsumos,0)),"Insumo no está en Insumos",IF(OR(D363="",E363="",F363=""),"Faltan datos",IF(INDEX(UnidadesBase,MATCH(E363,Unidades,0))&lt;&gt;INDEX(InsBase,MATCH(B363,ListaInsumos,0)),"Unidad incompatible",IF(A363="","Falta fecha","OK")))))</f>
        <v/>
      </c>
      <c r="J363" s="15"/>
    </row>
    <row r="364" customFormat="false" ht="15" hidden="false" customHeight="false" outlineLevel="0" collapsed="false">
      <c r="A364" s="26"/>
      <c r="B364" s="15"/>
      <c r="C364" s="15"/>
      <c r="D364" s="27"/>
      <c r="E364" s="15"/>
      <c r="F364" s="28"/>
      <c r="G364" s="25" t="str">
        <f aca="true">IF(OR(D364="",E364=""),"",IFERROR(D364*INDEX(UnidadesFactor,MATCH(E364,Unidades,0)),""))</f>
        <v/>
      </c>
      <c r="H364" s="17" t="str">
        <f aca="false">IF(I364&lt;&gt;"OK","",IF(G364=0,"",F364/G364))</f>
        <v/>
      </c>
      <c r="I364" s="20" t="str">
        <f aca="true">IF(B364="","",IF(ISNA(MATCH(B364,ListaInsumos,0)),"Insumo no está en Insumos",IF(OR(D364="",E364="",F364=""),"Faltan datos",IF(INDEX(UnidadesBase,MATCH(E364,Unidades,0))&lt;&gt;INDEX(InsBase,MATCH(B364,ListaInsumos,0)),"Unidad incompatible",IF(A364="","Falta fecha","OK")))))</f>
        <v/>
      </c>
      <c r="J364" s="15"/>
    </row>
    <row r="365" customFormat="false" ht="15" hidden="false" customHeight="false" outlineLevel="0" collapsed="false">
      <c r="A365" s="26"/>
      <c r="B365" s="15"/>
      <c r="C365" s="15"/>
      <c r="D365" s="27"/>
      <c r="E365" s="15"/>
      <c r="F365" s="28"/>
      <c r="G365" s="25" t="str">
        <f aca="true">IF(OR(D365="",E365=""),"",IFERROR(D365*INDEX(UnidadesFactor,MATCH(E365,Unidades,0)),""))</f>
        <v/>
      </c>
      <c r="H365" s="17" t="str">
        <f aca="false">IF(I365&lt;&gt;"OK","",IF(G365=0,"",F365/G365))</f>
        <v/>
      </c>
      <c r="I365" s="20" t="str">
        <f aca="true">IF(B365="","",IF(ISNA(MATCH(B365,ListaInsumos,0)),"Insumo no está en Insumos",IF(OR(D365="",E365="",F365=""),"Faltan datos",IF(INDEX(UnidadesBase,MATCH(E365,Unidades,0))&lt;&gt;INDEX(InsBase,MATCH(B365,ListaInsumos,0)),"Unidad incompatible",IF(A365="","Falta fecha","OK")))))</f>
        <v/>
      </c>
      <c r="J365" s="15"/>
    </row>
    <row r="366" customFormat="false" ht="15" hidden="false" customHeight="false" outlineLevel="0" collapsed="false">
      <c r="A366" s="26"/>
      <c r="B366" s="15"/>
      <c r="C366" s="15"/>
      <c r="D366" s="27"/>
      <c r="E366" s="15"/>
      <c r="F366" s="28"/>
      <c r="G366" s="25" t="str">
        <f aca="true">IF(OR(D366="",E366=""),"",IFERROR(D366*INDEX(UnidadesFactor,MATCH(E366,Unidades,0)),""))</f>
        <v/>
      </c>
      <c r="H366" s="17" t="str">
        <f aca="false">IF(I366&lt;&gt;"OK","",IF(G366=0,"",F366/G366))</f>
        <v/>
      </c>
      <c r="I366" s="20" t="str">
        <f aca="true">IF(B366="","",IF(ISNA(MATCH(B366,ListaInsumos,0)),"Insumo no está en Insumos",IF(OR(D366="",E366="",F366=""),"Faltan datos",IF(INDEX(UnidadesBase,MATCH(E366,Unidades,0))&lt;&gt;INDEX(InsBase,MATCH(B366,ListaInsumos,0)),"Unidad incompatible",IF(A366="","Falta fecha","OK")))))</f>
        <v/>
      </c>
      <c r="J366" s="15"/>
    </row>
    <row r="367" customFormat="false" ht="15" hidden="false" customHeight="false" outlineLevel="0" collapsed="false">
      <c r="A367" s="26"/>
      <c r="B367" s="15"/>
      <c r="C367" s="15"/>
      <c r="D367" s="27"/>
      <c r="E367" s="15"/>
      <c r="F367" s="28"/>
      <c r="G367" s="25" t="str">
        <f aca="true">IF(OR(D367="",E367=""),"",IFERROR(D367*INDEX(UnidadesFactor,MATCH(E367,Unidades,0)),""))</f>
        <v/>
      </c>
      <c r="H367" s="17" t="str">
        <f aca="false">IF(I367&lt;&gt;"OK","",IF(G367=0,"",F367/G367))</f>
        <v/>
      </c>
      <c r="I367" s="20" t="str">
        <f aca="true">IF(B367="","",IF(ISNA(MATCH(B367,ListaInsumos,0)),"Insumo no está en Insumos",IF(OR(D367="",E367="",F367=""),"Faltan datos",IF(INDEX(UnidadesBase,MATCH(E367,Unidades,0))&lt;&gt;INDEX(InsBase,MATCH(B367,ListaInsumos,0)),"Unidad incompatible",IF(A367="","Falta fecha","OK")))))</f>
        <v/>
      </c>
      <c r="J367" s="15"/>
    </row>
    <row r="368" customFormat="false" ht="15" hidden="false" customHeight="false" outlineLevel="0" collapsed="false">
      <c r="A368" s="26"/>
      <c r="B368" s="15"/>
      <c r="C368" s="15"/>
      <c r="D368" s="27"/>
      <c r="E368" s="15"/>
      <c r="F368" s="28"/>
      <c r="G368" s="25" t="str">
        <f aca="true">IF(OR(D368="",E368=""),"",IFERROR(D368*INDEX(UnidadesFactor,MATCH(E368,Unidades,0)),""))</f>
        <v/>
      </c>
      <c r="H368" s="17" t="str">
        <f aca="false">IF(I368&lt;&gt;"OK","",IF(G368=0,"",F368/G368))</f>
        <v/>
      </c>
      <c r="I368" s="20" t="str">
        <f aca="true">IF(B368="","",IF(ISNA(MATCH(B368,ListaInsumos,0)),"Insumo no está en Insumos",IF(OR(D368="",E368="",F368=""),"Faltan datos",IF(INDEX(UnidadesBase,MATCH(E368,Unidades,0))&lt;&gt;INDEX(InsBase,MATCH(B368,ListaInsumos,0)),"Unidad incompatible",IF(A368="","Falta fecha","OK")))))</f>
        <v/>
      </c>
      <c r="J368" s="15"/>
    </row>
    <row r="369" customFormat="false" ht="15" hidden="false" customHeight="false" outlineLevel="0" collapsed="false">
      <c r="A369" s="26"/>
      <c r="B369" s="15"/>
      <c r="C369" s="15"/>
      <c r="D369" s="27"/>
      <c r="E369" s="15"/>
      <c r="F369" s="28"/>
      <c r="G369" s="25" t="str">
        <f aca="true">IF(OR(D369="",E369=""),"",IFERROR(D369*INDEX(UnidadesFactor,MATCH(E369,Unidades,0)),""))</f>
        <v/>
      </c>
      <c r="H369" s="17" t="str">
        <f aca="false">IF(I369&lt;&gt;"OK","",IF(G369=0,"",F369/G369))</f>
        <v/>
      </c>
      <c r="I369" s="20" t="str">
        <f aca="true">IF(B369="","",IF(ISNA(MATCH(B369,ListaInsumos,0)),"Insumo no está en Insumos",IF(OR(D369="",E369="",F369=""),"Faltan datos",IF(INDEX(UnidadesBase,MATCH(E369,Unidades,0))&lt;&gt;INDEX(InsBase,MATCH(B369,ListaInsumos,0)),"Unidad incompatible",IF(A369="","Falta fecha","OK")))))</f>
        <v/>
      </c>
      <c r="J369" s="15"/>
    </row>
    <row r="370" customFormat="false" ht="15" hidden="false" customHeight="false" outlineLevel="0" collapsed="false">
      <c r="A370" s="26"/>
      <c r="B370" s="15"/>
      <c r="C370" s="15"/>
      <c r="D370" s="27"/>
      <c r="E370" s="15"/>
      <c r="F370" s="28"/>
      <c r="G370" s="25" t="str">
        <f aca="true">IF(OR(D370="",E370=""),"",IFERROR(D370*INDEX(UnidadesFactor,MATCH(E370,Unidades,0)),""))</f>
        <v/>
      </c>
      <c r="H370" s="17" t="str">
        <f aca="false">IF(I370&lt;&gt;"OK","",IF(G370=0,"",F370/G370))</f>
        <v/>
      </c>
      <c r="I370" s="20" t="str">
        <f aca="true">IF(B370="","",IF(ISNA(MATCH(B370,ListaInsumos,0)),"Insumo no está en Insumos",IF(OR(D370="",E370="",F370=""),"Faltan datos",IF(INDEX(UnidadesBase,MATCH(E370,Unidades,0))&lt;&gt;INDEX(InsBase,MATCH(B370,ListaInsumos,0)),"Unidad incompatible",IF(A370="","Falta fecha","OK")))))</f>
        <v/>
      </c>
      <c r="J370" s="15"/>
    </row>
    <row r="371" customFormat="false" ht="15" hidden="false" customHeight="false" outlineLevel="0" collapsed="false">
      <c r="A371" s="26"/>
      <c r="B371" s="15"/>
      <c r="C371" s="15"/>
      <c r="D371" s="27"/>
      <c r="E371" s="15"/>
      <c r="F371" s="28"/>
      <c r="G371" s="25" t="str">
        <f aca="true">IF(OR(D371="",E371=""),"",IFERROR(D371*INDEX(UnidadesFactor,MATCH(E371,Unidades,0)),""))</f>
        <v/>
      </c>
      <c r="H371" s="17" t="str">
        <f aca="false">IF(I371&lt;&gt;"OK","",IF(G371=0,"",F371/G371))</f>
        <v/>
      </c>
      <c r="I371" s="20" t="str">
        <f aca="true">IF(B371="","",IF(ISNA(MATCH(B371,ListaInsumos,0)),"Insumo no está en Insumos",IF(OR(D371="",E371="",F371=""),"Faltan datos",IF(INDEX(UnidadesBase,MATCH(E371,Unidades,0))&lt;&gt;INDEX(InsBase,MATCH(B371,ListaInsumos,0)),"Unidad incompatible",IF(A371="","Falta fecha","OK")))))</f>
        <v/>
      </c>
      <c r="J371" s="15"/>
    </row>
    <row r="372" customFormat="false" ht="15" hidden="false" customHeight="false" outlineLevel="0" collapsed="false">
      <c r="A372" s="26"/>
      <c r="B372" s="15"/>
      <c r="C372" s="15"/>
      <c r="D372" s="27"/>
      <c r="E372" s="15"/>
      <c r="F372" s="28"/>
      <c r="G372" s="25" t="str">
        <f aca="true">IF(OR(D372="",E372=""),"",IFERROR(D372*INDEX(UnidadesFactor,MATCH(E372,Unidades,0)),""))</f>
        <v/>
      </c>
      <c r="H372" s="17" t="str">
        <f aca="false">IF(I372&lt;&gt;"OK","",IF(G372=0,"",F372/G372))</f>
        <v/>
      </c>
      <c r="I372" s="20" t="str">
        <f aca="true">IF(B372="","",IF(ISNA(MATCH(B372,ListaInsumos,0)),"Insumo no está en Insumos",IF(OR(D372="",E372="",F372=""),"Faltan datos",IF(INDEX(UnidadesBase,MATCH(E372,Unidades,0))&lt;&gt;INDEX(InsBase,MATCH(B372,ListaInsumos,0)),"Unidad incompatible",IF(A372="","Falta fecha","OK")))))</f>
        <v/>
      </c>
      <c r="J372" s="15"/>
    </row>
    <row r="373" customFormat="false" ht="15" hidden="false" customHeight="false" outlineLevel="0" collapsed="false">
      <c r="A373" s="26"/>
      <c r="B373" s="15"/>
      <c r="C373" s="15"/>
      <c r="D373" s="27"/>
      <c r="E373" s="15"/>
      <c r="F373" s="28"/>
      <c r="G373" s="25" t="str">
        <f aca="true">IF(OR(D373="",E373=""),"",IFERROR(D373*INDEX(UnidadesFactor,MATCH(E373,Unidades,0)),""))</f>
        <v/>
      </c>
      <c r="H373" s="17" t="str">
        <f aca="false">IF(I373&lt;&gt;"OK","",IF(G373=0,"",F373/G373))</f>
        <v/>
      </c>
      <c r="I373" s="20" t="str">
        <f aca="true">IF(B373="","",IF(ISNA(MATCH(B373,ListaInsumos,0)),"Insumo no está en Insumos",IF(OR(D373="",E373="",F373=""),"Faltan datos",IF(INDEX(UnidadesBase,MATCH(E373,Unidades,0))&lt;&gt;INDEX(InsBase,MATCH(B373,ListaInsumos,0)),"Unidad incompatible",IF(A373="","Falta fecha","OK")))))</f>
        <v/>
      </c>
      <c r="J373" s="15"/>
    </row>
    <row r="374" customFormat="false" ht="15" hidden="false" customHeight="false" outlineLevel="0" collapsed="false">
      <c r="A374" s="26"/>
      <c r="B374" s="15"/>
      <c r="C374" s="15"/>
      <c r="D374" s="27"/>
      <c r="E374" s="15"/>
      <c r="F374" s="28"/>
      <c r="G374" s="25" t="str">
        <f aca="true">IF(OR(D374="",E374=""),"",IFERROR(D374*INDEX(UnidadesFactor,MATCH(E374,Unidades,0)),""))</f>
        <v/>
      </c>
      <c r="H374" s="17" t="str">
        <f aca="false">IF(I374&lt;&gt;"OK","",IF(G374=0,"",F374/G374))</f>
        <v/>
      </c>
      <c r="I374" s="20" t="str">
        <f aca="true">IF(B374="","",IF(ISNA(MATCH(B374,ListaInsumos,0)),"Insumo no está en Insumos",IF(OR(D374="",E374="",F374=""),"Faltan datos",IF(INDEX(UnidadesBase,MATCH(E374,Unidades,0))&lt;&gt;INDEX(InsBase,MATCH(B374,ListaInsumos,0)),"Unidad incompatible",IF(A374="","Falta fecha","OK")))))</f>
        <v/>
      </c>
      <c r="J374" s="15"/>
    </row>
    <row r="375" customFormat="false" ht="15" hidden="false" customHeight="false" outlineLevel="0" collapsed="false">
      <c r="A375" s="26"/>
      <c r="B375" s="15"/>
      <c r="C375" s="15"/>
      <c r="D375" s="27"/>
      <c r="E375" s="15"/>
      <c r="F375" s="28"/>
      <c r="G375" s="25" t="str">
        <f aca="true">IF(OR(D375="",E375=""),"",IFERROR(D375*INDEX(UnidadesFactor,MATCH(E375,Unidades,0)),""))</f>
        <v/>
      </c>
      <c r="H375" s="17" t="str">
        <f aca="false">IF(I375&lt;&gt;"OK","",IF(G375=0,"",F375/G375))</f>
        <v/>
      </c>
      <c r="I375" s="20" t="str">
        <f aca="true">IF(B375="","",IF(ISNA(MATCH(B375,ListaInsumos,0)),"Insumo no está en Insumos",IF(OR(D375="",E375="",F375=""),"Faltan datos",IF(INDEX(UnidadesBase,MATCH(E375,Unidades,0))&lt;&gt;INDEX(InsBase,MATCH(B375,ListaInsumos,0)),"Unidad incompatible",IF(A375="","Falta fecha","OK")))))</f>
        <v/>
      </c>
      <c r="J375" s="15"/>
    </row>
    <row r="376" customFormat="false" ht="15" hidden="false" customHeight="false" outlineLevel="0" collapsed="false">
      <c r="A376" s="26"/>
      <c r="B376" s="15"/>
      <c r="C376" s="15"/>
      <c r="D376" s="27"/>
      <c r="E376" s="15"/>
      <c r="F376" s="28"/>
      <c r="G376" s="25" t="str">
        <f aca="true">IF(OR(D376="",E376=""),"",IFERROR(D376*INDEX(UnidadesFactor,MATCH(E376,Unidades,0)),""))</f>
        <v/>
      </c>
      <c r="H376" s="17" t="str">
        <f aca="false">IF(I376&lt;&gt;"OK","",IF(G376=0,"",F376/G376))</f>
        <v/>
      </c>
      <c r="I376" s="20" t="str">
        <f aca="true">IF(B376="","",IF(ISNA(MATCH(B376,ListaInsumos,0)),"Insumo no está en Insumos",IF(OR(D376="",E376="",F376=""),"Faltan datos",IF(INDEX(UnidadesBase,MATCH(E376,Unidades,0))&lt;&gt;INDEX(InsBase,MATCH(B376,ListaInsumos,0)),"Unidad incompatible",IF(A376="","Falta fecha","OK")))))</f>
        <v/>
      </c>
      <c r="J376" s="15"/>
    </row>
    <row r="377" customFormat="false" ht="15" hidden="false" customHeight="false" outlineLevel="0" collapsed="false">
      <c r="A377" s="26"/>
      <c r="B377" s="15"/>
      <c r="C377" s="15"/>
      <c r="D377" s="27"/>
      <c r="E377" s="15"/>
      <c r="F377" s="28"/>
      <c r="G377" s="25" t="str">
        <f aca="true">IF(OR(D377="",E377=""),"",IFERROR(D377*INDEX(UnidadesFactor,MATCH(E377,Unidades,0)),""))</f>
        <v/>
      </c>
      <c r="H377" s="17" t="str">
        <f aca="false">IF(I377&lt;&gt;"OK","",IF(G377=0,"",F377/G377))</f>
        <v/>
      </c>
      <c r="I377" s="20" t="str">
        <f aca="true">IF(B377="","",IF(ISNA(MATCH(B377,ListaInsumos,0)),"Insumo no está en Insumos",IF(OR(D377="",E377="",F377=""),"Faltan datos",IF(INDEX(UnidadesBase,MATCH(E377,Unidades,0))&lt;&gt;INDEX(InsBase,MATCH(B377,ListaInsumos,0)),"Unidad incompatible",IF(A377="","Falta fecha","OK")))))</f>
        <v/>
      </c>
      <c r="J377" s="15"/>
    </row>
    <row r="378" customFormat="false" ht="15" hidden="false" customHeight="false" outlineLevel="0" collapsed="false">
      <c r="A378" s="26"/>
      <c r="B378" s="15"/>
      <c r="C378" s="15"/>
      <c r="D378" s="27"/>
      <c r="E378" s="15"/>
      <c r="F378" s="28"/>
      <c r="G378" s="25" t="str">
        <f aca="true">IF(OR(D378="",E378=""),"",IFERROR(D378*INDEX(UnidadesFactor,MATCH(E378,Unidades,0)),""))</f>
        <v/>
      </c>
      <c r="H378" s="17" t="str">
        <f aca="false">IF(I378&lt;&gt;"OK","",IF(G378=0,"",F378/G378))</f>
        <v/>
      </c>
      <c r="I378" s="20" t="str">
        <f aca="true">IF(B378="","",IF(ISNA(MATCH(B378,ListaInsumos,0)),"Insumo no está en Insumos",IF(OR(D378="",E378="",F378=""),"Faltan datos",IF(INDEX(UnidadesBase,MATCH(E378,Unidades,0))&lt;&gt;INDEX(InsBase,MATCH(B378,ListaInsumos,0)),"Unidad incompatible",IF(A378="","Falta fecha","OK")))))</f>
        <v/>
      </c>
      <c r="J378" s="15"/>
    </row>
    <row r="379" customFormat="false" ht="15" hidden="false" customHeight="false" outlineLevel="0" collapsed="false">
      <c r="A379" s="26"/>
      <c r="B379" s="15"/>
      <c r="C379" s="15"/>
      <c r="D379" s="27"/>
      <c r="E379" s="15"/>
      <c r="F379" s="28"/>
      <c r="G379" s="25" t="str">
        <f aca="true">IF(OR(D379="",E379=""),"",IFERROR(D379*INDEX(UnidadesFactor,MATCH(E379,Unidades,0)),""))</f>
        <v/>
      </c>
      <c r="H379" s="17" t="str">
        <f aca="false">IF(I379&lt;&gt;"OK","",IF(G379=0,"",F379/G379))</f>
        <v/>
      </c>
      <c r="I379" s="20" t="str">
        <f aca="true">IF(B379="","",IF(ISNA(MATCH(B379,ListaInsumos,0)),"Insumo no está en Insumos",IF(OR(D379="",E379="",F379=""),"Faltan datos",IF(INDEX(UnidadesBase,MATCH(E379,Unidades,0))&lt;&gt;INDEX(InsBase,MATCH(B379,ListaInsumos,0)),"Unidad incompatible",IF(A379="","Falta fecha","OK")))))</f>
        <v/>
      </c>
      <c r="J379" s="15"/>
    </row>
    <row r="380" customFormat="false" ht="15" hidden="false" customHeight="false" outlineLevel="0" collapsed="false">
      <c r="A380" s="26"/>
      <c r="B380" s="15"/>
      <c r="C380" s="15"/>
      <c r="D380" s="27"/>
      <c r="E380" s="15"/>
      <c r="F380" s="28"/>
      <c r="G380" s="25" t="str">
        <f aca="true">IF(OR(D380="",E380=""),"",IFERROR(D380*INDEX(UnidadesFactor,MATCH(E380,Unidades,0)),""))</f>
        <v/>
      </c>
      <c r="H380" s="17" t="str">
        <f aca="false">IF(I380&lt;&gt;"OK","",IF(G380=0,"",F380/G380))</f>
        <v/>
      </c>
      <c r="I380" s="20" t="str">
        <f aca="true">IF(B380="","",IF(ISNA(MATCH(B380,ListaInsumos,0)),"Insumo no está en Insumos",IF(OR(D380="",E380="",F380=""),"Faltan datos",IF(INDEX(UnidadesBase,MATCH(E380,Unidades,0))&lt;&gt;INDEX(InsBase,MATCH(B380,ListaInsumos,0)),"Unidad incompatible",IF(A380="","Falta fecha","OK")))))</f>
        <v/>
      </c>
      <c r="J380" s="15"/>
    </row>
    <row r="381" customFormat="false" ht="15" hidden="false" customHeight="false" outlineLevel="0" collapsed="false">
      <c r="A381" s="26"/>
      <c r="B381" s="15"/>
      <c r="C381" s="15"/>
      <c r="D381" s="27"/>
      <c r="E381" s="15"/>
      <c r="F381" s="28"/>
      <c r="G381" s="25" t="str">
        <f aca="true">IF(OR(D381="",E381=""),"",IFERROR(D381*INDEX(UnidadesFactor,MATCH(E381,Unidades,0)),""))</f>
        <v/>
      </c>
      <c r="H381" s="17" t="str">
        <f aca="false">IF(I381&lt;&gt;"OK","",IF(G381=0,"",F381/G381))</f>
        <v/>
      </c>
      <c r="I381" s="20" t="str">
        <f aca="true">IF(B381="","",IF(ISNA(MATCH(B381,ListaInsumos,0)),"Insumo no está en Insumos",IF(OR(D381="",E381="",F381=""),"Faltan datos",IF(INDEX(UnidadesBase,MATCH(E381,Unidades,0))&lt;&gt;INDEX(InsBase,MATCH(B381,ListaInsumos,0)),"Unidad incompatible",IF(A381="","Falta fecha","OK")))))</f>
        <v/>
      </c>
      <c r="J381" s="15"/>
    </row>
    <row r="382" customFormat="false" ht="15" hidden="false" customHeight="false" outlineLevel="0" collapsed="false">
      <c r="A382" s="26"/>
      <c r="B382" s="15"/>
      <c r="C382" s="15"/>
      <c r="D382" s="27"/>
      <c r="E382" s="15"/>
      <c r="F382" s="28"/>
      <c r="G382" s="25" t="str">
        <f aca="true">IF(OR(D382="",E382=""),"",IFERROR(D382*INDEX(UnidadesFactor,MATCH(E382,Unidades,0)),""))</f>
        <v/>
      </c>
      <c r="H382" s="17" t="str">
        <f aca="false">IF(I382&lt;&gt;"OK","",IF(G382=0,"",F382/G382))</f>
        <v/>
      </c>
      <c r="I382" s="20" t="str">
        <f aca="true">IF(B382="","",IF(ISNA(MATCH(B382,ListaInsumos,0)),"Insumo no está en Insumos",IF(OR(D382="",E382="",F382=""),"Faltan datos",IF(INDEX(UnidadesBase,MATCH(E382,Unidades,0))&lt;&gt;INDEX(InsBase,MATCH(B382,ListaInsumos,0)),"Unidad incompatible",IF(A382="","Falta fecha","OK")))))</f>
        <v/>
      </c>
      <c r="J382" s="15"/>
    </row>
    <row r="383" customFormat="false" ht="15" hidden="false" customHeight="false" outlineLevel="0" collapsed="false">
      <c r="A383" s="26"/>
      <c r="B383" s="15"/>
      <c r="C383" s="15"/>
      <c r="D383" s="27"/>
      <c r="E383" s="15"/>
      <c r="F383" s="28"/>
      <c r="G383" s="25" t="str">
        <f aca="true">IF(OR(D383="",E383=""),"",IFERROR(D383*INDEX(UnidadesFactor,MATCH(E383,Unidades,0)),""))</f>
        <v/>
      </c>
      <c r="H383" s="17" t="str">
        <f aca="false">IF(I383&lt;&gt;"OK","",IF(G383=0,"",F383/G383))</f>
        <v/>
      </c>
      <c r="I383" s="20" t="str">
        <f aca="true">IF(B383="","",IF(ISNA(MATCH(B383,ListaInsumos,0)),"Insumo no está en Insumos",IF(OR(D383="",E383="",F383=""),"Faltan datos",IF(INDEX(UnidadesBase,MATCH(E383,Unidades,0))&lt;&gt;INDEX(InsBase,MATCH(B383,ListaInsumos,0)),"Unidad incompatible",IF(A383="","Falta fecha","OK")))))</f>
        <v/>
      </c>
      <c r="J383" s="15"/>
    </row>
    <row r="384" customFormat="false" ht="15" hidden="false" customHeight="false" outlineLevel="0" collapsed="false">
      <c r="A384" s="26"/>
      <c r="B384" s="15"/>
      <c r="C384" s="15"/>
      <c r="D384" s="27"/>
      <c r="E384" s="15"/>
      <c r="F384" s="28"/>
      <c r="G384" s="25" t="str">
        <f aca="true">IF(OR(D384="",E384=""),"",IFERROR(D384*INDEX(UnidadesFactor,MATCH(E384,Unidades,0)),""))</f>
        <v/>
      </c>
      <c r="H384" s="17" t="str">
        <f aca="false">IF(I384&lt;&gt;"OK","",IF(G384=0,"",F384/G384))</f>
        <v/>
      </c>
      <c r="I384" s="20" t="str">
        <f aca="true">IF(B384="","",IF(ISNA(MATCH(B384,ListaInsumos,0)),"Insumo no está en Insumos",IF(OR(D384="",E384="",F384=""),"Faltan datos",IF(INDEX(UnidadesBase,MATCH(E384,Unidades,0))&lt;&gt;INDEX(InsBase,MATCH(B384,ListaInsumos,0)),"Unidad incompatible",IF(A384="","Falta fecha","OK")))))</f>
        <v/>
      </c>
      <c r="J384" s="15"/>
    </row>
    <row r="385" customFormat="false" ht="15" hidden="false" customHeight="false" outlineLevel="0" collapsed="false">
      <c r="A385" s="26"/>
      <c r="B385" s="15"/>
      <c r="C385" s="15"/>
      <c r="D385" s="27"/>
      <c r="E385" s="15"/>
      <c r="F385" s="28"/>
      <c r="G385" s="25" t="str">
        <f aca="true">IF(OR(D385="",E385=""),"",IFERROR(D385*INDEX(UnidadesFactor,MATCH(E385,Unidades,0)),""))</f>
        <v/>
      </c>
      <c r="H385" s="17" t="str">
        <f aca="false">IF(I385&lt;&gt;"OK","",IF(G385=0,"",F385/G385))</f>
        <v/>
      </c>
      <c r="I385" s="20" t="str">
        <f aca="true">IF(B385="","",IF(ISNA(MATCH(B385,ListaInsumos,0)),"Insumo no está en Insumos",IF(OR(D385="",E385="",F385=""),"Faltan datos",IF(INDEX(UnidadesBase,MATCH(E385,Unidades,0))&lt;&gt;INDEX(InsBase,MATCH(B385,ListaInsumos,0)),"Unidad incompatible",IF(A385="","Falta fecha","OK")))))</f>
        <v/>
      </c>
      <c r="J385" s="15"/>
    </row>
    <row r="386" customFormat="false" ht="15" hidden="false" customHeight="false" outlineLevel="0" collapsed="false">
      <c r="A386" s="26"/>
      <c r="B386" s="15"/>
      <c r="C386" s="15"/>
      <c r="D386" s="27"/>
      <c r="E386" s="15"/>
      <c r="F386" s="28"/>
      <c r="G386" s="25" t="str">
        <f aca="true">IF(OR(D386="",E386=""),"",IFERROR(D386*INDEX(UnidadesFactor,MATCH(E386,Unidades,0)),""))</f>
        <v/>
      </c>
      <c r="H386" s="17" t="str">
        <f aca="false">IF(I386&lt;&gt;"OK","",IF(G386=0,"",F386/G386))</f>
        <v/>
      </c>
      <c r="I386" s="20" t="str">
        <f aca="true">IF(B386="","",IF(ISNA(MATCH(B386,ListaInsumos,0)),"Insumo no está en Insumos",IF(OR(D386="",E386="",F386=""),"Faltan datos",IF(INDEX(UnidadesBase,MATCH(E386,Unidades,0))&lt;&gt;INDEX(InsBase,MATCH(B386,ListaInsumos,0)),"Unidad incompatible",IF(A386="","Falta fecha","OK")))))</f>
        <v/>
      </c>
      <c r="J386" s="15"/>
    </row>
    <row r="387" customFormat="false" ht="15" hidden="false" customHeight="false" outlineLevel="0" collapsed="false">
      <c r="A387" s="26"/>
      <c r="B387" s="15"/>
      <c r="C387" s="15"/>
      <c r="D387" s="27"/>
      <c r="E387" s="15"/>
      <c r="F387" s="28"/>
      <c r="G387" s="25" t="str">
        <f aca="true">IF(OR(D387="",E387=""),"",IFERROR(D387*INDEX(UnidadesFactor,MATCH(E387,Unidades,0)),""))</f>
        <v/>
      </c>
      <c r="H387" s="17" t="str">
        <f aca="false">IF(I387&lt;&gt;"OK","",IF(G387=0,"",F387/G387))</f>
        <v/>
      </c>
      <c r="I387" s="20" t="str">
        <f aca="true">IF(B387="","",IF(ISNA(MATCH(B387,ListaInsumos,0)),"Insumo no está en Insumos",IF(OR(D387="",E387="",F387=""),"Faltan datos",IF(INDEX(UnidadesBase,MATCH(E387,Unidades,0))&lt;&gt;INDEX(InsBase,MATCH(B387,ListaInsumos,0)),"Unidad incompatible",IF(A387="","Falta fecha","OK")))))</f>
        <v/>
      </c>
      <c r="J387" s="15"/>
    </row>
    <row r="388" customFormat="false" ht="15" hidden="false" customHeight="false" outlineLevel="0" collapsed="false">
      <c r="A388" s="26"/>
      <c r="B388" s="15"/>
      <c r="C388" s="15"/>
      <c r="D388" s="27"/>
      <c r="E388" s="15"/>
      <c r="F388" s="28"/>
      <c r="G388" s="25" t="str">
        <f aca="true">IF(OR(D388="",E388=""),"",IFERROR(D388*INDEX(UnidadesFactor,MATCH(E388,Unidades,0)),""))</f>
        <v/>
      </c>
      <c r="H388" s="17" t="str">
        <f aca="false">IF(I388&lt;&gt;"OK","",IF(G388=0,"",F388/G388))</f>
        <v/>
      </c>
      <c r="I388" s="20" t="str">
        <f aca="true">IF(B388="","",IF(ISNA(MATCH(B388,ListaInsumos,0)),"Insumo no está en Insumos",IF(OR(D388="",E388="",F388=""),"Faltan datos",IF(INDEX(UnidadesBase,MATCH(E388,Unidades,0))&lt;&gt;INDEX(InsBase,MATCH(B388,ListaInsumos,0)),"Unidad incompatible",IF(A388="","Falta fecha","OK")))))</f>
        <v/>
      </c>
      <c r="J388" s="15"/>
    </row>
    <row r="389" customFormat="false" ht="15" hidden="false" customHeight="false" outlineLevel="0" collapsed="false">
      <c r="A389" s="26"/>
      <c r="B389" s="15"/>
      <c r="C389" s="15"/>
      <c r="D389" s="27"/>
      <c r="E389" s="15"/>
      <c r="F389" s="28"/>
      <c r="G389" s="25" t="str">
        <f aca="true">IF(OR(D389="",E389=""),"",IFERROR(D389*INDEX(UnidadesFactor,MATCH(E389,Unidades,0)),""))</f>
        <v/>
      </c>
      <c r="H389" s="17" t="str">
        <f aca="false">IF(I389&lt;&gt;"OK","",IF(G389=0,"",F389/G389))</f>
        <v/>
      </c>
      <c r="I389" s="20" t="str">
        <f aca="true">IF(B389="","",IF(ISNA(MATCH(B389,ListaInsumos,0)),"Insumo no está en Insumos",IF(OR(D389="",E389="",F389=""),"Faltan datos",IF(INDEX(UnidadesBase,MATCH(E389,Unidades,0))&lt;&gt;INDEX(InsBase,MATCH(B389,ListaInsumos,0)),"Unidad incompatible",IF(A389="","Falta fecha","OK")))))</f>
        <v/>
      </c>
      <c r="J389" s="15"/>
    </row>
    <row r="390" customFormat="false" ht="15" hidden="false" customHeight="false" outlineLevel="0" collapsed="false">
      <c r="A390" s="26"/>
      <c r="B390" s="15"/>
      <c r="C390" s="15"/>
      <c r="D390" s="27"/>
      <c r="E390" s="15"/>
      <c r="F390" s="28"/>
      <c r="G390" s="25" t="str">
        <f aca="true">IF(OR(D390="",E390=""),"",IFERROR(D390*INDEX(UnidadesFactor,MATCH(E390,Unidades,0)),""))</f>
        <v/>
      </c>
      <c r="H390" s="17" t="str">
        <f aca="false">IF(I390&lt;&gt;"OK","",IF(G390=0,"",F390/G390))</f>
        <v/>
      </c>
      <c r="I390" s="20" t="str">
        <f aca="true">IF(B390="","",IF(ISNA(MATCH(B390,ListaInsumos,0)),"Insumo no está en Insumos",IF(OR(D390="",E390="",F390=""),"Faltan datos",IF(INDEX(UnidadesBase,MATCH(E390,Unidades,0))&lt;&gt;INDEX(InsBase,MATCH(B390,ListaInsumos,0)),"Unidad incompatible",IF(A390="","Falta fecha","OK")))))</f>
        <v/>
      </c>
      <c r="J390" s="15"/>
    </row>
    <row r="391" customFormat="false" ht="15" hidden="false" customHeight="false" outlineLevel="0" collapsed="false">
      <c r="A391" s="26"/>
      <c r="B391" s="15"/>
      <c r="C391" s="15"/>
      <c r="D391" s="27"/>
      <c r="E391" s="15"/>
      <c r="F391" s="28"/>
      <c r="G391" s="25" t="str">
        <f aca="true">IF(OR(D391="",E391=""),"",IFERROR(D391*INDEX(UnidadesFactor,MATCH(E391,Unidades,0)),""))</f>
        <v/>
      </c>
      <c r="H391" s="17" t="str">
        <f aca="false">IF(I391&lt;&gt;"OK","",IF(G391=0,"",F391/G391))</f>
        <v/>
      </c>
      <c r="I391" s="20" t="str">
        <f aca="true">IF(B391="","",IF(ISNA(MATCH(B391,ListaInsumos,0)),"Insumo no está en Insumos",IF(OR(D391="",E391="",F391=""),"Faltan datos",IF(INDEX(UnidadesBase,MATCH(E391,Unidades,0))&lt;&gt;INDEX(InsBase,MATCH(B391,ListaInsumos,0)),"Unidad incompatible",IF(A391="","Falta fecha","OK")))))</f>
        <v/>
      </c>
      <c r="J391" s="15"/>
    </row>
    <row r="392" customFormat="false" ht="15" hidden="false" customHeight="false" outlineLevel="0" collapsed="false">
      <c r="A392" s="26"/>
      <c r="B392" s="15"/>
      <c r="C392" s="15"/>
      <c r="D392" s="27"/>
      <c r="E392" s="15"/>
      <c r="F392" s="28"/>
      <c r="G392" s="25" t="str">
        <f aca="true">IF(OR(D392="",E392=""),"",IFERROR(D392*INDEX(UnidadesFactor,MATCH(E392,Unidades,0)),""))</f>
        <v/>
      </c>
      <c r="H392" s="17" t="str">
        <f aca="false">IF(I392&lt;&gt;"OK","",IF(G392=0,"",F392/G392))</f>
        <v/>
      </c>
      <c r="I392" s="20" t="str">
        <f aca="true">IF(B392="","",IF(ISNA(MATCH(B392,ListaInsumos,0)),"Insumo no está en Insumos",IF(OR(D392="",E392="",F392=""),"Faltan datos",IF(INDEX(UnidadesBase,MATCH(E392,Unidades,0))&lt;&gt;INDEX(InsBase,MATCH(B392,ListaInsumos,0)),"Unidad incompatible",IF(A392="","Falta fecha","OK")))))</f>
        <v/>
      </c>
      <c r="J392" s="15"/>
    </row>
    <row r="393" customFormat="false" ht="15" hidden="false" customHeight="false" outlineLevel="0" collapsed="false">
      <c r="A393" s="26"/>
      <c r="B393" s="15"/>
      <c r="C393" s="15"/>
      <c r="D393" s="27"/>
      <c r="E393" s="15"/>
      <c r="F393" s="28"/>
      <c r="G393" s="25" t="str">
        <f aca="true">IF(OR(D393="",E393=""),"",IFERROR(D393*INDEX(UnidadesFactor,MATCH(E393,Unidades,0)),""))</f>
        <v/>
      </c>
      <c r="H393" s="17" t="str">
        <f aca="false">IF(I393&lt;&gt;"OK","",IF(G393=0,"",F393/G393))</f>
        <v/>
      </c>
      <c r="I393" s="20" t="str">
        <f aca="true">IF(B393="","",IF(ISNA(MATCH(B393,ListaInsumos,0)),"Insumo no está en Insumos",IF(OR(D393="",E393="",F393=""),"Faltan datos",IF(INDEX(UnidadesBase,MATCH(E393,Unidades,0))&lt;&gt;INDEX(InsBase,MATCH(B393,ListaInsumos,0)),"Unidad incompatible",IF(A393="","Falta fecha","OK")))))</f>
        <v/>
      </c>
      <c r="J393" s="15"/>
    </row>
    <row r="394" customFormat="false" ht="15" hidden="false" customHeight="false" outlineLevel="0" collapsed="false">
      <c r="A394" s="26"/>
      <c r="B394" s="15"/>
      <c r="C394" s="15"/>
      <c r="D394" s="27"/>
      <c r="E394" s="15"/>
      <c r="F394" s="28"/>
      <c r="G394" s="25" t="str">
        <f aca="true">IF(OR(D394="",E394=""),"",IFERROR(D394*INDEX(UnidadesFactor,MATCH(E394,Unidades,0)),""))</f>
        <v/>
      </c>
      <c r="H394" s="17" t="str">
        <f aca="false">IF(I394&lt;&gt;"OK","",IF(G394=0,"",F394/G394))</f>
        <v/>
      </c>
      <c r="I394" s="20" t="str">
        <f aca="true">IF(B394="","",IF(ISNA(MATCH(B394,ListaInsumos,0)),"Insumo no está en Insumos",IF(OR(D394="",E394="",F394=""),"Faltan datos",IF(INDEX(UnidadesBase,MATCH(E394,Unidades,0))&lt;&gt;INDEX(InsBase,MATCH(B394,ListaInsumos,0)),"Unidad incompatible",IF(A394="","Falta fecha","OK")))))</f>
        <v/>
      </c>
      <c r="J394" s="15"/>
    </row>
    <row r="395" customFormat="false" ht="15" hidden="false" customHeight="false" outlineLevel="0" collapsed="false">
      <c r="A395" s="26"/>
      <c r="B395" s="15"/>
      <c r="C395" s="15"/>
      <c r="D395" s="27"/>
      <c r="E395" s="15"/>
      <c r="F395" s="28"/>
      <c r="G395" s="25" t="str">
        <f aca="true">IF(OR(D395="",E395=""),"",IFERROR(D395*INDEX(UnidadesFactor,MATCH(E395,Unidades,0)),""))</f>
        <v/>
      </c>
      <c r="H395" s="17" t="str">
        <f aca="false">IF(I395&lt;&gt;"OK","",IF(G395=0,"",F395/G395))</f>
        <v/>
      </c>
      <c r="I395" s="20" t="str">
        <f aca="true">IF(B395="","",IF(ISNA(MATCH(B395,ListaInsumos,0)),"Insumo no está en Insumos",IF(OR(D395="",E395="",F395=""),"Faltan datos",IF(INDEX(UnidadesBase,MATCH(E395,Unidades,0))&lt;&gt;INDEX(InsBase,MATCH(B395,ListaInsumos,0)),"Unidad incompatible",IF(A395="","Falta fecha","OK")))))</f>
        <v/>
      </c>
      <c r="J395" s="15"/>
    </row>
    <row r="396" customFormat="false" ht="15" hidden="false" customHeight="false" outlineLevel="0" collapsed="false">
      <c r="A396" s="26"/>
      <c r="B396" s="15"/>
      <c r="C396" s="15"/>
      <c r="D396" s="27"/>
      <c r="E396" s="15"/>
      <c r="F396" s="28"/>
      <c r="G396" s="25" t="str">
        <f aca="true">IF(OR(D396="",E396=""),"",IFERROR(D396*INDEX(UnidadesFactor,MATCH(E396,Unidades,0)),""))</f>
        <v/>
      </c>
      <c r="H396" s="17" t="str">
        <f aca="false">IF(I396&lt;&gt;"OK","",IF(G396=0,"",F396/G396))</f>
        <v/>
      </c>
      <c r="I396" s="20" t="str">
        <f aca="true">IF(B396="","",IF(ISNA(MATCH(B396,ListaInsumos,0)),"Insumo no está en Insumos",IF(OR(D396="",E396="",F396=""),"Faltan datos",IF(INDEX(UnidadesBase,MATCH(E396,Unidades,0))&lt;&gt;INDEX(InsBase,MATCH(B396,ListaInsumos,0)),"Unidad incompatible",IF(A396="","Falta fecha","OK")))))</f>
        <v/>
      </c>
      <c r="J396" s="15"/>
    </row>
    <row r="397" customFormat="false" ht="15" hidden="false" customHeight="false" outlineLevel="0" collapsed="false">
      <c r="A397" s="26"/>
      <c r="B397" s="15"/>
      <c r="C397" s="15"/>
      <c r="D397" s="27"/>
      <c r="E397" s="15"/>
      <c r="F397" s="28"/>
      <c r="G397" s="25" t="str">
        <f aca="true">IF(OR(D397="",E397=""),"",IFERROR(D397*INDEX(UnidadesFactor,MATCH(E397,Unidades,0)),""))</f>
        <v/>
      </c>
      <c r="H397" s="17" t="str">
        <f aca="false">IF(I397&lt;&gt;"OK","",IF(G397=0,"",F397/G397))</f>
        <v/>
      </c>
      <c r="I397" s="20" t="str">
        <f aca="true">IF(B397="","",IF(ISNA(MATCH(B397,ListaInsumos,0)),"Insumo no está en Insumos",IF(OR(D397="",E397="",F397=""),"Faltan datos",IF(INDEX(UnidadesBase,MATCH(E397,Unidades,0))&lt;&gt;INDEX(InsBase,MATCH(B397,ListaInsumos,0)),"Unidad incompatible",IF(A397="","Falta fecha","OK")))))</f>
        <v/>
      </c>
      <c r="J397" s="15"/>
    </row>
    <row r="398" customFormat="false" ht="15" hidden="false" customHeight="false" outlineLevel="0" collapsed="false">
      <c r="A398" s="26"/>
      <c r="B398" s="15"/>
      <c r="C398" s="15"/>
      <c r="D398" s="27"/>
      <c r="E398" s="15"/>
      <c r="F398" s="28"/>
      <c r="G398" s="25" t="str">
        <f aca="true">IF(OR(D398="",E398=""),"",IFERROR(D398*INDEX(UnidadesFactor,MATCH(E398,Unidades,0)),""))</f>
        <v/>
      </c>
      <c r="H398" s="17" t="str">
        <f aca="false">IF(I398&lt;&gt;"OK","",IF(G398=0,"",F398/G398))</f>
        <v/>
      </c>
      <c r="I398" s="20" t="str">
        <f aca="true">IF(B398="","",IF(ISNA(MATCH(B398,ListaInsumos,0)),"Insumo no está en Insumos",IF(OR(D398="",E398="",F398=""),"Faltan datos",IF(INDEX(UnidadesBase,MATCH(E398,Unidades,0))&lt;&gt;INDEX(InsBase,MATCH(B398,ListaInsumos,0)),"Unidad incompatible",IF(A398="","Falta fecha","OK")))))</f>
        <v/>
      </c>
      <c r="J398" s="15"/>
    </row>
    <row r="399" customFormat="false" ht="15" hidden="false" customHeight="false" outlineLevel="0" collapsed="false">
      <c r="A399" s="26"/>
      <c r="B399" s="15"/>
      <c r="C399" s="15"/>
      <c r="D399" s="27"/>
      <c r="E399" s="15"/>
      <c r="F399" s="28"/>
      <c r="G399" s="25" t="str">
        <f aca="true">IF(OR(D399="",E399=""),"",IFERROR(D399*INDEX(UnidadesFactor,MATCH(E399,Unidades,0)),""))</f>
        <v/>
      </c>
      <c r="H399" s="17" t="str">
        <f aca="false">IF(I399&lt;&gt;"OK","",IF(G399=0,"",F399/G399))</f>
        <v/>
      </c>
      <c r="I399" s="20" t="str">
        <f aca="true">IF(B399="","",IF(ISNA(MATCH(B399,ListaInsumos,0)),"Insumo no está en Insumos",IF(OR(D399="",E399="",F399=""),"Faltan datos",IF(INDEX(UnidadesBase,MATCH(E399,Unidades,0))&lt;&gt;INDEX(InsBase,MATCH(B399,ListaInsumos,0)),"Unidad incompatible",IF(A399="","Falta fecha","OK")))))</f>
        <v/>
      </c>
      <c r="J399" s="15"/>
    </row>
    <row r="400" customFormat="false" ht="15" hidden="false" customHeight="false" outlineLevel="0" collapsed="false">
      <c r="A400" s="26"/>
      <c r="B400" s="15"/>
      <c r="C400" s="15"/>
      <c r="D400" s="27"/>
      <c r="E400" s="15"/>
      <c r="F400" s="28"/>
      <c r="G400" s="25" t="str">
        <f aca="true">IF(OR(D400="",E400=""),"",IFERROR(D400*INDEX(UnidadesFactor,MATCH(E400,Unidades,0)),""))</f>
        <v/>
      </c>
      <c r="H400" s="17" t="str">
        <f aca="false">IF(I400&lt;&gt;"OK","",IF(G400=0,"",F400/G400))</f>
        <v/>
      </c>
      <c r="I400" s="20" t="str">
        <f aca="true">IF(B400="","",IF(ISNA(MATCH(B400,ListaInsumos,0)),"Insumo no está en Insumos",IF(OR(D400="",E400="",F400=""),"Faltan datos",IF(INDEX(UnidadesBase,MATCH(E400,Unidades,0))&lt;&gt;INDEX(InsBase,MATCH(B400,ListaInsumos,0)),"Unidad incompatible",IF(A400="","Falta fecha","OK")))))</f>
        <v/>
      </c>
      <c r="J400" s="15"/>
    </row>
    <row r="401" customFormat="false" ht="15" hidden="false" customHeight="false" outlineLevel="0" collapsed="false">
      <c r="A401" s="26"/>
      <c r="B401" s="15"/>
      <c r="C401" s="15"/>
      <c r="D401" s="27"/>
      <c r="E401" s="15"/>
      <c r="F401" s="28"/>
      <c r="G401" s="25" t="str">
        <f aca="true">IF(OR(D401="",E401=""),"",IFERROR(D401*INDEX(UnidadesFactor,MATCH(E401,Unidades,0)),""))</f>
        <v/>
      </c>
      <c r="H401" s="17" t="str">
        <f aca="false">IF(I401&lt;&gt;"OK","",IF(G401=0,"",F401/G401))</f>
        <v/>
      </c>
      <c r="I401" s="20" t="str">
        <f aca="true">IF(B401="","",IF(ISNA(MATCH(B401,ListaInsumos,0)),"Insumo no está en Insumos",IF(OR(D401="",E401="",F401=""),"Faltan datos",IF(INDEX(UnidadesBase,MATCH(E401,Unidades,0))&lt;&gt;INDEX(InsBase,MATCH(B401,ListaInsumos,0)),"Unidad incompatible",IF(A401="","Falta fecha","OK")))))</f>
        <v/>
      </c>
      <c r="J401" s="15"/>
    </row>
    <row r="402" customFormat="false" ht="15" hidden="false" customHeight="false" outlineLevel="0" collapsed="false">
      <c r="A402" s="26"/>
      <c r="B402" s="15"/>
      <c r="C402" s="15"/>
      <c r="D402" s="27"/>
      <c r="E402" s="15"/>
      <c r="F402" s="28"/>
      <c r="G402" s="25" t="str">
        <f aca="true">IF(OR(D402="",E402=""),"",IFERROR(D402*INDEX(UnidadesFactor,MATCH(E402,Unidades,0)),""))</f>
        <v/>
      </c>
      <c r="H402" s="17" t="str">
        <f aca="false">IF(I402&lt;&gt;"OK","",IF(G402=0,"",F402/G402))</f>
        <v/>
      </c>
      <c r="I402" s="20" t="str">
        <f aca="true">IF(B402="","",IF(ISNA(MATCH(B402,ListaInsumos,0)),"Insumo no está en Insumos",IF(OR(D402="",E402="",F402=""),"Faltan datos",IF(INDEX(UnidadesBase,MATCH(E402,Unidades,0))&lt;&gt;INDEX(InsBase,MATCH(B402,ListaInsumos,0)),"Unidad incompatible",IF(A402="","Falta fecha","OK")))))</f>
        <v/>
      </c>
      <c r="J402" s="15"/>
    </row>
    <row r="403" customFormat="false" ht="15" hidden="false" customHeight="false" outlineLevel="0" collapsed="false">
      <c r="A403" s="26"/>
      <c r="B403" s="15"/>
      <c r="C403" s="15"/>
      <c r="D403" s="27"/>
      <c r="E403" s="15"/>
      <c r="F403" s="28"/>
      <c r="G403" s="25" t="str">
        <f aca="true">IF(OR(D403="",E403=""),"",IFERROR(D403*INDEX(UnidadesFactor,MATCH(E403,Unidades,0)),""))</f>
        <v/>
      </c>
      <c r="H403" s="17" t="str">
        <f aca="false">IF(I403&lt;&gt;"OK","",IF(G403=0,"",F403/G403))</f>
        <v/>
      </c>
      <c r="I403" s="20" t="str">
        <f aca="true">IF(B403="","",IF(ISNA(MATCH(B403,ListaInsumos,0)),"Insumo no está en Insumos",IF(OR(D403="",E403="",F403=""),"Faltan datos",IF(INDEX(UnidadesBase,MATCH(E403,Unidades,0))&lt;&gt;INDEX(InsBase,MATCH(B403,ListaInsumos,0)),"Unidad incompatible",IF(A403="","Falta fecha","OK")))))</f>
        <v/>
      </c>
      <c r="J403" s="15"/>
    </row>
    <row r="404" customFormat="false" ht="15" hidden="false" customHeight="false" outlineLevel="0" collapsed="false">
      <c r="A404" s="26"/>
      <c r="B404" s="15"/>
      <c r="C404" s="15"/>
      <c r="D404" s="27"/>
      <c r="E404" s="15"/>
      <c r="F404" s="28"/>
      <c r="G404" s="25" t="str">
        <f aca="true">IF(OR(D404="",E404=""),"",IFERROR(D404*INDEX(UnidadesFactor,MATCH(E404,Unidades,0)),""))</f>
        <v/>
      </c>
      <c r="H404" s="17" t="str">
        <f aca="false">IF(I404&lt;&gt;"OK","",IF(G404=0,"",F404/G404))</f>
        <v/>
      </c>
      <c r="I404" s="20" t="str">
        <f aca="true">IF(B404="","",IF(ISNA(MATCH(B404,ListaInsumos,0)),"Insumo no está en Insumos",IF(OR(D404="",E404="",F404=""),"Faltan datos",IF(INDEX(UnidadesBase,MATCH(E404,Unidades,0))&lt;&gt;INDEX(InsBase,MATCH(B404,ListaInsumos,0)),"Unidad incompatible",IF(A404="","Falta fecha","OK")))))</f>
        <v/>
      </c>
      <c r="J404" s="15"/>
    </row>
    <row r="405" customFormat="false" ht="15" hidden="false" customHeight="false" outlineLevel="0" collapsed="false">
      <c r="A405" s="26"/>
      <c r="B405" s="15"/>
      <c r="C405" s="15"/>
      <c r="D405" s="27"/>
      <c r="E405" s="15"/>
      <c r="F405" s="28"/>
      <c r="G405" s="25" t="str">
        <f aca="true">IF(OR(D405="",E405=""),"",IFERROR(D405*INDEX(UnidadesFactor,MATCH(E405,Unidades,0)),""))</f>
        <v/>
      </c>
      <c r="H405" s="17" t="str">
        <f aca="false">IF(I405&lt;&gt;"OK","",IF(G405=0,"",F405/G405))</f>
        <v/>
      </c>
      <c r="I405" s="20" t="str">
        <f aca="true">IF(B405="","",IF(ISNA(MATCH(B405,ListaInsumos,0)),"Insumo no está en Insumos",IF(OR(D405="",E405="",F405=""),"Faltan datos",IF(INDEX(UnidadesBase,MATCH(E405,Unidades,0))&lt;&gt;INDEX(InsBase,MATCH(B405,ListaInsumos,0)),"Unidad incompatible",IF(A405="","Falta fecha","OK")))))</f>
        <v/>
      </c>
      <c r="J405" s="15"/>
    </row>
    <row r="406" customFormat="false" ht="15" hidden="false" customHeight="false" outlineLevel="0" collapsed="false">
      <c r="A406" s="26"/>
      <c r="B406" s="15"/>
      <c r="C406" s="15"/>
      <c r="D406" s="27"/>
      <c r="E406" s="15"/>
      <c r="F406" s="28"/>
      <c r="G406" s="25" t="str">
        <f aca="true">IF(OR(D406="",E406=""),"",IFERROR(D406*INDEX(UnidadesFactor,MATCH(E406,Unidades,0)),""))</f>
        <v/>
      </c>
      <c r="H406" s="17" t="str">
        <f aca="false">IF(I406&lt;&gt;"OK","",IF(G406=0,"",F406/G406))</f>
        <v/>
      </c>
      <c r="I406" s="20" t="str">
        <f aca="true">IF(B406="","",IF(ISNA(MATCH(B406,ListaInsumos,0)),"Insumo no está en Insumos",IF(OR(D406="",E406="",F406=""),"Faltan datos",IF(INDEX(UnidadesBase,MATCH(E406,Unidades,0))&lt;&gt;INDEX(InsBase,MATCH(B406,ListaInsumos,0)),"Unidad incompatible",IF(A406="","Falta fecha","OK")))))</f>
        <v/>
      </c>
      <c r="J406" s="15"/>
    </row>
    <row r="407" customFormat="false" ht="15" hidden="false" customHeight="false" outlineLevel="0" collapsed="false">
      <c r="A407" s="26"/>
      <c r="B407" s="15"/>
      <c r="C407" s="15"/>
      <c r="D407" s="27"/>
      <c r="E407" s="15"/>
      <c r="F407" s="28"/>
      <c r="G407" s="25" t="str">
        <f aca="true">IF(OR(D407="",E407=""),"",IFERROR(D407*INDEX(UnidadesFactor,MATCH(E407,Unidades,0)),""))</f>
        <v/>
      </c>
      <c r="H407" s="17" t="str">
        <f aca="false">IF(I407&lt;&gt;"OK","",IF(G407=0,"",F407/G407))</f>
        <v/>
      </c>
      <c r="I407" s="20" t="str">
        <f aca="true">IF(B407="","",IF(ISNA(MATCH(B407,ListaInsumos,0)),"Insumo no está en Insumos",IF(OR(D407="",E407="",F407=""),"Faltan datos",IF(INDEX(UnidadesBase,MATCH(E407,Unidades,0))&lt;&gt;INDEX(InsBase,MATCH(B407,ListaInsumos,0)),"Unidad incompatible",IF(A407="","Falta fecha","OK")))))</f>
        <v/>
      </c>
      <c r="J407" s="15"/>
    </row>
    <row r="408" customFormat="false" ht="15" hidden="false" customHeight="false" outlineLevel="0" collapsed="false">
      <c r="A408" s="26"/>
      <c r="B408" s="15"/>
      <c r="C408" s="15"/>
      <c r="D408" s="27"/>
      <c r="E408" s="15"/>
      <c r="F408" s="28"/>
      <c r="G408" s="25" t="str">
        <f aca="true">IF(OR(D408="",E408=""),"",IFERROR(D408*INDEX(UnidadesFactor,MATCH(E408,Unidades,0)),""))</f>
        <v/>
      </c>
      <c r="H408" s="17" t="str">
        <f aca="false">IF(I408&lt;&gt;"OK","",IF(G408=0,"",F408/G408))</f>
        <v/>
      </c>
      <c r="I408" s="20" t="str">
        <f aca="true">IF(B408="","",IF(ISNA(MATCH(B408,ListaInsumos,0)),"Insumo no está en Insumos",IF(OR(D408="",E408="",F408=""),"Faltan datos",IF(INDEX(UnidadesBase,MATCH(E408,Unidades,0))&lt;&gt;INDEX(InsBase,MATCH(B408,ListaInsumos,0)),"Unidad incompatible",IF(A408="","Falta fecha","OK")))))</f>
        <v/>
      </c>
      <c r="J408" s="15"/>
    </row>
    <row r="409" customFormat="false" ht="15" hidden="false" customHeight="false" outlineLevel="0" collapsed="false">
      <c r="A409" s="26"/>
      <c r="B409" s="15"/>
      <c r="C409" s="15"/>
      <c r="D409" s="27"/>
      <c r="E409" s="15"/>
      <c r="F409" s="28"/>
      <c r="G409" s="25" t="str">
        <f aca="true">IF(OR(D409="",E409=""),"",IFERROR(D409*INDEX(UnidadesFactor,MATCH(E409,Unidades,0)),""))</f>
        <v/>
      </c>
      <c r="H409" s="17" t="str">
        <f aca="false">IF(I409&lt;&gt;"OK","",IF(G409=0,"",F409/G409))</f>
        <v/>
      </c>
      <c r="I409" s="20" t="str">
        <f aca="true">IF(B409="","",IF(ISNA(MATCH(B409,ListaInsumos,0)),"Insumo no está en Insumos",IF(OR(D409="",E409="",F409=""),"Faltan datos",IF(INDEX(UnidadesBase,MATCH(E409,Unidades,0))&lt;&gt;INDEX(InsBase,MATCH(B409,ListaInsumos,0)),"Unidad incompatible",IF(A409="","Falta fecha","OK")))))</f>
        <v/>
      </c>
      <c r="J409" s="15"/>
    </row>
    <row r="410" customFormat="false" ht="15" hidden="false" customHeight="false" outlineLevel="0" collapsed="false">
      <c r="A410" s="26"/>
      <c r="B410" s="15"/>
      <c r="C410" s="15"/>
      <c r="D410" s="27"/>
      <c r="E410" s="15"/>
      <c r="F410" s="28"/>
      <c r="G410" s="25" t="str">
        <f aca="true">IF(OR(D410="",E410=""),"",IFERROR(D410*INDEX(UnidadesFactor,MATCH(E410,Unidades,0)),""))</f>
        <v/>
      </c>
      <c r="H410" s="17" t="str">
        <f aca="false">IF(I410&lt;&gt;"OK","",IF(G410=0,"",F410/G410))</f>
        <v/>
      </c>
      <c r="I410" s="20" t="str">
        <f aca="true">IF(B410="","",IF(ISNA(MATCH(B410,ListaInsumos,0)),"Insumo no está en Insumos",IF(OR(D410="",E410="",F410=""),"Faltan datos",IF(INDEX(UnidadesBase,MATCH(E410,Unidades,0))&lt;&gt;INDEX(InsBase,MATCH(B410,ListaInsumos,0)),"Unidad incompatible",IF(A410="","Falta fecha","OK")))))</f>
        <v/>
      </c>
      <c r="J410" s="15"/>
    </row>
    <row r="411" customFormat="false" ht="15" hidden="false" customHeight="false" outlineLevel="0" collapsed="false">
      <c r="A411" s="26"/>
      <c r="B411" s="15"/>
      <c r="C411" s="15"/>
      <c r="D411" s="27"/>
      <c r="E411" s="15"/>
      <c r="F411" s="28"/>
      <c r="G411" s="25" t="str">
        <f aca="true">IF(OR(D411="",E411=""),"",IFERROR(D411*INDEX(UnidadesFactor,MATCH(E411,Unidades,0)),""))</f>
        <v/>
      </c>
      <c r="H411" s="17" t="str">
        <f aca="false">IF(I411&lt;&gt;"OK","",IF(G411=0,"",F411/G411))</f>
        <v/>
      </c>
      <c r="I411" s="20" t="str">
        <f aca="true">IF(B411="","",IF(ISNA(MATCH(B411,ListaInsumos,0)),"Insumo no está en Insumos",IF(OR(D411="",E411="",F411=""),"Faltan datos",IF(INDEX(UnidadesBase,MATCH(E411,Unidades,0))&lt;&gt;INDEX(InsBase,MATCH(B411,ListaInsumos,0)),"Unidad incompatible",IF(A411="","Falta fecha","OK")))))</f>
        <v/>
      </c>
      <c r="J411" s="15"/>
    </row>
    <row r="412" customFormat="false" ht="15" hidden="false" customHeight="false" outlineLevel="0" collapsed="false">
      <c r="A412" s="26"/>
      <c r="B412" s="15"/>
      <c r="C412" s="15"/>
      <c r="D412" s="27"/>
      <c r="E412" s="15"/>
      <c r="F412" s="28"/>
      <c r="G412" s="25" t="str">
        <f aca="true">IF(OR(D412="",E412=""),"",IFERROR(D412*INDEX(UnidadesFactor,MATCH(E412,Unidades,0)),""))</f>
        <v/>
      </c>
      <c r="H412" s="17" t="str">
        <f aca="false">IF(I412&lt;&gt;"OK","",IF(G412=0,"",F412/G412))</f>
        <v/>
      </c>
      <c r="I412" s="20" t="str">
        <f aca="true">IF(B412="","",IF(ISNA(MATCH(B412,ListaInsumos,0)),"Insumo no está en Insumos",IF(OR(D412="",E412="",F412=""),"Faltan datos",IF(INDEX(UnidadesBase,MATCH(E412,Unidades,0))&lt;&gt;INDEX(InsBase,MATCH(B412,ListaInsumos,0)),"Unidad incompatible",IF(A412="","Falta fecha","OK")))))</f>
        <v/>
      </c>
      <c r="J412" s="15"/>
    </row>
    <row r="413" customFormat="false" ht="15" hidden="false" customHeight="false" outlineLevel="0" collapsed="false">
      <c r="A413" s="26"/>
      <c r="B413" s="15"/>
      <c r="C413" s="15"/>
      <c r="D413" s="27"/>
      <c r="E413" s="15"/>
      <c r="F413" s="28"/>
      <c r="G413" s="25" t="str">
        <f aca="true">IF(OR(D413="",E413=""),"",IFERROR(D413*INDEX(UnidadesFactor,MATCH(E413,Unidades,0)),""))</f>
        <v/>
      </c>
      <c r="H413" s="17" t="str">
        <f aca="false">IF(I413&lt;&gt;"OK","",IF(G413=0,"",F413/G413))</f>
        <v/>
      </c>
      <c r="I413" s="20" t="str">
        <f aca="true">IF(B413="","",IF(ISNA(MATCH(B413,ListaInsumos,0)),"Insumo no está en Insumos",IF(OR(D413="",E413="",F413=""),"Faltan datos",IF(INDEX(UnidadesBase,MATCH(E413,Unidades,0))&lt;&gt;INDEX(InsBase,MATCH(B413,ListaInsumos,0)),"Unidad incompatible",IF(A413="","Falta fecha","OK")))))</f>
        <v/>
      </c>
      <c r="J413" s="15"/>
    </row>
    <row r="414" customFormat="false" ht="15" hidden="false" customHeight="false" outlineLevel="0" collapsed="false">
      <c r="A414" s="26"/>
      <c r="B414" s="15"/>
      <c r="C414" s="15"/>
      <c r="D414" s="27"/>
      <c r="E414" s="15"/>
      <c r="F414" s="28"/>
      <c r="G414" s="25" t="str">
        <f aca="true">IF(OR(D414="",E414=""),"",IFERROR(D414*INDEX(UnidadesFactor,MATCH(E414,Unidades,0)),""))</f>
        <v/>
      </c>
      <c r="H414" s="17" t="str">
        <f aca="false">IF(I414&lt;&gt;"OK","",IF(G414=0,"",F414/G414))</f>
        <v/>
      </c>
      <c r="I414" s="20" t="str">
        <f aca="true">IF(B414="","",IF(ISNA(MATCH(B414,ListaInsumos,0)),"Insumo no está en Insumos",IF(OR(D414="",E414="",F414=""),"Faltan datos",IF(INDEX(UnidadesBase,MATCH(E414,Unidades,0))&lt;&gt;INDEX(InsBase,MATCH(B414,ListaInsumos,0)),"Unidad incompatible",IF(A414="","Falta fecha","OK")))))</f>
        <v/>
      </c>
      <c r="J414" s="15"/>
    </row>
    <row r="415" customFormat="false" ht="15" hidden="false" customHeight="false" outlineLevel="0" collapsed="false">
      <c r="A415" s="26"/>
      <c r="B415" s="15"/>
      <c r="C415" s="15"/>
      <c r="D415" s="27"/>
      <c r="E415" s="15"/>
      <c r="F415" s="28"/>
      <c r="G415" s="25" t="str">
        <f aca="true">IF(OR(D415="",E415=""),"",IFERROR(D415*INDEX(UnidadesFactor,MATCH(E415,Unidades,0)),""))</f>
        <v/>
      </c>
      <c r="H415" s="17" t="str">
        <f aca="false">IF(I415&lt;&gt;"OK","",IF(G415=0,"",F415/G415))</f>
        <v/>
      </c>
      <c r="I415" s="20" t="str">
        <f aca="true">IF(B415="","",IF(ISNA(MATCH(B415,ListaInsumos,0)),"Insumo no está en Insumos",IF(OR(D415="",E415="",F415=""),"Faltan datos",IF(INDEX(UnidadesBase,MATCH(E415,Unidades,0))&lt;&gt;INDEX(InsBase,MATCH(B415,ListaInsumos,0)),"Unidad incompatible",IF(A415="","Falta fecha","OK")))))</f>
        <v/>
      </c>
      <c r="J415" s="15"/>
    </row>
    <row r="416" customFormat="false" ht="15" hidden="false" customHeight="false" outlineLevel="0" collapsed="false">
      <c r="A416" s="26"/>
      <c r="B416" s="15"/>
      <c r="C416" s="15"/>
      <c r="D416" s="27"/>
      <c r="E416" s="15"/>
      <c r="F416" s="28"/>
      <c r="G416" s="25" t="str">
        <f aca="true">IF(OR(D416="",E416=""),"",IFERROR(D416*INDEX(UnidadesFactor,MATCH(E416,Unidades,0)),""))</f>
        <v/>
      </c>
      <c r="H416" s="17" t="str">
        <f aca="false">IF(I416&lt;&gt;"OK","",IF(G416=0,"",F416/G416))</f>
        <v/>
      </c>
      <c r="I416" s="20" t="str">
        <f aca="true">IF(B416="","",IF(ISNA(MATCH(B416,ListaInsumos,0)),"Insumo no está en Insumos",IF(OR(D416="",E416="",F416=""),"Faltan datos",IF(INDEX(UnidadesBase,MATCH(E416,Unidades,0))&lt;&gt;INDEX(InsBase,MATCH(B416,ListaInsumos,0)),"Unidad incompatible",IF(A416="","Falta fecha","OK")))))</f>
        <v/>
      </c>
      <c r="J416" s="15"/>
    </row>
    <row r="417" customFormat="false" ht="15" hidden="false" customHeight="false" outlineLevel="0" collapsed="false">
      <c r="A417" s="26"/>
      <c r="B417" s="15"/>
      <c r="C417" s="15"/>
      <c r="D417" s="27"/>
      <c r="E417" s="15"/>
      <c r="F417" s="28"/>
      <c r="G417" s="25" t="str">
        <f aca="true">IF(OR(D417="",E417=""),"",IFERROR(D417*INDEX(UnidadesFactor,MATCH(E417,Unidades,0)),""))</f>
        <v/>
      </c>
      <c r="H417" s="17" t="str">
        <f aca="false">IF(I417&lt;&gt;"OK","",IF(G417=0,"",F417/G417))</f>
        <v/>
      </c>
      <c r="I417" s="20" t="str">
        <f aca="true">IF(B417="","",IF(ISNA(MATCH(B417,ListaInsumos,0)),"Insumo no está en Insumos",IF(OR(D417="",E417="",F417=""),"Faltan datos",IF(INDEX(UnidadesBase,MATCH(E417,Unidades,0))&lt;&gt;INDEX(InsBase,MATCH(B417,ListaInsumos,0)),"Unidad incompatible",IF(A417="","Falta fecha","OK")))))</f>
        <v/>
      </c>
      <c r="J417" s="15"/>
    </row>
    <row r="418" customFormat="false" ht="15" hidden="false" customHeight="false" outlineLevel="0" collapsed="false">
      <c r="A418" s="26"/>
      <c r="B418" s="15"/>
      <c r="C418" s="15"/>
      <c r="D418" s="27"/>
      <c r="E418" s="15"/>
      <c r="F418" s="28"/>
      <c r="G418" s="25" t="str">
        <f aca="true">IF(OR(D418="",E418=""),"",IFERROR(D418*INDEX(UnidadesFactor,MATCH(E418,Unidades,0)),""))</f>
        <v/>
      </c>
      <c r="H418" s="17" t="str">
        <f aca="false">IF(I418&lt;&gt;"OK","",IF(G418=0,"",F418/G418))</f>
        <v/>
      </c>
      <c r="I418" s="20" t="str">
        <f aca="true">IF(B418="","",IF(ISNA(MATCH(B418,ListaInsumos,0)),"Insumo no está en Insumos",IF(OR(D418="",E418="",F418=""),"Faltan datos",IF(INDEX(UnidadesBase,MATCH(E418,Unidades,0))&lt;&gt;INDEX(InsBase,MATCH(B418,ListaInsumos,0)),"Unidad incompatible",IF(A418="","Falta fecha","OK")))))</f>
        <v/>
      </c>
      <c r="J418" s="15"/>
    </row>
    <row r="419" customFormat="false" ht="15" hidden="false" customHeight="false" outlineLevel="0" collapsed="false">
      <c r="A419" s="26"/>
      <c r="B419" s="15"/>
      <c r="C419" s="15"/>
      <c r="D419" s="27"/>
      <c r="E419" s="15"/>
      <c r="F419" s="28"/>
      <c r="G419" s="25" t="str">
        <f aca="true">IF(OR(D419="",E419=""),"",IFERROR(D419*INDEX(UnidadesFactor,MATCH(E419,Unidades,0)),""))</f>
        <v/>
      </c>
      <c r="H419" s="17" t="str">
        <f aca="false">IF(I419&lt;&gt;"OK","",IF(G419=0,"",F419/G419))</f>
        <v/>
      </c>
      <c r="I419" s="20" t="str">
        <f aca="true">IF(B419="","",IF(ISNA(MATCH(B419,ListaInsumos,0)),"Insumo no está en Insumos",IF(OR(D419="",E419="",F419=""),"Faltan datos",IF(INDEX(UnidadesBase,MATCH(E419,Unidades,0))&lt;&gt;INDEX(InsBase,MATCH(B419,ListaInsumos,0)),"Unidad incompatible",IF(A419="","Falta fecha","OK")))))</f>
        <v/>
      </c>
      <c r="J419" s="15"/>
    </row>
    <row r="420" customFormat="false" ht="15" hidden="false" customHeight="false" outlineLevel="0" collapsed="false">
      <c r="A420" s="26"/>
      <c r="B420" s="15"/>
      <c r="C420" s="15"/>
      <c r="D420" s="27"/>
      <c r="E420" s="15"/>
      <c r="F420" s="28"/>
      <c r="G420" s="25" t="str">
        <f aca="true">IF(OR(D420="",E420=""),"",IFERROR(D420*INDEX(UnidadesFactor,MATCH(E420,Unidades,0)),""))</f>
        <v/>
      </c>
      <c r="H420" s="17" t="str">
        <f aca="false">IF(I420&lt;&gt;"OK","",IF(G420=0,"",F420/G420))</f>
        <v/>
      </c>
      <c r="I420" s="20" t="str">
        <f aca="true">IF(B420="","",IF(ISNA(MATCH(B420,ListaInsumos,0)),"Insumo no está en Insumos",IF(OR(D420="",E420="",F420=""),"Faltan datos",IF(INDEX(UnidadesBase,MATCH(E420,Unidades,0))&lt;&gt;INDEX(InsBase,MATCH(B420,ListaInsumos,0)),"Unidad incompatible",IF(A420="","Falta fecha","OK")))))</f>
        <v/>
      </c>
      <c r="J420" s="15"/>
    </row>
    <row r="421" customFormat="false" ht="15" hidden="false" customHeight="false" outlineLevel="0" collapsed="false">
      <c r="A421" s="26"/>
      <c r="B421" s="15"/>
      <c r="C421" s="15"/>
      <c r="D421" s="27"/>
      <c r="E421" s="15"/>
      <c r="F421" s="28"/>
      <c r="G421" s="25" t="str">
        <f aca="true">IF(OR(D421="",E421=""),"",IFERROR(D421*INDEX(UnidadesFactor,MATCH(E421,Unidades,0)),""))</f>
        <v/>
      </c>
      <c r="H421" s="17" t="str">
        <f aca="false">IF(I421&lt;&gt;"OK","",IF(G421=0,"",F421/G421))</f>
        <v/>
      </c>
      <c r="I421" s="20" t="str">
        <f aca="true">IF(B421="","",IF(ISNA(MATCH(B421,ListaInsumos,0)),"Insumo no está en Insumos",IF(OR(D421="",E421="",F421=""),"Faltan datos",IF(INDEX(UnidadesBase,MATCH(E421,Unidades,0))&lt;&gt;INDEX(InsBase,MATCH(B421,ListaInsumos,0)),"Unidad incompatible",IF(A421="","Falta fecha","OK")))))</f>
        <v/>
      </c>
      <c r="J421" s="15"/>
    </row>
    <row r="422" customFormat="false" ht="15" hidden="false" customHeight="false" outlineLevel="0" collapsed="false">
      <c r="A422" s="26"/>
      <c r="B422" s="15"/>
      <c r="C422" s="15"/>
      <c r="D422" s="27"/>
      <c r="E422" s="15"/>
      <c r="F422" s="28"/>
      <c r="G422" s="25" t="str">
        <f aca="true">IF(OR(D422="",E422=""),"",IFERROR(D422*INDEX(UnidadesFactor,MATCH(E422,Unidades,0)),""))</f>
        <v/>
      </c>
      <c r="H422" s="17" t="str">
        <f aca="false">IF(I422&lt;&gt;"OK","",IF(G422=0,"",F422/G422))</f>
        <v/>
      </c>
      <c r="I422" s="20" t="str">
        <f aca="true">IF(B422="","",IF(ISNA(MATCH(B422,ListaInsumos,0)),"Insumo no está en Insumos",IF(OR(D422="",E422="",F422=""),"Faltan datos",IF(INDEX(UnidadesBase,MATCH(E422,Unidades,0))&lt;&gt;INDEX(InsBase,MATCH(B422,ListaInsumos,0)),"Unidad incompatible",IF(A422="","Falta fecha","OK")))))</f>
        <v/>
      </c>
      <c r="J422" s="15"/>
    </row>
    <row r="423" customFormat="false" ht="15" hidden="false" customHeight="false" outlineLevel="0" collapsed="false">
      <c r="A423" s="26"/>
      <c r="B423" s="15"/>
      <c r="C423" s="15"/>
      <c r="D423" s="27"/>
      <c r="E423" s="15"/>
      <c r="F423" s="28"/>
      <c r="G423" s="25" t="str">
        <f aca="true">IF(OR(D423="",E423=""),"",IFERROR(D423*INDEX(UnidadesFactor,MATCH(E423,Unidades,0)),""))</f>
        <v/>
      </c>
      <c r="H423" s="17" t="str">
        <f aca="false">IF(I423&lt;&gt;"OK","",IF(G423=0,"",F423/G423))</f>
        <v/>
      </c>
      <c r="I423" s="20" t="str">
        <f aca="true">IF(B423="","",IF(ISNA(MATCH(B423,ListaInsumos,0)),"Insumo no está en Insumos",IF(OR(D423="",E423="",F423=""),"Faltan datos",IF(INDEX(UnidadesBase,MATCH(E423,Unidades,0))&lt;&gt;INDEX(InsBase,MATCH(B423,ListaInsumos,0)),"Unidad incompatible",IF(A423="","Falta fecha","OK")))))</f>
        <v/>
      </c>
      <c r="J423" s="15"/>
    </row>
    <row r="424" customFormat="false" ht="15" hidden="false" customHeight="false" outlineLevel="0" collapsed="false">
      <c r="A424" s="26"/>
      <c r="B424" s="15"/>
      <c r="C424" s="15"/>
      <c r="D424" s="27"/>
      <c r="E424" s="15"/>
      <c r="F424" s="28"/>
      <c r="G424" s="25" t="str">
        <f aca="true">IF(OR(D424="",E424=""),"",IFERROR(D424*INDEX(UnidadesFactor,MATCH(E424,Unidades,0)),""))</f>
        <v/>
      </c>
      <c r="H424" s="17" t="str">
        <f aca="false">IF(I424&lt;&gt;"OK","",IF(G424=0,"",F424/G424))</f>
        <v/>
      </c>
      <c r="I424" s="20" t="str">
        <f aca="true">IF(B424="","",IF(ISNA(MATCH(B424,ListaInsumos,0)),"Insumo no está en Insumos",IF(OR(D424="",E424="",F424=""),"Faltan datos",IF(INDEX(UnidadesBase,MATCH(E424,Unidades,0))&lt;&gt;INDEX(InsBase,MATCH(B424,ListaInsumos,0)),"Unidad incompatible",IF(A424="","Falta fecha","OK")))))</f>
        <v/>
      </c>
      <c r="J424" s="15"/>
    </row>
    <row r="425" customFormat="false" ht="15" hidden="false" customHeight="false" outlineLevel="0" collapsed="false">
      <c r="A425" s="26"/>
      <c r="B425" s="15"/>
      <c r="C425" s="15"/>
      <c r="D425" s="27"/>
      <c r="E425" s="15"/>
      <c r="F425" s="28"/>
      <c r="G425" s="25" t="str">
        <f aca="true">IF(OR(D425="",E425=""),"",IFERROR(D425*INDEX(UnidadesFactor,MATCH(E425,Unidades,0)),""))</f>
        <v/>
      </c>
      <c r="H425" s="17" t="str">
        <f aca="false">IF(I425&lt;&gt;"OK","",IF(G425=0,"",F425/G425))</f>
        <v/>
      </c>
      <c r="I425" s="20" t="str">
        <f aca="true">IF(B425="","",IF(ISNA(MATCH(B425,ListaInsumos,0)),"Insumo no está en Insumos",IF(OR(D425="",E425="",F425=""),"Faltan datos",IF(INDEX(UnidadesBase,MATCH(E425,Unidades,0))&lt;&gt;INDEX(InsBase,MATCH(B425,ListaInsumos,0)),"Unidad incompatible",IF(A425="","Falta fecha","OK")))))</f>
        <v/>
      </c>
      <c r="J425" s="15"/>
    </row>
    <row r="426" customFormat="false" ht="15" hidden="false" customHeight="false" outlineLevel="0" collapsed="false">
      <c r="A426" s="26"/>
      <c r="B426" s="15"/>
      <c r="C426" s="15"/>
      <c r="D426" s="27"/>
      <c r="E426" s="15"/>
      <c r="F426" s="28"/>
      <c r="G426" s="25" t="str">
        <f aca="true">IF(OR(D426="",E426=""),"",IFERROR(D426*INDEX(UnidadesFactor,MATCH(E426,Unidades,0)),""))</f>
        <v/>
      </c>
      <c r="H426" s="17" t="str">
        <f aca="false">IF(I426&lt;&gt;"OK","",IF(G426=0,"",F426/G426))</f>
        <v/>
      </c>
      <c r="I426" s="20" t="str">
        <f aca="true">IF(B426="","",IF(ISNA(MATCH(B426,ListaInsumos,0)),"Insumo no está en Insumos",IF(OR(D426="",E426="",F426=""),"Faltan datos",IF(INDEX(UnidadesBase,MATCH(E426,Unidades,0))&lt;&gt;INDEX(InsBase,MATCH(B426,ListaInsumos,0)),"Unidad incompatible",IF(A426="","Falta fecha","OK")))))</f>
        <v/>
      </c>
      <c r="J426" s="15"/>
    </row>
    <row r="427" customFormat="false" ht="15" hidden="false" customHeight="false" outlineLevel="0" collapsed="false">
      <c r="A427" s="26"/>
      <c r="B427" s="15"/>
      <c r="C427" s="15"/>
      <c r="D427" s="27"/>
      <c r="E427" s="15"/>
      <c r="F427" s="28"/>
      <c r="G427" s="25" t="str">
        <f aca="true">IF(OR(D427="",E427=""),"",IFERROR(D427*INDEX(UnidadesFactor,MATCH(E427,Unidades,0)),""))</f>
        <v/>
      </c>
      <c r="H427" s="17" t="str">
        <f aca="false">IF(I427&lt;&gt;"OK","",IF(G427=0,"",F427/G427))</f>
        <v/>
      </c>
      <c r="I427" s="20" t="str">
        <f aca="true">IF(B427="","",IF(ISNA(MATCH(B427,ListaInsumos,0)),"Insumo no está en Insumos",IF(OR(D427="",E427="",F427=""),"Faltan datos",IF(INDEX(UnidadesBase,MATCH(E427,Unidades,0))&lt;&gt;INDEX(InsBase,MATCH(B427,ListaInsumos,0)),"Unidad incompatible",IF(A427="","Falta fecha","OK")))))</f>
        <v/>
      </c>
      <c r="J427" s="15"/>
    </row>
    <row r="428" customFormat="false" ht="15" hidden="false" customHeight="false" outlineLevel="0" collapsed="false">
      <c r="A428" s="26"/>
      <c r="B428" s="15"/>
      <c r="C428" s="15"/>
      <c r="D428" s="27"/>
      <c r="E428" s="15"/>
      <c r="F428" s="28"/>
      <c r="G428" s="25" t="str">
        <f aca="true">IF(OR(D428="",E428=""),"",IFERROR(D428*INDEX(UnidadesFactor,MATCH(E428,Unidades,0)),""))</f>
        <v/>
      </c>
      <c r="H428" s="17" t="str">
        <f aca="false">IF(I428&lt;&gt;"OK","",IF(G428=0,"",F428/G428))</f>
        <v/>
      </c>
      <c r="I428" s="20" t="str">
        <f aca="true">IF(B428="","",IF(ISNA(MATCH(B428,ListaInsumos,0)),"Insumo no está en Insumos",IF(OR(D428="",E428="",F428=""),"Faltan datos",IF(INDEX(UnidadesBase,MATCH(E428,Unidades,0))&lt;&gt;INDEX(InsBase,MATCH(B428,ListaInsumos,0)),"Unidad incompatible",IF(A428="","Falta fecha","OK")))))</f>
        <v/>
      </c>
      <c r="J428" s="15"/>
    </row>
    <row r="429" customFormat="false" ht="15" hidden="false" customHeight="false" outlineLevel="0" collapsed="false">
      <c r="A429" s="26"/>
      <c r="B429" s="15"/>
      <c r="C429" s="15"/>
      <c r="D429" s="27"/>
      <c r="E429" s="15"/>
      <c r="F429" s="28"/>
      <c r="G429" s="25" t="str">
        <f aca="true">IF(OR(D429="",E429=""),"",IFERROR(D429*INDEX(UnidadesFactor,MATCH(E429,Unidades,0)),""))</f>
        <v/>
      </c>
      <c r="H429" s="17" t="str">
        <f aca="false">IF(I429&lt;&gt;"OK","",IF(G429=0,"",F429/G429))</f>
        <v/>
      </c>
      <c r="I429" s="20" t="str">
        <f aca="true">IF(B429="","",IF(ISNA(MATCH(B429,ListaInsumos,0)),"Insumo no está en Insumos",IF(OR(D429="",E429="",F429=""),"Faltan datos",IF(INDEX(UnidadesBase,MATCH(E429,Unidades,0))&lt;&gt;INDEX(InsBase,MATCH(B429,ListaInsumos,0)),"Unidad incompatible",IF(A429="","Falta fecha","OK")))))</f>
        <v/>
      </c>
      <c r="J429" s="15"/>
    </row>
    <row r="430" customFormat="false" ht="15" hidden="false" customHeight="false" outlineLevel="0" collapsed="false">
      <c r="A430" s="26"/>
      <c r="B430" s="15"/>
      <c r="C430" s="15"/>
      <c r="D430" s="27"/>
      <c r="E430" s="15"/>
      <c r="F430" s="28"/>
      <c r="G430" s="25" t="str">
        <f aca="true">IF(OR(D430="",E430=""),"",IFERROR(D430*INDEX(UnidadesFactor,MATCH(E430,Unidades,0)),""))</f>
        <v/>
      </c>
      <c r="H430" s="17" t="str">
        <f aca="false">IF(I430&lt;&gt;"OK","",IF(G430=0,"",F430/G430))</f>
        <v/>
      </c>
      <c r="I430" s="20" t="str">
        <f aca="true">IF(B430="","",IF(ISNA(MATCH(B430,ListaInsumos,0)),"Insumo no está en Insumos",IF(OR(D430="",E430="",F430=""),"Faltan datos",IF(INDEX(UnidadesBase,MATCH(E430,Unidades,0))&lt;&gt;INDEX(InsBase,MATCH(B430,ListaInsumos,0)),"Unidad incompatible",IF(A430="","Falta fecha","OK")))))</f>
        <v/>
      </c>
      <c r="J430" s="15"/>
    </row>
    <row r="431" customFormat="false" ht="15" hidden="false" customHeight="false" outlineLevel="0" collapsed="false">
      <c r="A431" s="26"/>
      <c r="B431" s="15"/>
      <c r="C431" s="15"/>
      <c r="D431" s="27"/>
      <c r="E431" s="15"/>
      <c r="F431" s="28"/>
      <c r="G431" s="25" t="str">
        <f aca="true">IF(OR(D431="",E431=""),"",IFERROR(D431*INDEX(UnidadesFactor,MATCH(E431,Unidades,0)),""))</f>
        <v/>
      </c>
      <c r="H431" s="17" t="str">
        <f aca="false">IF(I431&lt;&gt;"OK","",IF(G431=0,"",F431/G431))</f>
        <v/>
      </c>
      <c r="I431" s="20" t="str">
        <f aca="true">IF(B431="","",IF(ISNA(MATCH(B431,ListaInsumos,0)),"Insumo no está en Insumos",IF(OR(D431="",E431="",F431=""),"Faltan datos",IF(INDEX(UnidadesBase,MATCH(E431,Unidades,0))&lt;&gt;INDEX(InsBase,MATCH(B431,ListaInsumos,0)),"Unidad incompatible",IF(A431="","Falta fecha","OK")))))</f>
        <v/>
      </c>
      <c r="J431" s="15"/>
    </row>
    <row r="432" customFormat="false" ht="15" hidden="false" customHeight="false" outlineLevel="0" collapsed="false">
      <c r="A432" s="26"/>
      <c r="B432" s="15"/>
      <c r="C432" s="15"/>
      <c r="D432" s="27"/>
      <c r="E432" s="15"/>
      <c r="F432" s="28"/>
      <c r="G432" s="25" t="str">
        <f aca="true">IF(OR(D432="",E432=""),"",IFERROR(D432*INDEX(UnidadesFactor,MATCH(E432,Unidades,0)),""))</f>
        <v/>
      </c>
      <c r="H432" s="17" t="str">
        <f aca="false">IF(I432&lt;&gt;"OK","",IF(G432=0,"",F432/G432))</f>
        <v/>
      </c>
      <c r="I432" s="20" t="str">
        <f aca="true">IF(B432="","",IF(ISNA(MATCH(B432,ListaInsumos,0)),"Insumo no está en Insumos",IF(OR(D432="",E432="",F432=""),"Faltan datos",IF(INDEX(UnidadesBase,MATCH(E432,Unidades,0))&lt;&gt;INDEX(InsBase,MATCH(B432,ListaInsumos,0)),"Unidad incompatible",IF(A432="","Falta fecha","OK")))))</f>
        <v/>
      </c>
      <c r="J432" s="15"/>
    </row>
    <row r="433" customFormat="false" ht="15" hidden="false" customHeight="false" outlineLevel="0" collapsed="false">
      <c r="A433" s="26"/>
      <c r="B433" s="15"/>
      <c r="C433" s="15"/>
      <c r="D433" s="27"/>
      <c r="E433" s="15"/>
      <c r="F433" s="28"/>
      <c r="G433" s="25" t="str">
        <f aca="true">IF(OR(D433="",E433=""),"",IFERROR(D433*INDEX(UnidadesFactor,MATCH(E433,Unidades,0)),""))</f>
        <v/>
      </c>
      <c r="H433" s="17" t="str">
        <f aca="false">IF(I433&lt;&gt;"OK","",IF(G433=0,"",F433/G433))</f>
        <v/>
      </c>
      <c r="I433" s="20" t="str">
        <f aca="true">IF(B433="","",IF(ISNA(MATCH(B433,ListaInsumos,0)),"Insumo no está en Insumos",IF(OR(D433="",E433="",F433=""),"Faltan datos",IF(INDEX(UnidadesBase,MATCH(E433,Unidades,0))&lt;&gt;INDEX(InsBase,MATCH(B433,ListaInsumos,0)),"Unidad incompatible",IF(A433="","Falta fecha","OK")))))</f>
        <v/>
      </c>
      <c r="J433" s="15"/>
    </row>
    <row r="434" customFormat="false" ht="15" hidden="false" customHeight="false" outlineLevel="0" collapsed="false">
      <c r="A434" s="26"/>
      <c r="B434" s="15"/>
      <c r="C434" s="15"/>
      <c r="D434" s="27"/>
      <c r="E434" s="15"/>
      <c r="F434" s="28"/>
      <c r="G434" s="25" t="str">
        <f aca="true">IF(OR(D434="",E434=""),"",IFERROR(D434*INDEX(UnidadesFactor,MATCH(E434,Unidades,0)),""))</f>
        <v/>
      </c>
      <c r="H434" s="17" t="str">
        <f aca="false">IF(I434&lt;&gt;"OK","",IF(G434=0,"",F434/G434))</f>
        <v/>
      </c>
      <c r="I434" s="20" t="str">
        <f aca="true">IF(B434="","",IF(ISNA(MATCH(B434,ListaInsumos,0)),"Insumo no está en Insumos",IF(OR(D434="",E434="",F434=""),"Faltan datos",IF(INDEX(UnidadesBase,MATCH(E434,Unidades,0))&lt;&gt;INDEX(InsBase,MATCH(B434,ListaInsumos,0)),"Unidad incompatible",IF(A434="","Falta fecha","OK")))))</f>
        <v/>
      </c>
      <c r="J434" s="15"/>
    </row>
    <row r="435" customFormat="false" ht="15" hidden="false" customHeight="false" outlineLevel="0" collapsed="false">
      <c r="A435" s="26"/>
      <c r="B435" s="15"/>
      <c r="C435" s="15"/>
      <c r="D435" s="27"/>
      <c r="E435" s="15"/>
      <c r="F435" s="28"/>
      <c r="G435" s="25" t="str">
        <f aca="true">IF(OR(D435="",E435=""),"",IFERROR(D435*INDEX(UnidadesFactor,MATCH(E435,Unidades,0)),""))</f>
        <v/>
      </c>
      <c r="H435" s="17" t="str">
        <f aca="false">IF(I435&lt;&gt;"OK","",IF(G435=0,"",F435/G435))</f>
        <v/>
      </c>
      <c r="I435" s="20" t="str">
        <f aca="true">IF(B435="","",IF(ISNA(MATCH(B435,ListaInsumos,0)),"Insumo no está en Insumos",IF(OR(D435="",E435="",F435=""),"Faltan datos",IF(INDEX(UnidadesBase,MATCH(E435,Unidades,0))&lt;&gt;INDEX(InsBase,MATCH(B435,ListaInsumos,0)),"Unidad incompatible",IF(A435="","Falta fecha","OK")))))</f>
        <v/>
      </c>
      <c r="J435" s="15"/>
    </row>
    <row r="436" customFormat="false" ht="15" hidden="false" customHeight="false" outlineLevel="0" collapsed="false">
      <c r="A436" s="26"/>
      <c r="B436" s="15"/>
      <c r="C436" s="15"/>
      <c r="D436" s="27"/>
      <c r="E436" s="15"/>
      <c r="F436" s="28"/>
      <c r="G436" s="25" t="str">
        <f aca="true">IF(OR(D436="",E436=""),"",IFERROR(D436*INDEX(UnidadesFactor,MATCH(E436,Unidades,0)),""))</f>
        <v/>
      </c>
      <c r="H436" s="17" t="str">
        <f aca="false">IF(I436&lt;&gt;"OK","",IF(G436=0,"",F436/G436))</f>
        <v/>
      </c>
      <c r="I436" s="20" t="str">
        <f aca="true">IF(B436="","",IF(ISNA(MATCH(B436,ListaInsumos,0)),"Insumo no está en Insumos",IF(OR(D436="",E436="",F436=""),"Faltan datos",IF(INDEX(UnidadesBase,MATCH(E436,Unidades,0))&lt;&gt;INDEX(InsBase,MATCH(B436,ListaInsumos,0)),"Unidad incompatible",IF(A436="","Falta fecha","OK")))))</f>
        <v/>
      </c>
      <c r="J436" s="15"/>
    </row>
    <row r="437" customFormat="false" ht="15" hidden="false" customHeight="false" outlineLevel="0" collapsed="false">
      <c r="A437" s="26"/>
      <c r="B437" s="15"/>
      <c r="C437" s="15"/>
      <c r="D437" s="27"/>
      <c r="E437" s="15"/>
      <c r="F437" s="28"/>
      <c r="G437" s="25" t="str">
        <f aca="true">IF(OR(D437="",E437=""),"",IFERROR(D437*INDEX(UnidadesFactor,MATCH(E437,Unidades,0)),""))</f>
        <v/>
      </c>
      <c r="H437" s="17" t="str">
        <f aca="false">IF(I437&lt;&gt;"OK","",IF(G437=0,"",F437/G437))</f>
        <v/>
      </c>
      <c r="I437" s="20" t="str">
        <f aca="true">IF(B437="","",IF(ISNA(MATCH(B437,ListaInsumos,0)),"Insumo no está en Insumos",IF(OR(D437="",E437="",F437=""),"Faltan datos",IF(INDEX(UnidadesBase,MATCH(E437,Unidades,0))&lt;&gt;INDEX(InsBase,MATCH(B437,ListaInsumos,0)),"Unidad incompatible",IF(A437="","Falta fecha","OK")))))</f>
        <v/>
      </c>
      <c r="J437" s="15"/>
    </row>
    <row r="438" customFormat="false" ht="15" hidden="false" customHeight="false" outlineLevel="0" collapsed="false">
      <c r="A438" s="26"/>
      <c r="B438" s="15"/>
      <c r="C438" s="15"/>
      <c r="D438" s="27"/>
      <c r="E438" s="15"/>
      <c r="F438" s="28"/>
      <c r="G438" s="25" t="str">
        <f aca="true">IF(OR(D438="",E438=""),"",IFERROR(D438*INDEX(UnidadesFactor,MATCH(E438,Unidades,0)),""))</f>
        <v/>
      </c>
      <c r="H438" s="17" t="str">
        <f aca="false">IF(I438&lt;&gt;"OK","",IF(G438=0,"",F438/G438))</f>
        <v/>
      </c>
      <c r="I438" s="20" t="str">
        <f aca="true">IF(B438="","",IF(ISNA(MATCH(B438,ListaInsumos,0)),"Insumo no está en Insumos",IF(OR(D438="",E438="",F438=""),"Faltan datos",IF(INDEX(UnidadesBase,MATCH(E438,Unidades,0))&lt;&gt;INDEX(InsBase,MATCH(B438,ListaInsumos,0)),"Unidad incompatible",IF(A438="","Falta fecha","OK")))))</f>
        <v/>
      </c>
      <c r="J438" s="15"/>
    </row>
    <row r="439" customFormat="false" ht="15" hidden="false" customHeight="false" outlineLevel="0" collapsed="false">
      <c r="A439" s="26"/>
      <c r="B439" s="15"/>
      <c r="C439" s="15"/>
      <c r="D439" s="27"/>
      <c r="E439" s="15"/>
      <c r="F439" s="28"/>
      <c r="G439" s="25" t="str">
        <f aca="true">IF(OR(D439="",E439=""),"",IFERROR(D439*INDEX(UnidadesFactor,MATCH(E439,Unidades,0)),""))</f>
        <v/>
      </c>
      <c r="H439" s="17" t="str">
        <f aca="false">IF(I439&lt;&gt;"OK","",IF(G439=0,"",F439/G439))</f>
        <v/>
      </c>
      <c r="I439" s="20" t="str">
        <f aca="true">IF(B439="","",IF(ISNA(MATCH(B439,ListaInsumos,0)),"Insumo no está en Insumos",IF(OR(D439="",E439="",F439=""),"Faltan datos",IF(INDEX(UnidadesBase,MATCH(E439,Unidades,0))&lt;&gt;INDEX(InsBase,MATCH(B439,ListaInsumos,0)),"Unidad incompatible",IF(A439="","Falta fecha","OK")))))</f>
        <v/>
      </c>
      <c r="J439" s="15"/>
    </row>
    <row r="440" customFormat="false" ht="15" hidden="false" customHeight="false" outlineLevel="0" collapsed="false">
      <c r="A440" s="26"/>
      <c r="B440" s="15"/>
      <c r="C440" s="15"/>
      <c r="D440" s="27"/>
      <c r="E440" s="15"/>
      <c r="F440" s="28"/>
      <c r="G440" s="25" t="str">
        <f aca="true">IF(OR(D440="",E440=""),"",IFERROR(D440*INDEX(UnidadesFactor,MATCH(E440,Unidades,0)),""))</f>
        <v/>
      </c>
      <c r="H440" s="17" t="str">
        <f aca="false">IF(I440&lt;&gt;"OK","",IF(G440=0,"",F440/G440))</f>
        <v/>
      </c>
      <c r="I440" s="20" t="str">
        <f aca="true">IF(B440="","",IF(ISNA(MATCH(B440,ListaInsumos,0)),"Insumo no está en Insumos",IF(OR(D440="",E440="",F440=""),"Faltan datos",IF(INDEX(UnidadesBase,MATCH(E440,Unidades,0))&lt;&gt;INDEX(InsBase,MATCH(B440,ListaInsumos,0)),"Unidad incompatible",IF(A440="","Falta fecha","OK")))))</f>
        <v/>
      </c>
      <c r="J440" s="15"/>
    </row>
    <row r="441" customFormat="false" ht="15" hidden="false" customHeight="false" outlineLevel="0" collapsed="false">
      <c r="A441" s="26"/>
      <c r="B441" s="15"/>
      <c r="C441" s="15"/>
      <c r="D441" s="27"/>
      <c r="E441" s="15"/>
      <c r="F441" s="28"/>
      <c r="G441" s="25" t="str">
        <f aca="true">IF(OR(D441="",E441=""),"",IFERROR(D441*INDEX(UnidadesFactor,MATCH(E441,Unidades,0)),""))</f>
        <v/>
      </c>
      <c r="H441" s="17" t="str">
        <f aca="false">IF(I441&lt;&gt;"OK","",IF(G441=0,"",F441/G441))</f>
        <v/>
      </c>
      <c r="I441" s="20" t="str">
        <f aca="true">IF(B441="","",IF(ISNA(MATCH(B441,ListaInsumos,0)),"Insumo no está en Insumos",IF(OR(D441="",E441="",F441=""),"Faltan datos",IF(INDEX(UnidadesBase,MATCH(E441,Unidades,0))&lt;&gt;INDEX(InsBase,MATCH(B441,ListaInsumos,0)),"Unidad incompatible",IF(A441="","Falta fecha","OK")))))</f>
        <v/>
      </c>
      <c r="J441" s="15"/>
    </row>
    <row r="442" customFormat="false" ht="15" hidden="false" customHeight="false" outlineLevel="0" collapsed="false">
      <c r="A442" s="26"/>
      <c r="B442" s="15"/>
      <c r="C442" s="15"/>
      <c r="D442" s="27"/>
      <c r="E442" s="15"/>
      <c r="F442" s="28"/>
      <c r="G442" s="25" t="str">
        <f aca="true">IF(OR(D442="",E442=""),"",IFERROR(D442*INDEX(UnidadesFactor,MATCH(E442,Unidades,0)),""))</f>
        <v/>
      </c>
      <c r="H442" s="17" t="str">
        <f aca="false">IF(I442&lt;&gt;"OK","",IF(G442=0,"",F442/G442))</f>
        <v/>
      </c>
      <c r="I442" s="20" t="str">
        <f aca="true">IF(B442="","",IF(ISNA(MATCH(B442,ListaInsumos,0)),"Insumo no está en Insumos",IF(OR(D442="",E442="",F442=""),"Faltan datos",IF(INDEX(UnidadesBase,MATCH(E442,Unidades,0))&lt;&gt;INDEX(InsBase,MATCH(B442,ListaInsumos,0)),"Unidad incompatible",IF(A442="","Falta fecha","OK")))))</f>
        <v/>
      </c>
      <c r="J442" s="15"/>
    </row>
    <row r="443" customFormat="false" ht="15" hidden="false" customHeight="false" outlineLevel="0" collapsed="false">
      <c r="A443" s="26"/>
      <c r="B443" s="15"/>
      <c r="C443" s="15"/>
      <c r="D443" s="27"/>
      <c r="E443" s="15"/>
      <c r="F443" s="28"/>
      <c r="G443" s="25" t="str">
        <f aca="true">IF(OR(D443="",E443=""),"",IFERROR(D443*INDEX(UnidadesFactor,MATCH(E443,Unidades,0)),""))</f>
        <v/>
      </c>
      <c r="H443" s="17" t="str">
        <f aca="false">IF(I443&lt;&gt;"OK","",IF(G443=0,"",F443/G443))</f>
        <v/>
      </c>
      <c r="I443" s="20" t="str">
        <f aca="true">IF(B443="","",IF(ISNA(MATCH(B443,ListaInsumos,0)),"Insumo no está en Insumos",IF(OR(D443="",E443="",F443=""),"Faltan datos",IF(INDEX(UnidadesBase,MATCH(E443,Unidades,0))&lt;&gt;INDEX(InsBase,MATCH(B443,ListaInsumos,0)),"Unidad incompatible",IF(A443="","Falta fecha","OK")))))</f>
        <v/>
      </c>
      <c r="J443" s="15"/>
    </row>
    <row r="444" customFormat="false" ht="15" hidden="false" customHeight="false" outlineLevel="0" collapsed="false">
      <c r="A444" s="26"/>
      <c r="B444" s="15"/>
      <c r="C444" s="15"/>
      <c r="D444" s="27"/>
      <c r="E444" s="15"/>
      <c r="F444" s="28"/>
      <c r="G444" s="25" t="str">
        <f aca="true">IF(OR(D444="",E444=""),"",IFERROR(D444*INDEX(UnidadesFactor,MATCH(E444,Unidades,0)),""))</f>
        <v/>
      </c>
      <c r="H444" s="17" t="str">
        <f aca="false">IF(I444&lt;&gt;"OK","",IF(G444=0,"",F444/G444))</f>
        <v/>
      </c>
      <c r="I444" s="20" t="str">
        <f aca="true">IF(B444="","",IF(ISNA(MATCH(B444,ListaInsumos,0)),"Insumo no está en Insumos",IF(OR(D444="",E444="",F444=""),"Faltan datos",IF(INDEX(UnidadesBase,MATCH(E444,Unidades,0))&lt;&gt;INDEX(InsBase,MATCH(B444,ListaInsumos,0)),"Unidad incompatible",IF(A444="","Falta fecha","OK")))))</f>
        <v/>
      </c>
      <c r="J444" s="15"/>
    </row>
    <row r="445" customFormat="false" ht="15" hidden="false" customHeight="false" outlineLevel="0" collapsed="false">
      <c r="A445" s="26"/>
      <c r="B445" s="15"/>
      <c r="C445" s="15"/>
      <c r="D445" s="27"/>
      <c r="E445" s="15"/>
      <c r="F445" s="28"/>
      <c r="G445" s="25" t="str">
        <f aca="true">IF(OR(D445="",E445=""),"",IFERROR(D445*INDEX(UnidadesFactor,MATCH(E445,Unidades,0)),""))</f>
        <v/>
      </c>
      <c r="H445" s="17" t="str">
        <f aca="false">IF(I445&lt;&gt;"OK","",IF(G445=0,"",F445/G445))</f>
        <v/>
      </c>
      <c r="I445" s="20" t="str">
        <f aca="true">IF(B445="","",IF(ISNA(MATCH(B445,ListaInsumos,0)),"Insumo no está en Insumos",IF(OR(D445="",E445="",F445=""),"Faltan datos",IF(INDEX(UnidadesBase,MATCH(E445,Unidades,0))&lt;&gt;INDEX(InsBase,MATCH(B445,ListaInsumos,0)),"Unidad incompatible",IF(A445="","Falta fecha","OK")))))</f>
        <v/>
      </c>
      <c r="J445" s="15"/>
    </row>
    <row r="446" customFormat="false" ht="15" hidden="false" customHeight="false" outlineLevel="0" collapsed="false">
      <c r="A446" s="26"/>
      <c r="B446" s="15"/>
      <c r="C446" s="15"/>
      <c r="D446" s="27"/>
      <c r="E446" s="15"/>
      <c r="F446" s="28"/>
      <c r="G446" s="25" t="str">
        <f aca="true">IF(OR(D446="",E446=""),"",IFERROR(D446*INDEX(UnidadesFactor,MATCH(E446,Unidades,0)),""))</f>
        <v/>
      </c>
      <c r="H446" s="17" t="str">
        <f aca="false">IF(I446&lt;&gt;"OK","",IF(G446=0,"",F446/G446))</f>
        <v/>
      </c>
      <c r="I446" s="20" t="str">
        <f aca="true">IF(B446="","",IF(ISNA(MATCH(B446,ListaInsumos,0)),"Insumo no está en Insumos",IF(OR(D446="",E446="",F446=""),"Faltan datos",IF(INDEX(UnidadesBase,MATCH(E446,Unidades,0))&lt;&gt;INDEX(InsBase,MATCH(B446,ListaInsumos,0)),"Unidad incompatible",IF(A446="","Falta fecha","OK")))))</f>
        <v/>
      </c>
      <c r="J446" s="15"/>
    </row>
    <row r="447" customFormat="false" ht="15" hidden="false" customHeight="false" outlineLevel="0" collapsed="false">
      <c r="A447" s="26"/>
      <c r="B447" s="15"/>
      <c r="C447" s="15"/>
      <c r="D447" s="27"/>
      <c r="E447" s="15"/>
      <c r="F447" s="28"/>
      <c r="G447" s="25" t="str">
        <f aca="true">IF(OR(D447="",E447=""),"",IFERROR(D447*INDEX(UnidadesFactor,MATCH(E447,Unidades,0)),""))</f>
        <v/>
      </c>
      <c r="H447" s="17" t="str">
        <f aca="false">IF(I447&lt;&gt;"OK","",IF(G447=0,"",F447/G447))</f>
        <v/>
      </c>
      <c r="I447" s="20" t="str">
        <f aca="true">IF(B447="","",IF(ISNA(MATCH(B447,ListaInsumos,0)),"Insumo no está en Insumos",IF(OR(D447="",E447="",F447=""),"Faltan datos",IF(INDEX(UnidadesBase,MATCH(E447,Unidades,0))&lt;&gt;INDEX(InsBase,MATCH(B447,ListaInsumos,0)),"Unidad incompatible",IF(A447="","Falta fecha","OK")))))</f>
        <v/>
      </c>
      <c r="J447" s="15"/>
    </row>
    <row r="448" customFormat="false" ht="15" hidden="false" customHeight="false" outlineLevel="0" collapsed="false">
      <c r="A448" s="26"/>
      <c r="B448" s="15"/>
      <c r="C448" s="15"/>
      <c r="D448" s="27"/>
      <c r="E448" s="15"/>
      <c r="F448" s="28"/>
      <c r="G448" s="25" t="str">
        <f aca="true">IF(OR(D448="",E448=""),"",IFERROR(D448*INDEX(UnidadesFactor,MATCH(E448,Unidades,0)),""))</f>
        <v/>
      </c>
      <c r="H448" s="17" t="str">
        <f aca="false">IF(I448&lt;&gt;"OK","",IF(G448=0,"",F448/G448))</f>
        <v/>
      </c>
      <c r="I448" s="20" t="str">
        <f aca="true">IF(B448="","",IF(ISNA(MATCH(B448,ListaInsumos,0)),"Insumo no está en Insumos",IF(OR(D448="",E448="",F448=""),"Faltan datos",IF(INDEX(UnidadesBase,MATCH(E448,Unidades,0))&lt;&gt;INDEX(InsBase,MATCH(B448,ListaInsumos,0)),"Unidad incompatible",IF(A448="","Falta fecha","OK")))))</f>
        <v/>
      </c>
      <c r="J448" s="15"/>
    </row>
    <row r="449" customFormat="false" ht="15" hidden="false" customHeight="false" outlineLevel="0" collapsed="false">
      <c r="A449" s="26"/>
      <c r="B449" s="15"/>
      <c r="C449" s="15"/>
      <c r="D449" s="27"/>
      <c r="E449" s="15"/>
      <c r="F449" s="28"/>
      <c r="G449" s="25" t="str">
        <f aca="true">IF(OR(D449="",E449=""),"",IFERROR(D449*INDEX(UnidadesFactor,MATCH(E449,Unidades,0)),""))</f>
        <v/>
      </c>
      <c r="H449" s="17" t="str">
        <f aca="false">IF(I449&lt;&gt;"OK","",IF(G449=0,"",F449/G449))</f>
        <v/>
      </c>
      <c r="I449" s="20" t="str">
        <f aca="true">IF(B449="","",IF(ISNA(MATCH(B449,ListaInsumos,0)),"Insumo no está en Insumos",IF(OR(D449="",E449="",F449=""),"Faltan datos",IF(INDEX(UnidadesBase,MATCH(E449,Unidades,0))&lt;&gt;INDEX(InsBase,MATCH(B449,ListaInsumos,0)),"Unidad incompatible",IF(A449="","Falta fecha","OK")))))</f>
        <v/>
      </c>
      <c r="J449" s="15"/>
    </row>
    <row r="450" customFormat="false" ht="15" hidden="false" customHeight="false" outlineLevel="0" collapsed="false">
      <c r="A450" s="26"/>
      <c r="B450" s="15"/>
      <c r="C450" s="15"/>
      <c r="D450" s="27"/>
      <c r="E450" s="15"/>
      <c r="F450" s="28"/>
      <c r="G450" s="25" t="str">
        <f aca="true">IF(OR(D450="",E450=""),"",IFERROR(D450*INDEX(UnidadesFactor,MATCH(E450,Unidades,0)),""))</f>
        <v/>
      </c>
      <c r="H450" s="17" t="str">
        <f aca="false">IF(I450&lt;&gt;"OK","",IF(G450=0,"",F450/G450))</f>
        <v/>
      </c>
      <c r="I450" s="20" t="str">
        <f aca="true">IF(B450="","",IF(ISNA(MATCH(B450,ListaInsumos,0)),"Insumo no está en Insumos",IF(OR(D450="",E450="",F450=""),"Faltan datos",IF(INDEX(UnidadesBase,MATCH(E450,Unidades,0))&lt;&gt;INDEX(InsBase,MATCH(B450,ListaInsumos,0)),"Unidad incompatible",IF(A450="","Falta fecha","OK")))))</f>
        <v/>
      </c>
      <c r="J450" s="15"/>
    </row>
    <row r="451" customFormat="false" ht="15" hidden="false" customHeight="false" outlineLevel="0" collapsed="false">
      <c r="A451" s="26"/>
      <c r="B451" s="15"/>
      <c r="C451" s="15"/>
      <c r="D451" s="27"/>
      <c r="E451" s="15"/>
      <c r="F451" s="28"/>
      <c r="G451" s="25" t="str">
        <f aca="true">IF(OR(D451="",E451=""),"",IFERROR(D451*INDEX(UnidadesFactor,MATCH(E451,Unidades,0)),""))</f>
        <v/>
      </c>
      <c r="H451" s="17" t="str">
        <f aca="false">IF(I451&lt;&gt;"OK","",IF(G451=0,"",F451/G451))</f>
        <v/>
      </c>
      <c r="I451" s="20" t="str">
        <f aca="true">IF(B451="","",IF(ISNA(MATCH(B451,ListaInsumos,0)),"Insumo no está en Insumos",IF(OR(D451="",E451="",F451=""),"Faltan datos",IF(INDEX(UnidadesBase,MATCH(E451,Unidades,0))&lt;&gt;INDEX(InsBase,MATCH(B451,ListaInsumos,0)),"Unidad incompatible",IF(A451="","Falta fecha","OK")))))</f>
        <v/>
      </c>
      <c r="J451" s="15"/>
    </row>
    <row r="452" customFormat="false" ht="15" hidden="false" customHeight="false" outlineLevel="0" collapsed="false">
      <c r="A452" s="26"/>
      <c r="B452" s="15"/>
      <c r="C452" s="15"/>
      <c r="D452" s="27"/>
      <c r="E452" s="15"/>
      <c r="F452" s="28"/>
      <c r="G452" s="25" t="str">
        <f aca="true">IF(OR(D452="",E452=""),"",IFERROR(D452*INDEX(UnidadesFactor,MATCH(E452,Unidades,0)),""))</f>
        <v/>
      </c>
      <c r="H452" s="17" t="str">
        <f aca="false">IF(I452&lt;&gt;"OK","",IF(G452=0,"",F452/G452))</f>
        <v/>
      </c>
      <c r="I452" s="20" t="str">
        <f aca="true">IF(B452="","",IF(ISNA(MATCH(B452,ListaInsumos,0)),"Insumo no está en Insumos",IF(OR(D452="",E452="",F452=""),"Faltan datos",IF(INDEX(UnidadesBase,MATCH(E452,Unidades,0))&lt;&gt;INDEX(InsBase,MATCH(B452,ListaInsumos,0)),"Unidad incompatible",IF(A452="","Falta fecha","OK")))))</f>
        <v/>
      </c>
      <c r="J452" s="15"/>
    </row>
    <row r="453" customFormat="false" ht="15" hidden="false" customHeight="false" outlineLevel="0" collapsed="false">
      <c r="A453" s="26"/>
      <c r="B453" s="15"/>
      <c r="C453" s="15"/>
      <c r="D453" s="27"/>
      <c r="E453" s="15"/>
      <c r="F453" s="28"/>
      <c r="G453" s="25" t="str">
        <f aca="true">IF(OR(D453="",E453=""),"",IFERROR(D453*INDEX(UnidadesFactor,MATCH(E453,Unidades,0)),""))</f>
        <v/>
      </c>
      <c r="H453" s="17" t="str">
        <f aca="false">IF(I453&lt;&gt;"OK","",IF(G453=0,"",F453/G453))</f>
        <v/>
      </c>
      <c r="I453" s="20" t="str">
        <f aca="true">IF(B453="","",IF(ISNA(MATCH(B453,ListaInsumos,0)),"Insumo no está en Insumos",IF(OR(D453="",E453="",F453=""),"Faltan datos",IF(INDEX(UnidadesBase,MATCH(E453,Unidades,0))&lt;&gt;INDEX(InsBase,MATCH(B453,ListaInsumos,0)),"Unidad incompatible",IF(A453="","Falta fecha","OK")))))</f>
        <v/>
      </c>
      <c r="J453" s="15"/>
    </row>
    <row r="454" customFormat="false" ht="15" hidden="false" customHeight="false" outlineLevel="0" collapsed="false">
      <c r="A454" s="26"/>
      <c r="B454" s="15"/>
      <c r="C454" s="15"/>
      <c r="D454" s="27"/>
      <c r="E454" s="15"/>
      <c r="F454" s="28"/>
      <c r="G454" s="25" t="str">
        <f aca="true">IF(OR(D454="",E454=""),"",IFERROR(D454*INDEX(UnidadesFactor,MATCH(E454,Unidades,0)),""))</f>
        <v/>
      </c>
      <c r="H454" s="17" t="str">
        <f aca="false">IF(I454&lt;&gt;"OK","",IF(G454=0,"",F454/G454))</f>
        <v/>
      </c>
      <c r="I454" s="20" t="str">
        <f aca="true">IF(B454="","",IF(ISNA(MATCH(B454,ListaInsumos,0)),"Insumo no está en Insumos",IF(OR(D454="",E454="",F454=""),"Faltan datos",IF(INDEX(UnidadesBase,MATCH(E454,Unidades,0))&lt;&gt;INDEX(InsBase,MATCH(B454,ListaInsumos,0)),"Unidad incompatible",IF(A454="","Falta fecha","OK")))))</f>
        <v/>
      </c>
      <c r="J454" s="15"/>
    </row>
    <row r="455" customFormat="false" ht="15" hidden="false" customHeight="false" outlineLevel="0" collapsed="false">
      <c r="A455" s="26"/>
      <c r="B455" s="15"/>
      <c r="C455" s="15"/>
      <c r="D455" s="27"/>
      <c r="E455" s="15"/>
      <c r="F455" s="28"/>
      <c r="G455" s="25" t="str">
        <f aca="true">IF(OR(D455="",E455=""),"",IFERROR(D455*INDEX(UnidadesFactor,MATCH(E455,Unidades,0)),""))</f>
        <v/>
      </c>
      <c r="H455" s="17" t="str">
        <f aca="false">IF(I455&lt;&gt;"OK","",IF(G455=0,"",F455/G455))</f>
        <v/>
      </c>
      <c r="I455" s="20" t="str">
        <f aca="true">IF(B455="","",IF(ISNA(MATCH(B455,ListaInsumos,0)),"Insumo no está en Insumos",IF(OR(D455="",E455="",F455=""),"Faltan datos",IF(INDEX(UnidadesBase,MATCH(E455,Unidades,0))&lt;&gt;INDEX(InsBase,MATCH(B455,ListaInsumos,0)),"Unidad incompatible",IF(A455="","Falta fecha","OK")))))</f>
        <v/>
      </c>
      <c r="J455" s="15"/>
    </row>
    <row r="456" customFormat="false" ht="15" hidden="false" customHeight="false" outlineLevel="0" collapsed="false">
      <c r="A456" s="26"/>
      <c r="B456" s="15"/>
      <c r="C456" s="15"/>
      <c r="D456" s="27"/>
      <c r="E456" s="15"/>
      <c r="F456" s="28"/>
      <c r="G456" s="25" t="str">
        <f aca="true">IF(OR(D456="",E456=""),"",IFERROR(D456*INDEX(UnidadesFactor,MATCH(E456,Unidades,0)),""))</f>
        <v/>
      </c>
      <c r="H456" s="17" t="str">
        <f aca="false">IF(I456&lt;&gt;"OK","",IF(G456=0,"",F456/G456))</f>
        <v/>
      </c>
      <c r="I456" s="20" t="str">
        <f aca="true">IF(B456="","",IF(ISNA(MATCH(B456,ListaInsumos,0)),"Insumo no está en Insumos",IF(OR(D456="",E456="",F456=""),"Faltan datos",IF(INDEX(UnidadesBase,MATCH(E456,Unidades,0))&lt;&gt;INDEX(InsBase,MATCH(B456,ListaInsumos,0)),"Unidad incompatible",IF(A456="","Falta fecha","OK")))))</f>
        <v/>
      </c>
      <c r="J456" s="15"/>
    </row>
    <row r="457" customFormat="false" ht="15" hidden="false" customHeight="false" outlineLevel="0" collapsed="false">
      <c r="A457" s="26"/>
      <c r="B457" s="15"/>
      <c r="C457" s="15"/>
      <c r="D457" s="27"/>
      <c r="E457" s="15"/>
      <c r="F457" s="28"/>
      <c r="G457" s="25" t="str">
        <f aca="true">IF(OR(D457="",E457=""),"",IFERROR(D457*INDEX(UnidadesFactor,MATCH(E457,Unidades,0)),""))</f>
        <v/>
      </c>
      <c r="H457" s="17" t="str">
        <f aca="false">IF(I457&lt;&gt;"OK","",IF(G457=0,"",F457/G457))</f>
        <v/>
      </c>
      <c r="I457" s="20" t="str">
        <f aca="true">IF(B457="","",IF(ISNA(MATCH(B457,ListaInsumos,0)),"Insumo no está en Insumos",IF(OR(D457="",E457="",F457=""),"Faltan datos",IF(INDEX(UnidadesBase,MATCH(E457,Unidades,0))&lt;&gt;INDEX(InsBase,MATCH(B457,ListaInsumos,0)),"Unidad incompatible",IF(A457="","Falta fecha","OK")))))</f>
        <v/>
      </c>
      <c r="J457" s="15"/>
    </row>
    <row r="458" customFormat="false" ht="15" hidden="false" customHeight="false" outlineLevel="0" collapsed="false">
      <c r="A458" s="26"/>
      <c r="B458" s="15"/>
      <c r="C458" s="15"/>
      <c r="D458" s="27"/>
      <c r="E458" s="15"/>
      <c r="F458" s="28"/>
      <c r="G458" s="25" t="str">
        <f aca="true">IF(OR(D458="",E458=""),"",IFERROR(D458*INDEX(UnidadesFactor,MATCH(E458,Unidades,0)),""))</f>
        <v/>
      </c>
      <c r="H458" s="17" t="str">
        <f aca="false">IF(I458&lt;&gt;"OK","",IF(G458=0,"",F458/G458))</f>
        <v/>
      </c>
      <c r="I458" s="20" t="str">
        <f aca="true">IF(B458="","",IF(ISNA(MATCH(B458,ListaInsumos,0)),"Insumo no está en Insumos",IF(OR(D458="",E458="",F458=""),"Faltan datos",IF(INDEX(UnidadesBase,MATCH(E458,Unidades,0))&lt;&gt;INDEX(InsBase,MATCH(B458,ListaInsumos,0)),"Unidad incompatible",IF(A458="","Falta fecha","OK")))))</f>
        <v/>
      </c>
      <c r="J458" s="15"/>
    </row>
    <row r="459" customFormat="false" ht="15" hidden="false" customHeight="false" outlineLevel="0" collapsed="false">
      <c r="A459" s="26"/>
      <c r="B459" s="15"/>
      <c r="C459" s="15"/>
      <c r="D459" s="27"/>
      <c r="E459" s="15"/>
      <c r="F459" s="28"/>
      <c r="G459" s="25" t="str">
        <f aca="true">IF(OR(D459="",E459=""),"",IFERROR(D459*INDEX(UnidadesFactor,MATCH(E459,Unidades,0)),""))</f>
        <v/>
      </c>
      <c r="H459" s="17" t="str">
        <f aca="false">IF(I459&lt;&gt;"OK","",IF(G459=0,"",F459/G459))</f>
        <v/>
      </c>
      <c r="I459" s="20" t="str">
        <f aca="true">IF(B459="","",IF(ISNA(MATCH(B459,ListaInsumos,0)),"Insumo no está en Insumos",IF(OR(D459="",E459="",F459=""),"Faltan datos",IF(INDEX(UnidadesBase,MATCH(E459,Unidades,0))&lt;&gt;INDEX(InsBase,MATCH(B459,ListaInsumos,0)),"Unidad incompatible",IF(A459="","Falta fecha","OK")))))</f>
        <v/>
      </c>
      <c r="J459" s="15"/>
    </row>
    <row r="460" customFormat="false" ht="15" hidden="false" customHeight="false" outlineLevel="0" collapsed="false">
      <c r="A460" s="26"/>
      <c r="B460" s="15"/>
      <c r="C460" s="15"/>
      <c r="D460" s="27"/>
      <c r="E460" s="15"/>
      <c r="F460" s="28"/>
      <c r="G460" s="25" t="str">
        <f aca="true">IF(OR(D460="",E460=""),"",IFERROR(D460*INDEX(UnidadesFactor,MATCH(E460,Unidades,0)),""))</f>
        <v/>
      </c>
      <c r="H460" s="17" t="str">
        <f aca="false">IF(I460&lt;&gt;"OK","",IF(G460=0,"",F460/G460))</f>
        <v/>
      </c>
      <c r="I460" s="20" t="str">
        <f aca="true">IF(B460="","",IF(ISNA(MATCH(B460,ListaInsumos,0)),"Insumo no está en Insumos",IF(OR(D460="",E460="",F460=""),"Faltan datos",IF(INDEX(UnidadesBase,MATCH(E460,Unidades,0))&lt;&gt;INDEX(InsBase,MATCH(B460,ListaInsumos,0)),"Unidad incompatible",IF(A460="","Falta fecha","OK")))))</f>
        <v/>
      </c>
      <c r="J460" s="15"/>
    </row>
    <row r="461" customFormat="false" ht="15" hidden="false" customHeight="false" outlineLevel="0" collapsed="false">
      <c r="A461" s="26"/>
      <c r="B461" s="15"/>
      <c r="C461" s="15"/>
      <c r="D461" s="27"/>
      <c r="E461" s="15"/>
      <c r="F461" s="28"/>
      <c r="G461" s="25" t="str">
        <f aca="true">IF(OR(D461="",E461=""),"",IFERROR(D461*INDEX(UnidadesFactor,MATCH(E461,Unidades,0)),""))</f>
        <v/>
      </c>
      <c r="H461" s="17" t="str">
        <f aca="false">IF(I461&lt;&gt;"OK","",IF(G461=0,"",F461/G461))</f>
        <v/>
      </c>
      <c r="I461" s="20" t="str">
        <f aca="true">IF(B461="","",IF(ISNA(MATCH(B461,ListaInsumos,0)),"Insumo no está en Insumos",IF(OR(D461="",E461="",F461=""),"Faltan datos",IF(INDEX(UnidadesBase,MATCH(E461,Unidades,0))&lt;&gt;INDEX(InsBase,MATCH(B461,ListaInsumos,0)),"Unidad incompatible",IF(A461="","Falta fecha","OK")))))</f>
        <v/>
      </c>
      <c r="J461" s="15"/>
    </row>
    <row r="462" customFormat="false" ht="15" hidden="false" customHeight="false" outlineLevel="0" collapsed="false">
      <c r="A462" s="26"/>
      <c r="B462" s="15"/>
      <c r="C462" s="15"/>
      <c r="D462" s="27"/>
      <c r="E462" s="15"/>
      <c r="F462" s="28"/>
      <c r="G462" s="25" t="str">
        <f aca="true">IF(OR(D462="",E462=""),"",IFERROR(D462*INDEX(UnidadesFactor,MATCH(E462,Unidades,0)),""))</f>
        <v/>
      </c>
      <c r="H462" s="17" t="str">
        <f aca="false">IF(I462&lt;&gt;"OK","",IF(G462=0,"",F462/G462))</f>
        <v/>
      </c>
      <c r="I462" s="20" t="str">
        <f aca="true">IF(B462="","",IF(ISNA(MATCH(B462,ListaInsumos,0)),"Insumo no está en Insumos",IF(OR(D462="",E462="",F462=""),"Faltan datos",IF(INDEX(UnidadesBase,MATCH(E462,Unidades,0))&lt;&gt;INDEX(InsBase,MATCH(B462,ListaInsumos,0)),"Unidad incompatible",IF(A462="","Falta fecha","OK")))))</f>
        <v/>
      </c>
      <c r="J462" s="15"/>
    </row>
    <row r="463" customFormat="false" ht="15" hidden="false" customHeight="false" outlineLevel="0" collapsed="false">
      <c r="A463" s="26"/>
      <c r="B463" s="15"/>
      <c r="C463" s="15"/>
      <c r="D463" s="27"/>
      <c r="E463" s="15"/>
      <c r="F463" s="28"/>
      <c r="G463" s="25" t="str">
        <f aca="true">IF(OR(D463="",E463=""),"",IFERROR(D463*INDEX(UnidadesFactor,MATCH(E463,Unidades,0)),""))</f>
        <v/>
      </c>
      <c r="H463" s="17" t="str">
        <f aca="false">IF(I463&lt;&gt;"OK","",IF(G463=0,"",F463/G463))</f>
        <v/>
      </c>
      <c r="I463" s="20" t="str">
        <f aca="true">IF(B463="","",IF(ISNA(MATCH(B463,ListaInsumos,0)),"Insumo no está en Insumos",IF(OR(D463="",E463="",F463=""),"Faltan datos",IF(INDEX(UnidadesBase,MATCH(E463,Unidades,0))&lt;&gt;INDEX(InsBase,MATCH(B463,ListaInsumos,0)),"Unidad incompatible",IF(A463="","Falta fecha","OK")))))</f>
        <v/>
      </c>
      <c r="J463" s="15"/>
    </row>
    <row r="464" customFormat="false" ht="15" hidden="false" customHeight="false" outlineLevel="0" collapsed="false">
      <c r="A464" s="26"/>
      <c r="B464" s="15"/>
      <c r="C464" s="15"/>
      <c r="D464" s="27"/>
      <c r="E464" s="15"/>
      <c r="F464" s="28"/>
      <c r="G464" s="25" t="str">
        <f aca="true">IF(OR(D464="",E464=""),"",IFERROR(D464*INDEX(UnidadesFactor,MATCH(E464,Unidades,0)),""))</f>
        <v/>
      </c>
      <c r="H464" s="17" t="str">
        <f aca="false">IF(I464&lt;&gt;"OK","",IF(G464=0,"",F464/G464))</f>
        <v/>
      </c>
      <c r="I464" s="20" t="str">
        <f aca="true">IF(B464="","",IF(ISNA(MATCH(B464,ListaInsumos,0)),"Insumo no está en Insumos",IF(OR(D464="",E464="",F464=""),"Faltan datos",IF(INDEX(UnidadesBase,MATCH(E464,Unidades,0))&lt;&gt;INDEX(InsBase,MATCH(B464,ListaInsumos,0)),"Unidad incompatible",IF(A464="","Falta fecha","OK")))))</f>
        <v/>
      </c>
      <c r="J464" s="15"/>
    </row>
    <row r="465" customFormat="false" ht="15" hidden="false" customHeight="false" outlineLevel="0" collapsed="false">
      <c r="A465" s="26"/>
      <c r="B465" s="15"/>
      <c r="C465" s="15"/>
      <c r="D465" s="27"/>
      <c r="E465" s="15"/>
      <c r="F465" s="28"/>
      <c r="G465" s="25" t="str">
        <f aca="true">IF(OR(D465="",E465=""),"",IFERROR(D465*INDEX(UnidadesFactor,MATCH(E465,Unidades,0)),""))</f>
        <v/>
      </c>
      <c r="H465" s="17" t="str">
        <f aca="false">IF(I465&lt;&gt;"OK","",IF(G465=0,"",F465/G465))</f>
        <v/>
      </c>
      <c r="I465" s="20" t="str">
        <f aca="true">IF(B465="","",IF(ISNA(MATCH(B465,ListaInsumos,0)),"Insumo no está en Insumos",IF(OR(D465="",E465="",F465=""),"Faltan datos",IF(INDEX(UnidadesBase,MATCH(E465,Unidades,0))&lt;&gt;INDEX(InsBase,MATCH(B465,ListaInsumos,0)),"Unidad incompatible",IF(A465="","Falta fecha","OK")))))</f>
        <v/>
      </c>
      <c r="J465" s="15"/>
    </row>
    <row r="466" customFormat="false" ht="15" hidden="false" customHeight="false" outlineLevel="0" collapsed="false">
      <c r="A466" s="26"/>
      <c r="B466" s="15"/>
      <c r="C466" s="15"/>
      <c r="D466" s="27"/>
      <c r="E466" s="15"/>
      <c r="F466" s="28"/>
      <c r="G466" s="25" t="str">
        <f aca="true">IF(OR(D466="",E466=""),"",IFERROR(D466*INDEX(UnidadesFactor,MATCH(E466,Unidades,0)),""))</f>
        <v/>
      </c>
      <c r="H466" s="17" t="str">
        <f aca="false">IF(I466&lt;&gt;"OK","",IF(G466=0,"",F466/G466))</f>
        <v/>
      </c>
      <c r="I466" s="20" t="str">
        <f aca="true">IF(B466="","",IF(ISNA(MATCH(B466,ListaInsumos,0)),"Insumo no está en Insumos",IF(OR(D466="",E466="",F466=""),"Faltan datos",IF(INDEX(UnidadesBase,MATCH(E466,Unidades,0))&lt;&gt;INDEX(InsBase,MATCH(B466,ListaInsumos,0)),"Unidad incompatible",IF(A466="","Falta fecha","OK")))))</f>
        <v/>
      </c>
      <c r="J466" s="15"/>
    </row>
    <row r="467" customFormat="false" ht="15" hidden="false" customHeight="false" outlineLevel="0" collapsed="false">
      <c r="A467" s="26"/>
      <c r="B467" s="15"/>
      <c r="C467" s="15"/>
      <c r="D467" s="27"/>
      <c r="E467" s="15"/>
      <c r="F467" s="28"/>
      <c r="G467" s="25" t="str">
        <f aca="true">IF(OR(D467="",E467=""),"",IFERROR(D467*INDEX(UnidadesFactor,MATCH(E467,Unidades,0)),""))</f>
        <v/>
      </c>
      <c r="H467" s="17" t="str">
        <f aca="false">IF(I467&lt;&gt;"OK","",IF(G467=0,"",F467/G467))</f>
        <v/>
      </c>
      <c r="I467" s="20" t="str">
        <f aca="true">IF(B467="","",IF(ISNA(MATCH(B467,ListaInsumos,0)),"Insumo no está en Insumos",IF(OR(D467="",E467="",F467=""),"Faltan datos",IF(INDEX(UnidadesBase,MATCH(E467,Unidades,0))&lt;&gt;INDEX(InsBase,MATCH(B467,ListaInsumos,0)),"Unidad incompatible",IF(A467="","Falta fecha","OK")))))</f>
        <v/>
      </c>
      <c r="J467" s="15"/>
    </row>
    <row r="468" customFormat="false" ht="15" hidden="false" customHeight="false" outlineLevel="0" collapsed="false">
      <c r="A468" s="26"/>
      <c r="B468" s="15"/>
      <c r="C468" s="15"/>
      <c r="D468" s="27"/>
      <c r="E468" s="15"/>
      <c r="F468" s="28"/>
      <c r="G468" s="25" t="str">
        <f aca="true">IF(OR(D468="",E468=""),"",IFERROR(D468*INDEX(UnidadesFactor,MATCH(E468,Unidades,0)),""))</f>
        <v/>
      </c>
      <c r="H468" s="17" t="str">
        <f aca="false">IF(I468&lt;&gt;"OK","",IF(G468=0,"",F468/G468))</f>
        <v/>
      </c>
      <c r="I468" s="20" t="str">
        <f aca="true">IF(B468="","",IF(ISNA(MATCH(B468,ListaInsumos,0)),"Insumo no está en Insumos",IF(OR(D468="",E468="",F468=""),"Faltan datos",IF(INDEX(UnidadesBase,MATCH(E468,Unidades,0))&lt;&gt;INDEX(InsBase,MATCH(B468,ListaInsumos,0)),"Unidad incompatible",IF(A468="","Falta fecha","OK")))))</f>
        <v/>
      </c>
      <c r="J468" s="15"/>
    </row>
    <row r="469" customFormat="false" ht="15" hidden="false" customHeight="false" outlineLevel="0" collapsed="false">
      <c r="A469" s="26"/>
      <c r="B469" s="15"/>
      <c r="C469" s="15"/>
      <c r="D469" s="27"/>
      <c r="E469" s="15"/>
      <c r="F469" s="28"/>
      <c r="G469" s="25" t="str">
        <f aca="true">IF(OR(D469="",E469=""),"",IFERROR(D469*INDEX(UnidadesFactor,MATCH(E469,Unidades,0)),""))</f>
        <v/>
      </c>
      <c r="H469" s="17" t="str">
        <f aca="false">IF(I469&lt;&gt;"OK","",IF(G469=0,"",F469/G469))</f>
        <v/>
      </c>
      <c r="I469" s="20" t="str">
        <f aca="true">IF(B469="","",IF(ISNA(MATCH(B469,ListaInsumos,0)),"Insumo no está en Insumos",IF(OR(D469="",E469="",F469=""),"Faltan datos",IF(INDEX(UnidadesBase,MATCH(E469,Unidades,0))&lt;&gt;INDEX(InsBase,MATCH(B469,ListaInsumos,0)),"Unidad incompatible",IF(A469="","Falta fecha","OK")))))</f>
        <v/>
      </c>
      <c r="J469" s="15"/>
    </row>
    <row r="470" customFormat="false" ht="15" hidden="false" customHeight="false" outlineLevel="0" collapsed="false">
      <c r="A470" s="26"/>
      <c r="B470" s="15"/>
      <c r="C470" s="15"/>
      <c r="D470" s="27"/>
      <c r="E470" s="15"/>
      <c r="F470" s="28"/>
      <c r="G470" s="25" t="str">
        <f aca="true">IF(OR(D470="",E470=""),"",IFERROR(D470*INDEX(UnidadesFactor,MATCH(E470,Unidades,0)),""))</f>
        <v/>
      </c>
      <c r="H470" s="17" t="str">
        <f aca="false">IF(I470&lt;&gt;"OK","",IF(G470=0,"",F470/G470))</f>
        <v/>
      </c>
      <c r="I470" s="20" t="str">
        <f aca="true">IF(B470="","",IF(ISNA(MATCH(B470,ListaInsumos,0)),"Insumo no está en Insumos",IF(OR(D470="",E470="",F470=""),"Faltan datos",IF(INDEX(UnidadesBase,MATCH(E470,Unidades,0))&lt;&gt;INDEX(InsBase,MATCH(B470,ListaInsumos,0)),"Unidad incompatible",IF(A470="","Falta fecha","OK")))))</f>
        <v/>
      </c>
      <c r="J470" s="15"/>
    </row>
    <row r="471" customFormat="false" ht="15" hidden="false" customHeight="false" outlineLevel="0" collapsed="false">
      <c r="A471" s="26"/>
      <c r="B471" s="15"/>
      <c r="C471" s="15"/>
      <c r="D471" s="27"/>
      <c r="E471" s="15"/>
      <c r="F471" s="28"/>
      <c r="G471" s="25" t="str">
        <f aca="true">IF(OR(D471="",E471=""),"",IFERROR(D471*INDEX(UnidadesFactor,MATCH(E471,Unidades,0)),""))</f>
        <v/>
      </c>
      <c r="H471" s="17" t="str">
        <f aca="false">IF(I471&lt;&gt;"OK","",IF(G471=0,"",F471/G471))</f>
        <v/>
      </c>
      <c r="I471" s="20" t="str">
        <f aca="true">IF(B471="","",IF(ISNA(MATCH(B471,ListaInsumos,0)),"Insumo no está en Insumos",IF(OR(D471="",E471="",F471=""),"Faltan datos",IF(INDEX(UnidadesBase,MATCH(E471,Unidades,0))&lt;&gt;INDEX(InsBase,MATCH(B471,ListaInsumos,0)),"Unidad incompatible",IF(A471="","Falta fecha","OK")))))</f>
        <v/>
      </c>
      <c r="J471" s="15"/>
    </row>
    <row r="472" customFormat="false" ht="15" hidden="false" customHeight="false" outlineLevel="0" collapsed="false">
      <c r="A472" s="26"/>
      <c r="B472" s="15"/>
      <c r="C472" s="15"/>
      <c r="D472" s="27"/>
      <c r="E472" s="15"/>
      <c r="F472" s="28"/>
      <c r="G472" s="25" t="str">
        <f aca="true">IF(OR(D472="",E472=""),"",IFERROR(D472*INDEX(UnidadesFactor,MATCH(E472,Unidades,0)),""))</f>
        <v/>
      </c>
      <c r="H472" s="17" t="str">
        <f aca="false">IF(I472&lt;&gt;"OK","",IF(G472=0,"",F472/G472))</f>
        <v/>
      </c>
      <c r="I472" s="20" t="str">
        <f aca="true">IF(B472="","",IF(ISNA(MATCH(B472,ListaInsumos,0)),"Insumo no está en Insumos",IF(OR(D472="",E472="",F472=""),"Faltan datos",IF(INDEX(UnidadesBase,MATCH(E472,Unidades,0))&lt;&gt;INDEX(InsBase,MATCH(B472,ListaInsumos,0)),"Unidad incompatible",IF(A472="","Falta fecha","OK")))))</f>
        <v/>
      </c>
      <c r="J472" s="15"/>
    </row>
    <row r="473" customFormat="false" ht="15" hidden="false" customHeight="false" outlineLevel="0" collapsed="false">
      <c r="A473" s="26"/>
      <c r="B473" s="15"/>
      <c r="C473" s="15"/>
      <c r="D473" s="27"/>
      <c r="E473" s="15"/>
      <c r="F473" s="28"/>
      <c r="G473" s="25" t="str">
        <f aca="true">IF(OR(D473="",E473=""),"",IFERROR(D473*INDEX(UnidadesFactor,MATCH(E473,Unidades,0)),""))</f>
        <v/>
      </c>
      <c r="H473" s="17" t="str">
        <f aca="false">IF(I473&lt;&gt;"OK","",IF(G473=0,"",F473/G473))</f>
        <v/>
      </c>
      <c r="I473" s="20" t="str">
        <f aca="true">IF(B473="","",IF(ISNA(MATCH(B473,ListaInsumos,0)),"Insumo no está en Insumos",IF(OR(D473="",E473="",F473=""),"Faltan datos",IF(INDEX(UnidadesBase,MATCH(E473,Unidades,0))&lt;&gt;INDEX(InsBase,MATCH(B473,ListaInsumos,0)),"Unidad incompatible",IF(A473="","Falta fecha","OK")))))</f>
        <v/>
      </c>
      <c r="J473" s="15"/>
    </row>
    <row r="474" customFormat="false" ht="15" hidden="false" customHeight="false" outlineLevel="0" collapsed="false">
      <c r="A474" s="26"/>
      <c r="B474" s="15"/>
      <c r="C474" s="15"/>
      <c r="D474" s="27"/>
      <c r="E474" s="15"/>
      <c r="F474" s="28"/>
      <c r="G474" s="25" t="str">
        <f aca="true">IF(OR(D474="",E474=""),"",IFERROR(D474*INDEX(UnidadesFactor,MATCH(E474,Unidades,0)),""))</f>
        <v/>
      </c>
      <c r="H474" s="17" t="str">
        <f aca="false">IF(I474&lt;&gt;"OK","",IF(G474=0,"",F474/G474))</f>
        <v/>
      </c>
      <c r="I474" s="20" t="str">
        <f aca="true">IF(B474="","",IF(ISNA(MATCH(B474,ListaInsumos,0)),"Insumo no está en Insumos",IF(OR(D474="",E474="",F474=""),"Faltan datos",IF(INDEX(UnidadesBase,MATCH(E474,Unidades,0))&lt;&gt;INDEX(InsBase,MATCH(B474,ListaInsumos,0)),"Unidad incompatible",IF(A474="","Falta fecha","OK")))))</f>
        <v/>
      </c>
      <c r="J474" s="15"/>
    </row>
    <row r="475" customFormat="false" ht="15" hidden="false" customHeight="false" outlineLevel="0" collapsed="false">
      <c r="A475" s="26"/>
      <c r="B475" s="15"/>
      <c r="C475" s="15"/>
      <c r="D475" s="27"/>
      <c r="E475" s="15"/>
      <c r="F475" s="28"/>
      <c r="G475" s="25" t="str">
        <f aca="true">IF(OR(D475="",E475=""),"",IFERROR(D475*INDEX(UnidadesFactor,MATCH(E475,Unidades,0)),""))</f>
        <v/>
      </c>
      <c r="H475" s="17" t="str">
        <f aca="false">IF(I475&lt;&gt;"OK","",IF(G475=0,"",F475/G475))</f>
        <v/>
      </c>
      <c r="I475" s="20" t="str">
        <f aca="true">IF(B475="","",IF(ISNA(MATCH(B475,ListaInsumos,0)),"Insumo no está en Insumos",IF(OR(D475="",E475="",F475=""),"Faltan datos",IF(INDEX(UnidadesBase,MATCH(E475,Unidades,0))&lt;&gt;INDEX(InsBase,MATCH(B475,ListaInsumos,0)),"Unidad incompatible",IF(A475="","Falta fecha","OK")))))</f>
        <v/>
      </c>
      <c r="J475" s="15"/>
    </row>
    <row r="476" customFormat="false" ht="15" hidden="false" customHeight="false" outlineLevel="0" collapsed="false">
      <c r="A476" s="26"/>
      <c r="B476" s="15"/>
      <c r="C476" s="15"/>
      <c r="D476" s="27"/>
      <c r="E476" s="15"/>
      <c r="F476" s="28"/>
      <c r="G476" s="25" t="str">
        <f aca="true">IF(OR(D476="",E476=""),"",IFERROR(D476*INDEX(UnidadesFactor,MATCH(E476,Unidades,0)),""))</f>
        <v/>
      </c>
      <c r="H476" s="17" t="str">
        <f aca="false">IF(I476&lt;&gt;"OK","",IF(G476=0,"",F476/G476))</f>
        <v/>
      </c>
      <c r="I476" s="20" t="str">
        <f aca="true">IF(B476="","",IF(ISNA(MATCH(B476,ListaInsumos,0)),"Insumo no está en Insumos",IF(OR(D476="",E476="",F476=""),"Faltan datos",IF(INDEX(UnidadesBase,MATCH(E476,Unidades,0))&lt;&gt;INDEX(InsBase,MATCH(B476,ListaInsumos,0)),"Unidad incompatible",IF(A476="","Falta fecha","OK")))))</f>
        <v/>
      </c>
      <c r="J476" s="15"/>
    </row>
    <row r="477" customFormat="false" ht="15" hidden="false" customHeight="false" outlineLevel="0" collapsed="false">
      <c r="A477" s="26"/>
      <c r="B477" s="15"/>
      <c r="C477" s="15"/>
      <c r="D477" s="27"/>
      <c r="E477" s="15"/>
      <c r="F477" s="28"/>
      <c r="G477" s="25" t="str">
        <f aca="true">IF(OR(D477="",E477=""),"",IFERROR(D477*INDEX(UnidadesFactor,MATCH(E477,Unidades,0)),""))</f>
        <v/>
      </c>
      <c r="H477" s="17" t="str">
        <f aca="false">IF(I477&lt;&gt;"OK","",IF(G477=0,"",F477/G477))</f>
        <v/>
      </c>
      <c r="I477" s="20" t="str">
        <f aca="true">IF(B477="","",IF(ISNA(MATCH(B477,ListaInsumos,0)),"Insumo no está en Insumos",IF(OR(D477="",E477="",F477=""),"Faltan datos",IF(INDEX(UnidadesBase,MATCH(E477,Unidades,0))&lt;&gt;INDEX(InsBase,MATCH(B477,ListaInsumos,0)),"Unidad incompatible",IF(A477="","Falta fecha","OK")))))</f>
        <v/>
      </c>
      <c r="J477" s="15"/>
    </row>
    <row r="478" customFormat="false" ht="15" hidden="false" customHeight="false" outlineLevel="0" collapsed="false">
      <c r="A478" s="26"/>
      <c r="B478" s="15"/>
      <c r="C478" s="15"/>
      <c r="D478" s="27"/>
      <c r="E478" s="15"/>
      <c r="F478" s="28"/>
      <c r="G478" s="25" t="str">
        <f aca="true">IF(OR(D478="",E478=""),"",IFERROR(D478*INDEX(UnidadesFactor,MATCH(E478,Unidades,0)),""))</f>
        <v/>
      </c>
      <c r="H478" s="17" t="str">
        <f aca="false">IF(I478&lt;&gt;"OK","",IF(G478=0,"",F478/G478))</f>
        <v/>
      </c>
      <c r="I478" s="20" t="str">
        <f aca="true">IF(B478="","",IF(ISNA(MATCH(B478,ListaInsumos,0)),"Insumo no está en Insumos",IF(OR(D478="",E478="",F478=""),"Faltan datos",IF(INDEX(UnidadesBase,MATCH(E478,Unidades,0))&lt;&gt;INDEX(InsBase,MATCH(B478,ListaInsumos,0)),"Unidad incompatible",IF(A478="","Falta fecha","OK")))))</f>
        <v/>
      </c>
      <c r="J478" s="15"/>
    </row>
    <row r="479" customFormat="false" ht="15" hidden="false" customHeight="false" outlineLevel="0" collapsed="false">
      <c r="A479" s="26"/>
      <c r="B479" s="15"/>
      <c r="C479" s="15"/>
      <c r="D479" s="27"/>
      <c r="E479" s="15"/>
      <c r="F479" s="28"/>
      <c r="G479" s="25" t="str">
        <f aca="true">IF(OR(D479="",E479=""),"",IFERROR(D479*INDEX(UnidadesFactor,MATCH(E479,Unidades,0)),""))</f>
        <v/>
      </c>
      <c r="H479" s="17" t="str">
        <f aca="false">IF(I479&lt;&gt;"OK","",IF(G479=0,"",F479/G479))</f>
        <v/>
      </c>
      <c r="I479" s="20" t="str">
        <f aca="true">IF(B479="","",IF(ISNA(MATCH(B479,ListaInsumos,0)),"Insumo no está en Insumos",IF(OR(D479="",E479="",F479=""),"Faltan datos",IF(INDEX(UnidadesBase,MATCH(E479,Unidades,0))&lt;&gt;INDEX(InsBase,MATCH(B479,ListaInsumos,0)),"Unidad incompatible",IF(A479="","Falta fecha","OK")))))</f>
        <v/>
      </c>
      <c r="J479" s="15"/>
    </row>
    <row r="480" customFormat="false" ht="15" hidden="false" customHeight="false" outlineLevel="0" collapsed="false">
      <c r="A480" s="26"/>
      <c r="B480" s="15"/>
      <c r="C480" s="15"/>
      <c r="D480" s="27"/>
      <c r="E480" s="15"/>
      <c r="F480" s="28"/>
      <c r="G480" s="25" t="str">
        <f aca="true">IF(OR(D480="",E480=""),"",IFERROR(D480*INDEX(UnidadesFactor,MATCH(E480,Unidades,0)),""))</f>
        <v/>
      </c>
      <c r="H480" s="17" t="str">
        <f aca="false">IF(I480&lt;&gt;"OK","",IF(G480=0,"",F480/G480))</f>
        <v/>
      </c>
      <c r="I480" s="20" t="str">
        <f aca="true">IF(B480="","",IF(ISNA(MATCH(B480,ListaInsumos,0)),"Insumo no está en Insumos",IF(OR(D480="",E480="",F480=""),"Faltan datos",IF(INDEX(UnidadesBase,MATCH(E480,Unidades,0))&lt;&gt;INDEX(InsBase,MATCH(B480,ListaInsumos,0)),"Unidad incompatible",IF(A480="","Falta fecha","OK")))))</f>
        <v/>
      </c>
      <c r="J480" s="15"/>
    </row>
    <row r="481" customFormat="false" ht="15" hidden="false" customHeight="false" outlineLevel="0" collapsed="false">
      <c r="A481" s="26"/>
      <c r="B481" s="15"/>
      <c r="C481" s="15"/>
      <c r="D481" s="27"/>
      <c r="E481" s="15"/>
      <c r="F481" s="28"/>
      <c r="G481" s="25" t="str">
        <f aca="true">IF(OR(D481="",E481=""),"",IFERROR(D481*INDEX(UnidadesFactor,MATCH(E481,Unidades,0)),""))</f>
        <v/>
      </c>
      <c r="H481" s="17" t="str">
        <f aca="false">IF(I481&lt;&gt;"OK","",IF(G481=0,"",F481/G481))</f>
        <v/>
      </c>
      <c r="I481" s="20" t="str">
        <f aca="true">IF(B481="","",IF(ISNA(MATCH(B481,ListaInsumos,0)),"Insumo no está en Insumos",IF(OR(D481="",E481="",F481=""),"Faltan datos",IF(INDEX(UnidadesBase,MATCH(E481,Unidades,0))&lt;&gt;INDEX(InsBase,MATCH(B481,ListaInsumos,0)),"Unidad incompatible",IF(A481="","Falta fecha","OK")))))</f>
        <v/>
      </c>
      <c r="J481" s="15"/>
    </row>
    <row r="482" customFormat="false" ht="15" hidden="false" customHeight="false" outlineLevel="0" collapsed="false">
      <c r="A482" s="26"/>
      <c r="B482" s="15"/>
      <c r="C482" s="15"/>
      <c r="D482" s="27"/>
      <c r="E482" s="15"/>
      <c r="F482" s="28"/>
      <c r="G482" s="25" t="str">
        <f aca="true">IF(OR(D482="",E482=""),"",IFERROR(D482*INDEX(UnidadesFactor,MATCH(E482,Unidades,0)),""))</f>
        <v/>
      </c>
      <c r="H482" s="17" t="str">
        <f aca="false">IF(I482&lt;&gt;"OK","",IF(G482=0,"",F482/G482))</f>
        <v/>
      </c>
      <c r="I482" s="20" t="str">
        <f aca="true">IF(B482="","",IF(ISNA(MATCH(B482,ListaInsumos,0)),"Insumo no está en Insumos",IF(OR(D482="",E482="",F482=""),"Faltan datos",IF(INDEX(UnidadesBase,MATCH(E482,Unidades,0))&lt;&gt;INDEX(InsBase,MATCH(B482,ListaInsumos,0)),"Unidad incompatible",IF(A482="","Falta fecha","OK")))))</f>
        <v/>
      </c>
      <c r="J482" s="15"/>
    </row>
    <row r="483" customFormat="false" ht="15" hidden="false" customHeight="false" outlineLevel="0" collapsed="false">
      <c r="A483" s="26"/>
      <c r="B483" s="15"/>
      <c r="C483" s="15"/>
      <c r="D483" s="27"/>
      <c r="E483" s="15"/>
      <c r="F483" s="28"/>
      <c r="G483" s="25" t="str">
        <f aca="true">IF(OR(D483="",E483=""),"",IFERROR(D483*INDEX(UnidadesFactor,MATCH(E483,Unidades,0)),""))</f>
        <v/>
      </c>
      <c r="H483" s="17" t="str">
        <f aca="false">IF(I483&lt;&gt;"OK","",IF(G483=0,"",F483/G483))</f>
        <v/>
      </c>
      <c r="I483" s="20" t="str">
        <f aca="true">IF(B483="","",IF(ISNA(MATCH(B483,ListaInsumos,0)),"Insumo no está en Insumos",IF(OR(D483="",E483="",F483=""),"Faltan datos",IF(INDEX(UnidadesBase,MATCH(E483,Unidades,0))&lt;&gt;INDEX(InsBase,MATCH(B483,ListaInsumos,0)),"Unidad incompatible",IF(A483="","Falta fecha","OK")))))</f>
        <v/>
      </c>
      <c r="J483" s="15"/>
    </row>
    <row r="484" customFormat="false" ht="15" hidden="false" customHeight="false" outlineLevel="0" collapsed="false">
      <c r="A484" s="26"/>
      <c r="B484" s="15"/>
      <c r="C484" s="15"/>
      <c r="D484" s="27"/>
      <c r="E484" s="15"/>
      <c r="F484" s="28"/>
      <c r="G484" s="25" t="str">
        <f aca="true">IF(OR(D484="",E484=""),"",IFERROR(D484*INDEX(UnidadesFactor,MATCH(E484,Unidades,0)),""))</f>
        <v/>
      </c>
      <c r="H484" s="17" t="str">
        <f aca="false">IF(I484&lt;&gt;"OK","",IF(G484=0,"",F484/G484))</f>
        <v/>
      </c>
      <c r="I484" s="20" t="str">
        <f aca="true">IF(B484="","",IF(ISNA(MATCH(B484,ListaInsumos,0)),"Insumo no está en Insumos",IF(OR(D484="",E484="",F484=""),"Faltan datos",IF(INDEX(UnidadesBase,MATCH(E484,Unidades,0))&lt;&gt;INDEX(InsBase,MATCH(B484,ListaInsumos,0)),"Unidad incompatible",IF(A484="","Falta fecha","OK")))))</f>
        <v/>
      </c>
      <c r="J484" s="15"/>
    </row>
    <row r="485" customFormat="false" ht="15" hidden="false" customHeight="false" outlineLevel="0" collapsed="false">
      <c r="A485" s="26"/>
      <c r="B485" s="15"/>
      <c r="C485" s="15"/>
      <c r="D485" s="27"/>
      <c r="E485" s="15"/>
      <c r="F485" s="28"/>
      <c r="G485" s="25" t="str">
        <f aca="true">IF(OR(D485="",E485=""),"",IFERROR(D485*INDEX(UnidadesFactor,MATCH(E485,Unidades,0)),""))</f>
        <v/>
      </c>
      <c r="H485" s="17" t="str">
        <f aca="false">IF(I485&lt;&gt;"OK","",IF(G485=0,"",F485/G485))</f>
        <v/>
      </c>
      <c r="I485" s="20" t="str">
        <f aca="true">IF(B485="","",IF(ISNA(MATCH(B485,ListaInsumos,0)),"Insumo no está en Insumos",IF(OR(D485="",E485="",F485=""),"Faltan datos",IF(INDEX(UnidadesBase,MATCH(E485,Unidades,0))&lt;&gt;INDEX(InsBase,MATCH(B485,ListaInsumos,0)),"Unidad incompatible",IF(A485="","Falta fecha","OK")))))</f>
        <v/>
      </c>
      <c r="J485" s="15"/>
    </row>
    <row r="486" customFormat="false" ht="15" hidden="false" customHeight="false" outlineLevel="0" collapsed="false">
      <c r="A486" s="26"/>
      <c r="B486" s="15"/>
      <c r="C486" s="15"/>
      <c r="D486" s="27"/>
      <c r="E486" s="15"/>
      <c r="F486" s="28"/>
      <c r="G486" s="25" t="str">
        <f aca="true">IF(OR(D486="",E486=""),"",IFERROR(D486*INDEX(UnidadesFactor,MATCH(E486,Unidades,0)),""))</f>
        <v/>
      </c>
      <c r="H486" s="17" t="str">
        <f aca="false">IF(I486&lt;&gt;"OK","",IF(G486=0,"",F486/G486))</f>
        <v/>
      </c>
      <c r="I486" s="20" t="str">
        <f aca="true">IF(B486="","",IF(ISNA(MATCH(B486,ListaInsumos,0)),"Insumo no está en Insumos",IF(OR(D486="",E486="",F486=""),"Faltan datos",IF(INDEX(UnidadesBase,MATCH(E486,Unidades,0))&lt;&gt;INDEX(InsBase,MATCH(B486,ListaInsumos,0)),"Unidad incompatible",IF(A486="","Falta fecha","OK")))))</f>
        <v/>
      </c>
      <c r="J486" s="15"/>
    </row>
    <row r="487" customFormat="false" ht="15" hidden="false" customHeight="false" outlineLevel="0" collapsed="false">
      <c r="A487" s="26"/>
      <c r="B487" s="15"/>
      <c r="C487" s="15"/>
      <c r="D487" s="27"/>
      <c r="E487" s="15"/>
      <c r="F487" s="28"/>
      <c r="G487" s="25" t="str">
        <f aca="true">IF(OR(D487="",E487=""),"",IFERROR(D487*INDEX(UnidadesFactor,MATCH(E487,Unidades,0)),""))</f>
        <v/>
      </c>
      <c r="H487" s="17" t="str">
        <f aca="false">IF(I487&lt;&gt;"OK","",IF(G487=0,"",F487/G487))</f>
        <v/>
      </c>
      <c r="I487" s="20" t="str">
        <f aca="true">IF(B487="","",IF(ISNA(MATCH(B487,ListaInsumos,0)),"Insumo no está en Insumos",IF(OR(D487="",E487="",F487=""),"Faltan datos",IF(INDEX(UnidadesBase,MATCH(E487,Unidades,0))&lt;&gt;INDEX(InsBase,MATCH(B487,ListaInsumos,0)),"Unidad incompatible",IF(A487="","Falta fecha","OK")))))</f>
        <v/>
      </c>
      <c r="J487" s="15"/>
    </row>
    <row r="488" customFormat="false" ht="15" hidden="false" customHeight="false" outlineLevel="0" collapsed="false">
      <c r="A488" s="26"/>
      <c r="B488" s="15"/>
      <c r="C488" s="15"/>
      <c r="D488" s="27"/>
      <c r="E488" s="15"/>
      <c r="F488" s="28"/>
      <c r="G488" s="25" t="str">
        <f aca="true">IF(OR(D488="",E488=""),"",IFERROR(D488*INDEX(UnidadesFactor,MATCH(E488,Unidades,0)),""))</f>
        <v/>
      </c>
      <c r="H488" s="17" t="str">
        <f aca="false">IF(I488&lt;&gt;"OK","",IF(G488=0,"",F488/G488))</f>
        <v/>
      </c>
      <c r="I488" s="20" t="str">
        <f aca="true">IF(B488="","",IF(ISNA(MATCH(B488,ListaInsumos,0)),"Insumo no está en Insumos",IF(OR(D488="",E488="",F488=""),"Faltan datos",IF(INDEX(UnidadesBase,MATCH(E488,Unidades,0))&lt;&gt;INDEX(InsBase,MATCH(B488,ListaInsumos,0)),"Unidad incompatible",IF(A488="","Falta fecha","OK")))))</f>
        <v/>
      </c>
      <c r="J488" s="15"/>
    </row>
    <row r="489" customFormat="false" ht="15" hidden="false" customHeight="false" outlineLevel="0" collapsed="false">
      <c r="A489" s="26"/>
      <c r="B489" s="15"/>
      <c r="C489" s="15"/>
      <c r="D489" s="27"/>
      <c r="E489" s="15"/>
      <c r="F489" s="28"/>
      <c r="G489" s="25" t="str">
        <f aca="true">IF(OR(D489="",E489=""),"",IFERROR(D489*INDEX(UnidadesFactor,MATCH(E489,Unidades,0)),""))</f>
        <v/>
      </c>
      <c r="H489" s="17" t="str">
        <f aca="false">IF(I489&lt;&gt;"OK","",IF(G489=0,"",F489/G489))</f>
        <v/>
      </c>
      <c r="I489" s="20" t="str">
        <f aca="true">IF(B489="","",IF(ISNA(MATCH(B489,ListaInsumos,0)),"Insumo no está en Insumos",IF(OR(D489="",E489="",F489=""),"Faltan datos",IF(INDEX(UnidadesBase,MATCH(E489,Unidades,0))&lt;&gt;INDEX(InsBase,MATCH(B489,ListaInsumos,0)),"Unidad incompatible",IF(A489="","Falta fecha","OK")))))</f>
        <v/>
      </c>
      <c r="J489" s="15"/>
    </row>
    <row r="490" customFormat="false" ht="15" hidden="false" customHeight="false" outlineLevel="0" collapsed="false">
      <c r="A490" s="26"/>
      <c r="B490" s="15"/>
      <c r="C490" s="15"/>
      <c r="D490" s="27"/>
      <c r="E490" s="15"/>
      <c r="F490" s="28"/>
      <c r="G490" s="25" t="str">
        <f aca="true">IF(OR(D490="",E490=""),"",IFERROR(D490*INDEX(UnidadesFactor,MATCH(E490,Unidades,0)),""))</f>
        <v/>
      </c>
      <c r="H490" s="17" t="str">
        <f aca="false">IF(I490&lt;&gt;"OK","",IF(G490=0,"",F490/G490))</f>
        <v/>
      </c>
      <c r="I490" s="20" t="str">
        <f aca="true">IF(B490="","",IF(ISNA(MATCH(B490,ListaInsumos,0)),"Insumo no está en Insumos",IF(OR(D490="",E490="",F490=""),"Faltan datos",IF(INDEX(UnidadesBase,MATCH(E490,Unidades,0))&lt;&gt;INDEX(InsBase,MATCH(B490,ListaInsumos,0)),"Unidad incompatible",IF(A490="","Falta fecha","OK")))))</f>
        <v/>
      </c>
      <c r="J490" s="15"/>
    </row>
    <row r="491" customFormat="false" ht="15" hidden="false" customHeight="false" outlineLevel="0" collapsed="false">
      <c r="A491" s="26"/>
      <c r="B491" s="15"/>
      <c r="C491" s="15"/>
      <c r="D491" s="27"/>
      <c r="E491" s="15"/>
      <c r="F491" s="28"/>
      <c r="G491" s="25" t="str">
        <f aca="true">IF(OR(D491="",E491=""),"",IFERROR(D491*INDEX(UnidadesFactor,MATCH(E491,Unidades,0)),""))</f>
        <v/>
      </c>
      <c r="H491" s="17" t="str">
        <f aca="false">IF(I491&lt;&gt;"OK","",IF(G491=0,"",F491/G491))</f>
        <v/>
      </c>
      <c r="I491" s="20" t="str">
        <f aca="true">IF(B491="","",IF(ISNA(MATCH(B491,ListaInsumos,0)),"Insumo no está en Insumos",IF(OR(D491="",E491="",F491=""),"Faltan datos",IF(INDEX(UnidadesBase,MATCH(E491,Unidades,0))&lt;&gt;INDEX(InsBase,MATCH(B491,ListaInsumos,0)),"Unidad incompatible",IF(A491="","Falta fecha","OK")))))</f>
        <v/>
      </c>
      <c r="J491" s="15"/>
    </row>
    <row r="492" customFormat="false" ht="15" hidden="false" customHeight="false" outlineLevel="0" collapsed="false">
      <c r="A492" s="26"/>
      <c r="B492" s="15"/>
      <c r="C492" s="15"/>
      <c r="D492" s="27"/>
      <c r="E492" s="15"/>
      <c r="F492" s="28"/>
      <c r="G492" s="25" t="str">
        <f aca="true">IF(OR(D492="",E492=""),"",IFERROR(D492*INDEX(UnidadesFactor,MATCH(E492,Unidades,0)),""))</f>
        <v/>
      </c>
      <c r="H492" s="17" t="str">
        <f aca="false">IF(I492&lt;&gt;"OK","",IF(G492=0,"",F492/G492))</f>
        <v/>
      </c>
      <c r="I492" s="20" t="str">
        <f aca="true">IF(B492="","",IF(ISNA(MATCH(B492,ListaInsumos,0)),"Insumo no está en Insumos",IF(OR(D492="",E492="",F492=""),"Faltan datos",IF(INDEX(UnidadesBase,MATCH(E492,Unidades,0))&lt;&gt;INDEX(InsBase,MATCH(B492,ListaInsumos,0)),"Unidad incompatible",IF(A492="","Falta fecha","OK")))))</f>
        <v/>
      </c>
      <c r="J492" s="15"/>
    </row>
    <row r="493" customFormat="false" ht="15" hidden="false" customHeight="false" outlineLevel="0" collapsed="false">
      <c r="A493" s="26"/>
      <c r="B493" s="15"/>
      <c r="C493" s="15"/>
      <c r="D493" s="27"/>
      <c r="E493" s="15"/>
      <c r="F493" s="28"/>
      <c r="G493" s="25" t="str">
        <f aca="true">IF(OR(D493="",E493=""),"",IFERROR(D493*INDEX(UnidadesFactor,MATCH(E493,Unidades,0)),""))</f>
        <v/>
      </c>
      <c r="H493" s="17" t="str">
        <f aca="false">IF(I493&lt;&gt;"OK","",IF(G493=0,"",F493/G493))</f>
        <v/>
      </c>
      <c r="I493" s="20" t="str">
        <f aca="true">IF(B493="","",IF(ISNA(MATCH(B493,ListaInsumos,0)),"Insumo no está en Insumos",IF(OR(D493="",E493="",F493=""),"Faltan datos",IF(INDEX(UnidadesBase,MATCH(E493,Unidades,0))&lt;&gt;INDEX(InsBase,MATCH(B493,ListaInsumos,0)),"Unidad incompatible",IF(A493="","Falta fecha","OK")))))</f>
        <v/>
      </c>
      <c r="J493" s="15"/>
    </row>
    <row r="494" customFormat="false" ht="15" hidden="false" customHeight="false" outlineLevel="0" collapsed="false">
      <c r="A494" s="26"/>
      <c r="B494" s="15"/>
      <c r="C494" s="15"/>
      <c r="D494" s="27"/>
      <c r="E494" s="15"/>
      <c r="F494" s="28"/>
      <c r="G494" s="25" t="str">
        <f aca="true">IF(OR(D494="",E494=""),"",IFERROR(D494*INDEX(UnidadesFactor,MATCH(E494,Unidades,0)),""))</f>
        <v/>
      </c>
      <c r="H494" s="17" t="str">
        <f aca="false">IF(I494&lt;&gt;"OK","",IF(G494=0,"",F494/G494))</f>
        <v/>
      </c>
      <c r="I494" s="20" t="str">
        <f aca="true">IF(B494="","",IF(ISNA(MATCH(B494,ListaInsumos,0)),"Insumo no está en Insumos",IF(OR(D494="",E494="",F494=""),"Faltan datos",IF(INDEX(UnidadesBase,MATCH(E494,Unidades,0))&lt;&gt;INDEX(InsBase,MATCH(B494,ListaInsumos,0)),"Unidad incompatible",IF(A494="","Falta fecha","OK")))))</f>
        <v/>
      </c>
      <c r="J494" s="15"/>
    </row>
    <row r="495" customFormat="false" ht="15" hidden="false" customHeight="false" outlineLevel="0" collapsed="false">
      <c r="A495" s="26"/>
      <c r="B495" s="15"/>
      <c r="C495" s="15"/>
      <c r="D495" s="27"/>
      <c r="E495" s="15"/>
      <c r="F495" s="28"/>
      <c r="G495" s="25" t="str">
        <f aca="true">IF(OR(D495="",E495=""),"",IFERROR(D495*INDEX(UnidadesFactor,MATCH(E495,Unidades,0)),""))</f>
        <v/>
      </c>
      <c r="H495" s="17" t="str">
        <f aca="false">IF(I495&lt;&gt;"OK","",IF(G495=0,"",F495/G495))</f>
        <v/>
      </c>
      <c r="I495" s="20" t="str">
        <f aca="true">IF(B495="","",IF(ISNA(MATCH(B495,ListaInsumos,0)),"Insumo no está en Insumos",IF(OR(D495="",E495="",F495=""),"Faltan datos",IF(INDEX(UnidadesBase,MATCH(E495,Unidades,0))&lt;&gt;INDEX(InsBase,MATCH(B495,ListaInsumos,0)),"Unidad incompatible",IF(A495="","Falta fecha","OK")))))</f>
        <v/>
      </c>
      <c r="J495" s="15"/>
    </row>
    <row r="496" customFormat="false" ht="15" hidden="false" customHeight="false" outlineLevel="0" collapsed="false">
      <c r="A496" s="26"/>
      <c r="B496" s="15"/>
      <c r="C496" s="15"/>
      <c r="D496" s="27"/>
      <c r="E496" s="15"/>
      <c r="F496" s="28"/>
      <c r="G496" s="25" t="str">
        <f aca="true">IF(OR(D496="",E496=""),"",IFERROR(D496*INDEX(UnidadesFactor,MATCH(E496,Unidades,0)),""))</f>
        <v/>
      </c>
      <c r="H496" s="17" t="str">
        <f aca="false">IF(I496&lt;&gt;"OK","",IF(G496=0,"",F496/G496))</f>
        <v/>
      </c>
      <c r="I496" s="20" t="str">
        <f aca="true">IF(B496="","",IF(ISNA(MATCH(B496,ListaInsumos,0)),"Insumo no está en Insumos",IF(OR(D496="",E496="",F496=""),"Faltan datos",IF(INDEX(UnidadesBase,MATCH(E496,Unidades,0))&lt;&gt;INDEX(InsBase,MATCH(B496,ListaInsumos,0)),"Unidad incompatible",IF(A496="","Falta fecha","OK")))))</f>
        <v/>
      </c>
      <c r="J496" s="15"/>
    </row>
    <row r="497" customFormat="false" ht="15" hidden="false" customHeight="false" outlineLevel="0" collapsed="false">
      <c r="A497" s="26"/>
      <c r="B497" s="15"/>
      <c r="C497" s="15"/>
      <c r="D497" s="27"/>
      <c r="E497" s="15"/>
      <c r="F497" s="28"/>
      <c r="G497" s="25" t="str">
        <f aca="true">IF(OR(D497="",E497=""),"",IFERROR(D497*INDEX(UnidadesFactor,MATCH(E497,Unidades,0)),""))</f>
        <v/>
      </c>
      <c r="H497" s="17" t="str">
        <f aca="false">IF(I497&lt;&gt;"OK","",IF(G497=0,"",F497/G497))</f>
        <v/>
      </c>
      <c r="I497" s="20" t="str">
        <f aca="true">IF(B497="","",IF(ISNA(MATCH(B497,ListaInsumos,0)),"Insumo no está en Insumos",IF(OR(D497="",E497="",F497=""),"Faltan datos",IF(INDEX(UnidadesBase,MATCH(E497,Unidades,0))&lt;&gt;INDEX(InsBase,MATCH(B497,ListaInsumos,0)),"Unidad incompatible",IF(A497="","Falta fecha","OK")))))</f>
        <v/>
      </c>
      <c r="J497" s="15"/>
    </row>
    <row r="498" customFormat="false" ht="15" hidden="false" customHeight="false" outlineLevel="0" collapsed="false">
      <c r="A498" s="26"/>
      <c r="B498" s="15"/>
      <c r="C498" s="15"/>
      <c r="D498" s="27"/>
      <c r="E498" s="15"/>
      <c r="F498" s="28"/>
      <c r="G498" s="25" t="str">
        <f aca="true">IF(OR(D498="",E498=""),"",IFERROR(D498*INDEX(UnidadesFactor,MATCH(E498,Unidades,0)),""))</f>
        <v/>
      </c>
      <c r="H498" s="17" t="str">
        <f aca="false">IF(I498&lt;&gt;"OK","",IF(G498=0,"",F498/G498))</f>
        <v/>
      </c>
      <c r="I498" s="20" t="str">
        <f aca="true">IF(B498="","",IF(ISNA(MATCH(B498,ListaInsumos,0)),"Insumo no está en Insumos",IF(OR(D498="",E498="",F498=""),"Faltan datos",IF(INDEX(UnidadesBase,MATCH(E498,Unidades,0))&lt;&gt;INDEX(InsBase,MATCH(B498,ListaInsumos,0)),"Unidad incompatible",IF(A498="","Falta fecha","OK")))))</f>
        <v/>
      </c>
      <c r="J498" s="15"/>
    </row>
    <row r="499" customFormat="false" ht="15" hidden="false" customHeight="false" outlineLevel="0" collapsed="false">
      <c r="A499" s="26"/>
      <c r="B499" s="15"/>
      <c r="C499" s="15"/>
      <c r="D499" s="27"/>
      <c r="E499" s="15"/>
      <c r="F499" s="28"/>
      <c r="G499" s="25" t="str">
        <f aca="true">IF(OR(D499="",E499=""),"",IFERROR(D499*INDEX(UnidadesFactor,MATCH(E499,Unidades,0)),""))</f>
        <v/>
      </c>
      <c r="H499" s="17" t="str">
        <f aca="false">IF(I499&lt;&gt;"OK","",IF(G499=0,"",F499/G499))</f>
        <v/>
      </c>
      <c r="I499" s="20" t="str">
        <f aca="true">IF(B499="","",IF(ISNA(MATCH(B499,ListaInsumos,0)),"Insumo no está en Insumos",IF(OR(D499="",E499="",F499=""),"Faltan datos",IF(INDEX(UnidadesBase,MATCH(E499,Unidades,0))&lt;&gt;INDEX(InsBase,MATCH(B499,ListaInsumos,0)),"Unidad incompatible",IF(A499="","Falta fecha","OK")))))</f>
        <v/>
      </c>
      <c r="J499" s="15"/>
    </row>
    <row r="500" customFormat="false" ht="15" hidden="false" customHeight="false" outlineLevel="0" collapsed="false">
      <c r="A500" s="26"/>
      <c r="B500" s="15"/>
      <c r="C500" s="15"/>
      <c r="D500" s="27"/>
      <c r="E500" s="15"/>
      <c r="F500" s="28"/>
      <c r="G500" s="25" t="str">
        <f aca="true">IF(OR(D500="",E500=""),"",IFERROR(D500*INDEX(UnidadesFactor,MATCH(E500,Unidades,0)),""))</f>
        <v/>
      </c>
      <c r="H500" s="17" t="str">
        <f aca="false">IF(I500&lt;&gt;"OK","",IF(G500=0,"",F500/G500))</f>
        <v/>
      </c>
      <c r="I500" s="20" t="str">
        <f aca="true">IF(B500="","",IF(ISNA(MATCH(B500,ListaInsumos,0)),"Insumo no está en Insumos",IF(OR(D500="",E500="",F500=""),"Faltan datos",IF(INDEX(UnidadesBase,MATCH(E500,Unidades,0))&lt;&gt;INDEX(InsBase,MATCH(B500,ListaInsumos,0)),"Unidad incompatible",IF(A500="","Falta fecha","OK")))))</f>
        <v/>
      </c>
      <c r="J500" s="15"/>
    </row>
    <row r="501" customFormat="false" ht="15" hidden="false" customHeight="false" outlineLevel="0" collapsed="false">
      <c r="A501" s="26"/>
      <c r="B501" s="15"/>
      <c r="C501" s="15"/>
      <c r="D501" s="27"/>
      <c r="E501" s="15"/>
      <c r="F501" s="28"/>
      <c r="G501" s="25" t="str">
        <f aca="true">IF(OR(D501="",E501=""),"",IFERROR(D501*INDEX(UnidadesFactor,MATCH(E501,Unidades,0)),""))</f>
        <v/>
      </c>
      <c r="H501" s="17" t="str">
        <f aca="false">IF(I501&lt;&gt;"OK","",IF(G501=0,"",F501/G501))</f>
        <v/>
      </c>
      <c r="I501" s="20" t="str">
        <f aca="true">IF(B501="","",IF(ISNA(MATCH(B501,ListaInsumos,0)),"Insumo no está en Insumos",IF(OR(D501="",E501="",F501=""),"Faltan datos",IF(INDEX(UnidadesBase,MATCH(E501,Unidades,0))&lt;&gt;INDEX(InsBase,MATCH(B501,ListaInsumos,0)),"Unidad incompatible",IF(A501="","Falta fecha","OK")))))</f>
        <v/>
      </c>
      <c r="J501" s="15"/>
    </row>
    <row r="502" customFormat="false" ht="15" hidden="false" customHeight="false" outlineLevel="0" collapsed="false">
      <c r="A502" s="26"/>
      <c r="B502" s="15"/>
      <c r="C502" s="15"/>
      <c r="D502" s="27"/>
      <c r="E502" s="15"/>
      <c r="F502" s="28"/>
      <c r="G502" s="25" t="str">
        <f aca="true">IF(OR(D502="",E502=""),"",IFERROR(D502*INDEX(UnidadesFactor,MATCH(E502,Unidades,0)),""))</f>
        <v/>
      </c>
      <c r="H502" s="17" t="str">
        <f aca="false">IF(I502&lt;&gt;"OK","",IF(G502=0,"",F502/G502))</f>
        <v/>
      </c>
      <c r="I502" s="20" t="str">
        <f aca="true">IF(B502="","",IF(ISNA(MATCH(B502,ListaInsumos,0)),"Insumo no está en Insumos",IF(OR(D502="",E502="",F502=""),"Faltan datos",IF(INDEX(UnidadesBase,MATCH(E502,Unidades,0))&lt;&gt;INDEX(InsBase,MATCH(B502,ListaInsumos,0)),"Unidad incompatible",IF(A502="","Falta fecha","OK")))))</f>
        <v/>
      </c>
      <c r="J502" s="15"/>
    </row>
    <row r="503" customFormat="false" ht="15" hidden="false" customHeight="false" outlineLevel="0" collapsed="false">
      <c r="A503" s="26"/>
      <c r="B503" s="15"/>
      <c r="C503" s="15"/>
      <c r="D503" s="27"/>
      <c r="E503" s="15"/>
      <c r="F503" s="28"/>
      <c r="G503" s="25" t="str">
        <f aca="true">IF(OR(D503="",E503=""),"",IFERROR(D503*INDEX(UnidadesFactor,MATCH(E503,Unidades,0)),""))</f>
        <v/>
      </c>
      <c r="H503" s="17" t="str">
        <f aca="false">IF(I503&lt;&gt;"OK","",IF(G503=0,"",F503/G503))</f>
        <v/>
      </c>
      <c r="I503" s="20" t="str">
        <f aca="true">IF(B503="","",IF(ISNA(MATCH(B503,ListaInsumos,0)),"Insumo no está en Insumos",IF(OR(D503="",E503="",F503=""),"Faltan datos",IF(INDEX(UnidadesBase,MATCH(E503,Unidades,0))&lt;&gt;INDEX(InsBase,MATCH(B503,ListaInsumos,0)),"Unidad incompatible",IF(A503="","Falta fecha","OK")))))</f>
        <v/>
      </c>
      <c r="J503" s="15"/>
    </row>
    <row r="504" customFormat="false" ht="15" hidden="false" customHeight="false" outlineLevel="0" collapsed="false">
      <c r="A504" s="26"/>
      <c r="B504" s="15"/>
      <c r="C504" s="15"/>
      <c r="D504" s="27"/>
      <c r="E504" s="15"/>
      <c r="F504" s="28"/>
      <c r="G504" s="25" t="str">
        <f aca="true">IF(OR(D504="",E504=""),"",IFERROR(D504*INDEX(UnidadesFactor,MATCH(E504,Unidades,0)),""))</f>
        <v/>
      </c>
      <c r="H504" s="17" t="str">
        <f aca="false">IF(I504&lt;&gt;"OK","",IF(G504=0,"",F504/G504))</f>
        <v/>
      </c>
      <c r="I504" s="20" t="str">
        <f aca="true">IF(B504="","",IF(ISNA(MATCH(B504,ListaInsumos,0)),"Insumo no está en Insumos",IF(OR(D504="",E504="",F504=""),"Faltan datos",IF(INDEX(UnidadesBase,MATCH(E504,Unidades,0))&lt;&gt;INDEX(InsBase,MATCH(B504,ListaInsumos,0)),"Unidad incompatible",IF(A504="","Falta fecha","OK")))))</f>
        <v/>
      </c>
      <c r="J504" s="15"/>
    </row>
    <row r="505" customFormat="false" ht="15" hidden="false" customHeight="false" outlineLevel="0" collapsed="false">
      <c r="A505" s="26"/>
      <c r="B505" s="15"/>
      <c r="C505" s="15"/>
      <c r="D505" s="27"/>
      <c r="E505" s="15"/>
      <c r="F505" s="28"/>
      <c r="G505" s="25" t="str">
        <f aca="true">IF(OR(D505="",E505=""),"",IFERROR(D505*INDEX(UnidadesFactor,MATCH(E505,Unidades,0)),""))</f>
        <v/>
      </c>
      <c r="H505" s="17" t="str">
        <f aca="false">IF(I505&lt;&gt;"OK","",IF(G505=0,"",F505/G505))</f>
        <v/>
      </c>
      <c r="I505" s="20" t="str">
        <f aca="true">IF(B505="","",IF(ISNA(MATCH(B505,ListaInsumos,0)),"Insumo no está en Insumos",IF(OR(D505="",E505="",F505=""),"Faltan datos",IF(INDEX(UnidadesBase,MATCH(E505,Unidades,0))&lt;&gt;INDEX(InsBase,MATCH(B505,ListaInsumos,0)),"Unidad incompatible",IF(A505="","Falta fecha","OK")))))</f>
        <v/>
      </c>
      <c r="J505" s="15"/>
    </row>
    <row r="506" customFormat="false" ht="15" hidden="false" customHeight="false" outlineLevel="0" collapsed="false">
      <c r="A506" s="26"/>
      <c r="B506" s="15"/>
      <c r="C506" s="15"/>
      <c r="D506" s="27"/>
      <c r="E506" s="15"/>
      <c r="F506" s="28"/>
      <c r="G506" s="25" t="str">
        <f aca="true">IF(OR(D506="",E506=""),"",IFERROR(D506*INDEX(UnidadesFactor,MATCH(E506,Unidades,0)),""))</f>
        <v/>
      </c>
      <c r="H506" s="17" t="str">
        <f aca="false">IF(I506&lt;&gt;"OK","",IF(G506=0,"",F506/G506))</f>
        <v/>
      </c>
      <c r="I506" s="20" t="str">
        <f aca="true">IF(B506="","",IF(ISNA(MATCH(B506,ListaInsumos,0)),"Insumo no está en Insumos",IF(OR(D506="",E506="",F506=""),"Faltan datos",IF(INDEX(UnidadesBase,MATCH(E506,Unidades,0))&lt;&gt;INDEX(InsBase,MATCH(B506,ListaInsumos,0)),"Unidad incompatible",IF(A506="","Falta fecha","OK")))))</f>
        <v/>
      </c>
      <c r="J506" s="15"/>
    </row>
    <row r="507" customFormat="false" ht="15" hidden="false" customHeight="false" outlineLevel="0" collapsed="false">
      <c r="A507" s="26"/>
      <c r="B507" s="15"/>
      <c r="C507" s="15"/>
      <c r="D507" s="27"/>
      <c r="E507" s="15"/>
      <c r="F507" s="28"/>
      <c r="G507" s="25" t="str">
        <f aca="true">IF(OR(D507="",E507=""),"",IFERROR(D507*INDEX(UnidadesFactor,MATCH(E507,Unidades,0)),""))</f>
        <v/>
      </c>
      <c r="H507" s="17" t="str">
        <f aca="false">IF(I507&lt;&gt;"OK","",IF(G507=0,"",F507/G507))</f>
        <v/>
      </c>
      <c r="I507" s="20" t="str">
        <f aca="true">IF(B507="","",IF(ISNA(MATCH(B507,ListaInsumos,0)),"Insumo no está en Insumos",IF(OR(D507="",E507="",F507=""),"Faltan datos",IF(INDEX(UnidadesBase,MATCH(E507,Unidades,0))&lt;&gt;INDEX(InsBase,MATCH(B507,ListaInsumos,0)),"Unidad incompatible",IF(A507="","Falta fecha","OK")))))</f>
        <v/>
      </c>
      <c r="J507" s="15"/>
    </row>
    <row r="508" customFormat="false" ht="15" hidden="false" customHeight="false" outlineLevel="0" collapsed="false">
      <c r="A508" s="26"/>
      <c r="B508" s="15"/>
      <c r="C508" s="15"/>
      <c r="D508" s="27"/>
      <c r="E508" s="15"/>
      <c r="F508" s="28"/>
      <c r="G508" s="25" t="str">
        <f aca="true">IF(OR(D508="",E508=""),"",IFERROR(D508*INDEX(UnidadesFactor,MATCH(E508,Unidades,0)),""))</f>
        <v/>
      </c>
      <c r="H508" s="17" t="str">
        <f aca="false">IF(I508&lt;&gt;"OK","",IF(G508=0,"",F508/G508))</f>
        <v/>
      </c>
      <c r="I508" s="20" t="str">
        <f aca="true">IF(B508="","",IF(ISNA(MATCH(B508,ListaInsumos,0)),"Insumo no está en Insumos",IF(OR(D508="",E508="",F508=""),"Faltan datos",IF(INDEX(UnidadesBase,MATCH(E508,Unidades,0))&lt;&gt;INDEX(InsBase,MATCH(B508,ListaInsumos,0)),"Unidad incompatible",IF(A508="","Falta fecha","OK")))))</f>
        <v/>
      </c>
      <c r="J508" s="15"/>
    </row>
    <row r="509" customFormat="false" ht="15" hidden="false" customHeight="false" outlineLevel="0" collapsed="false">
      <c r="A509" s="26"/>
      <c r="B509" s="15"/>
      <c r="C509" s="15"/>
      <c r="D509" s="27"/>
      <c r="E509" s="15"/>
      <c r="F509" s="28"/>
      <c r="G509" s="25" t="str">
        <f aca="true">IF(OR(D509="",E509=""),"",IFERROR(D509*INDEX(UnidadesFactor,MATCH(E509,Unidades,0)),""))</f>
        <v/>
      </c>
      <c r="H509" s="17" t="str">
        <f aca="false">IF(I509&lt;&gt;"OK","",IF(G509=0,"",F509/G509))</f>
        <v/>
      </c>
      <c r="I509" s="20" t="str">
        <f aca="true">IF(B509="","",IF(ISNA(MATCH(B509,ListaInsumos,0)),"Insumo no está en Insumos",IF(OR(D509="",E509="",F509=""),"Faltan datos",IF(INDEX(UnidadesBase,MATCH(E509,Unidades,0))&lt;&gt;INDEX(InsBase,MATCH(B509,ListaInsumos,0)),"Unidad incompatible",IF(A509="","Falta fecha","OK")))))</f>
        <v/>
      </c>
      <c r="J509" s="15"/>
    </row>
    <row r="510" customFormat="false" ht="15" hidden="false" customHeight="false" outlineLevel="0" collapsed="false">
      <c r="A510" s="26"/>
      <c r="B510" s="15"/>
      <c r="C510" s="15"/>
      <c r="D510" s="27"/>
      <c r="E510" s="15"/>
      <c r="F510" s="28"/>
      <c r="G510" s="25" t="str">
        <f aca="true">IF(OR(D510="",E510=""),"",IFERROR(D510*INDEX(UnidadesFactor,MATCH(E510,Unidades,0)),""))</f>
        <v/>
      </c>
      <c r="H510" s="17" t="str">
        <f aca="false">IF(I510&lt;&gt;"OK","",IF(G510=0,"",F510/G510))</f>
        <v/>
      </c>
      <c r="I510" s="20" t="str">
        <f aca="true">IF(B510="","",IF(ISNA(MATCH(B510,ListaInsumos,0)),"Insumo no está en Insumos",IF(OR(D510="",E510="",F510=""),"Faltan datos",IF(INDEX(UnidadesBase,MATCH(E510,Unidades,0))&lt;&gt;INDEX(InsBase,MATCH(B510,ListaInsumos,0)),"Unidad incompatible",IF(A510="","Falta fecha","OK")))))</f>
        <v/>
      </c>
      <c r="J510" s="15"/>
    </row>
    <row r="511" customFormat="false" ht="15" hidden="false" customHeight="false" outlineLevel="0" collapsed="false">
      <c r="A511" s="26"/>
      <c r="B511" s="15"/>
      <c r="C511" s="15"/>
      <c r="D511" s="27"/>
      <c r="E511" s="15"/>
      <c r="F511" s="28"/>
      <c r="G511" s="25" t="str">
        <f aca="true">IF(OR(D511="",E511=""),"",IFERROR(D511*INDEX(UnidadesFactor,MATCH(E511,Unidades,0)),""))</f>
        <v/>
      </c>
      <c r="H511" s="17" t="str">
        <f aca="false">IF(I511&lt;&gt;"OK","",IF(G511=0,"",F511/G511))</f>
        <v/>
      </c>
      <c r="I511" s="20" t="str">
        <f aca="true">IF(B511="","",IF(ISNA(MATCH(B511,ListaInsumos,0)),"Insumo no está en Insumos",IF(OR(D511="",E511="",F511=""),"Faltan datos",IF(INDEX(UnidadesBase,MATCH(E511,Unidades,0))&lt;&gt;INDEX(InsBase,MATCH(B511,ListaInsumos,0)),"Unidad incompatible",IF(A511="","Falta fecha","OK")))))</f>
        <v/>
      </c>
      <c r="J511" s="15"/>
    </row>
    <row r="512" customFormat="false" ht="15" hidden="false" customHeight="false" outlineLevel="0" collapsed="false">
      <c r="A512" s="26"/>
      <c r="B512" s="15"/>
      <c r="C512" s="15"/>
      <c r="D512" s="27"/>
      <c r="E512" s="15"/>
      <c r="F512" s="28"/>
      <c r="G512" s="25" t="str">
        <f aca="true">IF(OR(D512="",E512=""),"",IFERROR(D512*INDEX(UnidadesFactor,MATCH(E512,Unidades,0)),""))</f>
        <v/>
      </c>
      <c r="H512" s="17" t="str">
        <f aca="false">IF(I512&lt;&gt;"OK","",IF(G512=0,"",F512/G512))</f>
        <v/>
      </c>
      <c r="I512" s="20" t="str">
        <f aca="true">IF(B512="","",IF(ISNA(MATCH(B512,ListaInsumos,0)),"Insumo no está en Insumos",IF(OR(D512="",E512="",F512=""),"Faltan datos",IF(INDEX(UnidadesBase,MATCH(E512,Unidades,0))&lt;&gt;INDEX(InsBase,MATCH(B512,ListaInsumos,0)),"Unidad incompatible",IF(A512="","Falta fecha","OK")))))</f>
        <v/>
      </c>
      <c r="J512" s="15"/>
    </row>
    <row r="513" customFormat="false" ht="15" hidden="false" customHeight="false" outlineLevel="0" collapsed="false">
      <c r="A513" s="26"/>
      <c r="B513" s="15"/>
      <c r="C513" s="15"/>
      <c r="D513" s="27"/>
      <c r="E513" s="15"/>
      <c r="F513" s="28"/>
      <c r="G513" s="25" t="str">
        <f aca="true">IF(OR(D513="",E513=""),"",IFERROR(D513*INDEX(UnidadesFactor,MATCH(E513,Unidades,0)),""))</f>
        <v/>
      </c>
      <c r="H513" s="17" t="str">
        <f aca="false">IF(I513&lt;&gt;"OK","",IF(G513=0,"",F513/G513))</f>
        <v/>
      </c>
      <c r="I513" s="20" t="str">
        <f aca="true">IF(B513="","",IF(ISNA(MATCH(B513,ListaInsumos,0)),"Insumo no está en Insumos",IF(OR(D513="",E513="",F513=""),"Faltan datos",IF(INDEX(UnidadesBase,MATCH(E513,Unidades,0))&lt;&gt;INDEX(InsBase,MATCH(B513,ListaInsumos,0)),"Unidad incompatible",IF(A513="","Falta fecha","OK")))))</f>
        <v/>
      </c>
      <c r="J513" s="15"/>
    </row>
    <row r="514" customFormat="false" ht="15" hidden="false" customHeight="false" outlineLevel="0" collapsed="false">
      <c r="A514" s="26"/>
      <c r="B514" s="15"/>
      <c r="C514" s="15"/>
      <c r="D514" s="27"/>
      <c r="E514" s="15"/>
      <c r="F514" s="28"/>
      <c r="G514" s="25" t="str">
        <f aca="true">IF(OR(D514="",E514=""),"",IFERROR(D514*INDEX(UnidadesFactor,MATCH(E514,Unidades,0)),""))</f>
        <v/>
      </c>
      <c r="H514" s="17" t="str">
        <f aca="false">IF(I514&lt;&gt;"OK","",IF(G514=0,"",F514/G514))</f>
        <v/>
      </c>
      <c r="I514" s="20" t="str">
        <f aca="true">IF(B514="","",IF(ISNA(MATCH(B514,ListaInsumos,0)),"Insumo no está en Insumos",IF(OR(D514="",E514="",F514=""),"Faltan datos",IF(INDEX(UnidadesBase,MATCH(E514,Unidades,0))&lt;&gt;INDEX(InsBase,MATCH(B514,ListaInsumos,0)),"Unidad incompatible",IF(A514="","Falta fecha","OK")))))</f>
        <v/>
      </c>
      <c r="J514" s="15"/>
    </row>
    <row r="515" customFormat="false" ht="15" hidden="false" customHeight="false" outlineLevel="0" collapsed="false">
      <c r="A515" s="26"/>
      <c r="B515" s="15"/>
      <c r="C515" s="15"/>
      <c r="D515" s="27"/>
      <c r="E515" s="15"/>
      <c r="F515" s="28"/>
      <c r="G515" s="25" t="str">
        <f aca="true">IF(OR(D515="",E515=""),"",IFERROR(D515*INDEX(UnidadesFactor,MATCH(E515,Unidades,0)),""))</f>
        <v/>
      </c>
      <c r="H515" s="17" t="str">
        <f aca="false">IF(I515&lt;&gt;"OK","",IF(G515=0,"",F515/G515))</f>
        <v/>
      </c>
      <c r="I515" s="20" t="str">
        <f aca="true">IF(B515="","",IF(ISNA(MATCH(B515,ListaInsumos,0)),"Insumo no está en Insumos",IF(OR(D515="",E515="",F515=""),"Faltan datos",IF(INDEX(UnidadesBase,MATCH(E515,Unidades,0))&lt;&gt;INDEX(InsBase,MATCH(B515,ListaInsumos,0)),"Unidad incompatible",IF(A515="","Falta fecha","OK")))))</f>
        <v/>
      </c>
      <c r="J515" s="15"/>
    </row>
    <row r="516" customFormat="false" ht="15" hidden="false" customHeight="false" outlineLevel="0" collapsed="false">
      <c r="A516" s="26"/>
      <c r="B516" s="15"/>
      <c r="C516" s="15"/>
      <c r="D516" s="27"/>
      <c r="E516" s="15"/>
      <c r="F516" s="28"/>
      <c r="G516" s="25" t="str">
        <f aca="true">IF(OR(D516="",E516=""),"",IFERROR(D516*INDEX(UnidadesFactor,MATCH(E516,Unidades,0)),""))</f>
        <v/>
      </c>
      <c r="H516" s="17" t="str">
        <f aca="false">IF(I516&lt;&gt;"OK","",IF(G516=0,"",F516/G516))</f>
        <v/>
      </c>
      <c r="I516" s="20" t="str">
        <f aca="true">IF(B516="","",IF(ISNA(MATCH(B516,ListaInsumos,0)),"Insumo no está en Insumos",IF(OR(D516="",E516="",F516=""),"Faltan datos",IF(INDEX(UnidadesBase,MATCH(E516,Unidades,0))&lt;&gt;INDEX(InsBase,MATCH(B516,ListaInsumos,0)),"Unidad incompatible",IF(A516="","Falta fecha","OK")))))</f>
        <v/>
      </c>
      <c r="J516" s="15"/>
    </row>
    <row r="517" customFormat="false" ht="15" hidden="false" customHeight="false" outlineLevel="0" collapsed="false">
      <c r="A517" s="26"/>
      <c r="B517" s="15"/>
      <c r="C517" s="15"/>
      <c r="D517" s="27"/>
      <c r="E517" s="15"/>
      <c r="F517" s="28"/>
      <c r="G517" s="25" t="str">
        <f aca="true">IF(OR(D517="",E517=""),"",IFERROR(D517*INDEX(UnidadesFactor,MATCH(E517,Unidades,0)),""))</f>
        <v/>
      </c>
      <c r="H517" s="17" t="str">
        <f aca="false">IF(I517&lt;&gt;"OK","",IF(G517=0,"",F517/G517))</f>
        <v/>
      </c>
      <c r="I517" s="20" t="str">
        <f aca="true">IF(B517="","",IF(ISNA(MATCH(B517,ListaInsumos,0)),"Insumo no está en Insumos",IF(OR(D517="",E517="",F517=""),"Faltan datos",IF(INDEX(UnidadesBase,MATCH(E517,Unidades,0))&lt;&gt;INDEX(InsBase,MATCH(B517,ListaInsumos,0)),"Unidad incompatible",IF(A517="","Falta fecha","OK")))))</f>
        <v/>
      </c>
      <c r="J517" s="15"/>
    </row>
    <row r="518" customFormat="false" ht="15" hidden="false" customHeight="false" outlineLevel="0" collapsed="false">
      <c r="A518" s="26"/>
      <c r="B518" s="15"/>
      <c r="C518" s="15"/>
      <c r="D518" s="27"/>
      <c r="E518" s="15"/>
      <c r="F518" s="28"/>
      <c r="G518" s="25" t="str">
        <f aca="true">IF(OR(D518="",E518=""),"",IFERROR(D518*INDEX(UnidadesFactor,MATCH(E518,Unidades,0)),""))</f>
        <v/>
      </c>
      <c r="H518" s="17" t="str">
        <f aca="false">IF(I518&lt;&gt;"OK","",IF(G518=0,"",F518/G518))</f>
        <v/>
      </c>
      <c r="I518" s="20" t="str">
        <f aca="true">IF(B518="","",IF(ISNA(MATCH(B518,ListaInsumos,0)),"Insumo no está en Insumos",IF(OR(D518="",E518="",F518=""),"Faltan datos",IF(INDEX(UnidadesBase,MATCH(E518,Unidades,0))&lt;&gt;INDEX(InsBase,MATCH(B518,ListaInsumos,0)),"Unidad incompatible",IF(A518="","Falta fecha","OK")))))</f>
        <v/>
      </c>
      <c r="J518" s="15"/>
    </row>
    <row r="519" customFormat="false" ht="15" hidden="false" customHeight="false" outlineLevel="0" collapsed="false">
      <c r="A519" s="26"/>
      <c r="B519" s="15"/>
      <c r="C519" s="15"/>
      <c r="D519" s="27"/>
      <c r="E519" s="15"/>
      <c r="F519" s="28"/>
      <c r="G519" s="25" t="str">
        <f aca="true">IF(OR(D519="",E519=""),"",IFERROR(D519*INDEX(UnidadesFactor,MATCH(E519,Unidades,0)),""))</f>
        <v/>
      </c>
      <c r="H519" s="17" t="str">
        <f aca="false">IF(I519&lt;&gt;"OK","",IF(G519=0,"",F519/G519))</f>
        <v/>
      </c>
      <c r="I519" s="20" t="str">
        <f aca="true">IF(B519="","",IF(ISNA(MATCH(B519,ListaInsumos,0)),"Insumo no está en Insumos",IF(OR(D519="",E519="",F519=""),"Faltan datos",IF(INDEX(UnidadesBase,MATCH(E519,Unidades,0))&lt;&gt;INDEX(InsBase,MATCH(B519,ListaInsumos,0)),"Unidad incompatible",IF(A519="","Falta fecha","OK")))))</f>
        <v/>
      </c>
      <c r="J519" s="15"/>
    </row>
    <row r="520" customFormat="false" ht="15" hidden="false" customHeight="false" outlineLevel="0" collapsed="false">
      <c r="A520" s="26"/>
      <c r="B520" s="15"/>
      <c r="C520" s="15"/>
      <c r="D520" s="27"/>
      <c r="E520" s="15"/>
      <c r="F520" s="28"/>
      <c r="G520" s="25" t="str">
        <f aca="true">IF(OR(D520="",E520=""),"",IFERROR(D520*INDEX(UnidadesFactor,MATCH(E520,Unidades,0)),""))</f>
        <v/>
      </c>
      <c r="H520" s="17" t="str">
        <f aca="false">IF(I520&lt;&gt;"OK","",IF(G520=0,"",F520/G520))</f>
        <v/>
      </c>
      <c r="I520" s="20" t="str">
        <f aca="true">IF(B520="","",IF(ISNA(MATCH(B520,ListaInsumos,0)),"Insumo no está en Insumos",IF(OR(D520="",E520="",F520=""),"Faltan datos",IF(INDEX(UnidadesBase,MATCH(E520,Unidades,0))&lt;&gt;INDEX(InsBase,MATCH(B520,ListaInsumos,0)),"Unidad incompatible",IF(A520="","Falta fecha","OK")))))</f>
        <v/>
      </c>
      <c r="J520" s="15"/>
    </row>
    <row r="521" customFormat="false" ht="15" hidden="false" customHeight="false" outlineLevel="0" collapsed="false">
      <c r="A521" s="26"/>
      <c r="B521" s="15"/>
      <c r="C521" s="15"/>
      <c r="D521" s="27"/>
      <c r="E521" s="15"/>
      <c r="F521" s="28"/>
      <c r="G521" s="25" t="str">
        <f aca="true">IF(OR(D521="",E521=""),"",IFERROR(D521*INDEX(UnidadesFactor,MATCH(E521,Unidades,0)),""))</f>
        <v/>
      </c>
      <c r="H521" s="17" t="str">
        <f aca="false">IF(I521&lt;&gt;"OK","",IF(G521=0,"",F521/G521))</f>
        <v/>
      </c>
      <c r="I521" s="20" t="str">
        <f aca="true">IF(B521="","",IF(ISNA(MATCH(B521,ListaInsumos,0)),"Insumo no está en Insumos",IF(OR(D521="",E521="",F521=""),"Faltan datos",IF(INDEX(UnidadesBase,MATCH(E521,Unidades,0))&lt;&gt;INDEX(InsBase,MATCH(B521,ListaInsumos,0)),"Unidad incompatible",IF(A521="","Falta fecha","OK")))))</f>
        <v/>
      </c>
      <c r="J521" s="15"/>
    </row>
    <row r="522" customFormat="false" ht="15" hidden="false" customHeight="false" outlineLevel="0" collapsed="false">
      <c r="A522" s="26"/>
      <c r="B522" s="15"/>
      <c r="C522" s="15"/>
      <c r="D522" s="27"/>
      <c r="E522" s="15"/>
      <c r="F522" s="28"/>
      <c r="G522" s="25" t="str">
        <f aca="true">IF(OR(D522="",E522=""),"",IFERROR(D522*INDEX(UnidadesFactor,MATCH(E522,Unidades,0)),""))</f>
        <v/>
      </c>
      <c r="H522" s="17" t="str">
        <f aca="false">IF(I522&lt;&gt;"OK","",IF(G522=0,"",F522/G522))</f>
        <v/>
      </c>
      <c r="I522" s="20" t="str">
        <f aca="true">IF(B522="","",IF(ISNA(MATCH(B522,ListaInsumos,0)),"Insumo no está en Insumos",IF(OR(D522="",E522="",F522=""),"Faltan datos",IF(INDEX(UnidadesBase,MATCH(E522,Unidades,0))&lt;&gt;INDEX(InsBase,MATCH(B522,ListaInsumos,0)),"Unidad incompatible",IF(A522="","Falta fecha","OK")))))</f>
        <v/>
      </c>
      <c r="J522" s="15"/>
    </row>
    <row r="523" customFormat="false" ht="15" hidden="false" customHeight="false" outlineLevel="0" collapsed="false">
      <c r="A523" s="26"/>
      <c r="B523" s="15"/>
      <c r="C523" s="15"/>
      <c r="D523" s="27"/>
      <c r="E523" s="15"/>
      <c r="F523" s="28"/>
      <c r="G523" s="25" t="str">
        <f aca="true">IF(OR(D523="",E523=""),"",IFERROR(D523*INDEX(UnidadesFactor,MATCH(E523,Unidades,0)),""))</f>
        <v/>
      </c>
      <c r="H523" s="17" t="str">
        <f aca="false">IF(I523&lt;&gt;"OK","",IF(G523=0,"",F523/G523))</f>
        <v/>
      </c>
      <c r="I523" s="20" t="str">
        <f aca="true">IF(B523="","",IF(ISNA(MATCH(B523,ListaInsumos,0)),"Insumo no está en Insumos",IF(OR(D523="",E523="",F523=""),"Faltan datos",IF(INDEX(UnidadesBase,MATCH(E523,Unidades,0))&lt;&gt;INDEX(InsBase,MATCH(B523,ListaInsumos,0)),"Unidad incompatible",IF(A523="","Falta fecha","OK")))))</f>
        <v/>
      </c>
      <c r="J523" s="15"/>
    </row>
    <row r="524" customFormat="false" ht="15" hidden="false" customHeight="false" outlineLevel="0" collapsed="false">
      <c r="A524" s="26"/>
      <c r="B524" s="15"/>
      <c r="C524" s="15"/>
      <c r="D524" s="27"/>
      <c r="E524" s="15"/>
      <c r="F524" s="28"/>
      <c r="G524" s="25" t="str">
        <f aca="true">IF(OR(D524="",E524=""),"",IFERROR(D524*INDEX(UnidadesFactor,MATCH(E524,Unidades,0)),""))</f>
        <v/>
      </c>
      <c r="H524" s="17" t="str">
        <f aca="false">IF(I524&lt;&gt;"OK","",IF(G524=0,"",F524/G524))</f>
        <v/>
      </c>
      <c r="I524" s="20" t="str">
        <f aca="true">IF(B524="","",IF(ISNA(MATCH(B524,ListaInsumos,0)),"Insumo no está en Insumos",IF(OR(D524="",E524="",F524=""),"Faltan datos",IF(INDEX(UnidadesBase,MATCH(E524,Unidades,0))&lt;&gt;INDEX(InsBase,MATCH(B524,ListaInsumos,0)),"Unidad incompatible",IF(A524="","Falta fecha","OK")))))</f>
        <v/>
      </c>
      <c r="J524" s="15"/>
    </row>
    <row r="525" customFormat="false" ht="15" hidden="false" customHeight="false" outlineLevel="0" collapsed="false">
      <c r="A525" s="26"/>
      <c r="B525" s="15"/>
      <c r="C525" s="15"/>
      <c r="D525" s="27"/>
      <c r="E525" s="15"/>
      <c r="F525" s="28"/>
      <c r="G525" s="25" t="str">
        <f aca="true">IF(OR(D525="",E525=""),"",IFERROR(D525*INDEX(UnidadesFactor,MATCH(E525,Unidades,0)),""))</f>
        <v/>
      </c>
      <c r="H525" s="17" t="str">
        <f aca="false">IF(I525&lt;&gt;"OK","",IF(G525=0,"",F525/G525))</f>
        <v/>
      </c>
      <c r="I525" s="20" t="str">
        <f aca="true">IF(B525="","",IF(ISNA(MATCH(B525,ListaInsumos,0)),"Insumo no está en Insumos",IF(OR(D525="",E525="",F525=""),"Faltan datos",IF(INDEX(UnidadesBase,MATCH(E525,Unidades,0))&lt;&gt;INDEX(InsBase,MATCH(B525,ListaInsumos,0)),"Unidad incompatible",IF(A525="","Falta fecha","OK")))))</f>
        <v/>
      </c>
      <c r="J525" s="15"/>
    </row>
    <row r="526" customFormat="false" ht="15" hidden="false" customHeight="false" outlineLevel="0" collapsed="false">
      <c r="A526" s="26"/>
      <c r="B526" s="15"/>
      <c r="C526" s="15"/>
      <c r="D526" s="27"/>
      <c r="E526" s="15"/>
      <c r="F526" s="28"/>
      <c r="G526" s="25" t="str">
        <f aca="true">IF(OR(D526="",E526=""),"",IFERROR(D526*INDEX(UnidadesFactor,MATCH(E526,Unidades,0)),""))</f>
        <v/>
      </c>
      <c r="H526" s="17" t="str">
        <f aca="false">IF(I526&lt;&gt;"OK","",IF(G526=0,"",F526/G526))</f>
        <v/>
      </c>
      <c r="I526" s="20" t="str">
        <f aca="true">IF(B526="","",IF(ISNA(MATCH(B526,ListaInsumos,0)),"Insumo no está en Insumos",IF(OR(D526="",E526="",F526=""),"Faltan datos",IF(INDEX(UnidadesBase,MATCH(E526,Unidades,0))&lt;&gt;INDEX(InsBase,MATCH(B526,ListaInsumos,0)),"Unidad incompatible",IF(A526="","Falta fecha","OK")))))</f>
        <v/>
      </c>
      <c r="J526" s="15"/>
    </row>
    <row r="527" customFormat="false" ht="15" hidden="false" customHeight="false" outlineLevel="0" collapsed="false">
      <c r="A527" s="26"/>
      <c r="B527" s="15"/>
      <c r="C527" s="15"/>
      <c r="D527" s="27"/>
      <c r="E527" s="15"/>
      <c r="F527" s="28"/>
      <c r="G527" s="25" t="str">
        <f aca="true">IF(OR(D527="",E527=""),"",IFERROR(D527*INDEX(UnidadesFactor,MATCH(E527,Unidades,0)),""))</f>
        <v/>
      </c>
      <c r="H527" s="17" t="str">
        <f aca="false">IF(I527&lt;&gt;"OK","",IF(G527=0,"",F527/G527))</f>
        <v/>
      </c>
      <c r="I527" s="20" t="str">
        <f aca="true">IF(B527="","",IF(ISNA(MATCH(B527,ListaInsumos,0)),"Insumo no está en Insumos",IF(OR(D527="",E527="",F527=""),"Faltan datos",IF(INDEX(UnidadesBase,MATCH(E527,Unidades,0))&lt;&gt;INDEX(InsBase,MATCH(B527,ListaInsumos,0)),"Unidad incompatible",IF(A527="","Falta fecha","OK")))))</f>
        <v/>
      </c>
      <c r="J527" s="15"/>
    </row>
    <row r="528" customFormat="false" ht="15" hidden="false" customHeight="false" outlineLevel="0" collapsed="false">
      <c r="A528" s="26"/>
      <c r="B528" s="15"/>
      <c r="C528" s="15"/>
      <c r="D528" s="27"/>
      <c r="E528" s="15"/>
      <c r="F528" s="28"/>
      <c r="G528" s="25" t="str">
        <f aca="true">IF(OR(D528="",E528=""),"",IFERROR(D528*INDEX(UnidadesFactor,MATCH(E528,Unidades,0)),""))</f>
        <v/>
      </c>
      <c r="H528" s="17" t="str">
        <f aca="false">IF(I528&lt;&gt;"OK","",IF(G528=0,"",F528/G528))</f>
        <v/>
      </c>
      <c r="I528" s="20" t="str">
        <f aca="true">IF(B528="","",IF(ISNA(MATCH(B528,ListaInsumos,0)),"Insumo no está en Insumos",IF(OR(D528="",E528="",F528=""),"Faltan datos",IF(INDEX(UnidadesBase,MATCH(E528,Unidades,0))&lt;&gt;INDEX(InsBase,MATCH(B528,ListaInsumos,0)),"Unidad incompatible",IF(A528="","Falta fecha","OK")))))</f>
        <v/>
      </c>
      <c r="J528" s="15"/>
    </row>
    <row r="529" customFormat="false" ht="15" hidden="false" customHeight="false" outlineLevel="0" collapsed="false">
      <c r="A529" s="26"/>
      <c r="B529" s="15"/>
      <c r="C529" s="15"/>
      <c r="D529" s="27"/>
      <c r="E529" s="15"/>
      <c r="F529" s="28"/>
      <c r="G529" s="25" t="str">
        <f aca="true">IF(OR(D529="",E529=""),"",IFERROR(D529*INDEX(UnidadesFactor,MATCH(E529,Unidades,0)),""))</f>
        <v/>
      </c>
      <c r="H529" s="17" t="str">
        <f aca="false">IF(I529&lt;&gt;"OK","",IF(G529=0,"",F529/G529))</f>
        <v/>
      </c>
      <c r="I529" s="20" t="str">
        <f aca="true">IF(B529="","",IF(ISNA(MATCH(B529,ListaInsumos,0)),"Insumo no está en Insumos",IF(OR(D529="",E529="",F529=""),"Faltan datos",IF(INDEX(UnidadesBase,MATCH(E529,Unidades,0))&lt;&gt;INDEX(InsBase,MATCH(B529,ListaInsumos,0)),"Unidad incompatible",IF(A529="","Falta fecha","OK")))))</f>
        <v/>
      </c>
      <c r="J529" s="15"/>
    </row>
    <row r="530" customFormat="false" ht="15" hidden="false" customHeight="false" outlineLevel="0" collapsed="false">
      <c r="A530" s="26"/>
      <c r="B530" s="15"/>
      <c r="C530" s="15"/>
      <c r="D530" s="27"/>
      <c r="E530" s="15"/>
      <c r="F530" s="28"/>
      <c r="G530" s="25" t="str">
        <f aca="true">IF(OR(D530="",E530=""),"",IFERROR(D530*INDEX(UnidadesFactor,MATCH(E530,Unidades,0)),""))</f>
        <v/>
      </c>
      <c r="H530" s="17" t="str">
        <f aca="false">IF(I530&lt;&gt;"OK","",IF(G530=0,"",F530/G530))</f>
        <v/>
      </c>
      <c r="I530" s="20" t="str">
        <f aca="true">IF(B530="","",IF(ISNA(MATCH(B530,ListaInsumos,0)),"Insumo no está en Insumos",IF(OR(D530="",E530="",F530=""),"Faltan datos",IF(INDEX(UnidadesBase,MATCH(E530,Unidades,0))&lt;&gt;INDEX(InsBase,MATCH(B530,ListaInsumos,0)),"Unidad incompatible",IF(A530="","Falta fecha","OK")))))</f>
        <v/>
      </c>
      <c r="J530" s="15"/>
    </row>
    <row r="531" customFormat="false" ht="15" hidden="false" customHeight="false" outlineLevel="0" collapsed="false">
      <c r="A531" s="26"/>
      <c r="B531" s="15"/>
      <c r="C531" s="15"/>
      <c r="D531" s="27"/>
      <c r="E531" s="15"/>
      <c r="F531" s="28"/>
      <c r="G531" s="25" t="str">
        <f aca="true">IF(OR(D531="",E531=""),"",IFERROR(D531*INDEX(UnidadesFactor,MATCH(E531,Unidades,0)),""))</f>
        <v/>
      </c>
      <c r="H531" s="17" t="str">
        <f aca="false">IF(I531&lt;&gt;"OK","",IF(G531=0,"",F531/G531))</f>
        <v/>
      </c>
      <c r="I531" s="20" t="str">
        <f aca="true">IF(B531="","",IF(ISNA(MATCH(B531,ListaInsumos,0)),"Insumo no está en Insumos",IF(OR(D531="",E531="",F531=""),"Faltan datos",IF(INDEX(UnidadesBase,MATCH(E531,Unidades,0))&lt;&gt;INDEX(InsBase,MATCH(B531,ListaInsumos,0)),"Unidad incompatible",IF(A531="","Falta fecha","OK")))))</f>
        <v/>
      </c>
      <c r="J531" s="15"/>
    </row>
    <row r="532" customFormat="false" ht="15" hidden="false" customHeight="false" outlineLevel="0" collapsed="false">
      <c r="A532" s="26"/>
      <c r="B532" s="15"/>
      <c r="C532" s="15"/>
      <c r="D532" s="27"/>
      <c r="E532" s="15"/>
      <c r="F532" s="28"/>
      <c r="G532" s="25" t="str">
        <f aca="true">IF(OR(D532="",E532=""),"",IFERROR(D532*INDEX(UnidadesFactor,MATCH(E532,Unidades,0)),""))</f>
        <v/>
      </c>
      <c r="H532" s="17" t="str">
        <f aca="false">IF(I532&lt;&gt;"OK","",IF(G532=0,"",F532/G532))</f>
        <v/>
      </c>
      <c r="I532" s="20" t="str">
        <f aca="true">IF(B532="","",IF(ISNA(MATCH(B532,ListaInsumos,0)),"Insumo no está en Insumos",IF(OR(D532="",E532="",F532=""),"Faltan datos",IF(INDEX(UnidadesBase,MATCH(E532,Unidades,0))&lt;&gt;INDEX(InsBase,MATCH(B532,ListaInsumos,0)),"Unidad incompatible",IF(A532="","Falta fecha","OK")))))</f>
        <v/>
      </c>
      <c r="J532" s="15"/>
    </row>
    <row r="533" customFormat="false" ht="15" hidden="false" customHeight="false" outlineLevel="0" collapsed="false">
      <c r="A533" s="26"/>
      <c r="B533" s="15"/>
      <c r="C533" s="15"/>
      <c r="D533" s="27"/>
      <c r="E533" s="15"/>
      <c r="F533" s="28"/>
      <c r="G533" s="25" t="str">
        <f aca="true">IF(OR(D533="",E533=""),"",IFERROR(D533*INDEX(UnidadesFactor,MATCH(E533,Unidades,0)),""))</f>
        <v/>
      </c>
      <c r="H533" s="17" t="str">
        <f aca="false">IF(I533&lt;&gt;"OK","",IF(G533=0,"",F533/G533))</f>
        <v/>
      </c>
      <c r="I533" s="20" t="str">
        <f aca="true">IF(B533="","",IF(ISNA(MATCH(B533,ListaInsumos,0)),"Insumo no está en Insumos",IF(OR(D533="",E533="",F533=""),"Faltan datos",IF(INDEX(UnidadesBase,MATCH(E533,Unidades,0))&lt;&gt;INDEX(InsBase,MATCH(B533,ListaInsumos,0)),"Unidad incompatible",IF(A533="","Falta fecha","OK")))))</f>
        <v/>
      </c>
      <c r="J533" s="15"/>
    </row>
    <row r="534" customFormat="false" ht="15" hidden="false" customHeight="false" outlineLevel="0" collapsed="false">
      <c r="A534" s="26"/>
      <c r="B534" s="15"/>
      <c r="C534" s="15"/>
      <c r="D534" s="27"/>
      <c r="E534" s="15"/>
      <c r="F534" s="28"/>
      <c r="G534" s="25" t="str">
        <f aca="true">IF(OR(D534="",E534=""),"",IFERROR(D534*INDEX(UnidadesFactor,MATCH(E534,Unidades,0)),""))</f>
        <v/>
      </c>
      <c r="H534" s="17" t="str">
        <f aca="false">IF(I534&lt;&gt;"OK","",IF(G534=0,"",F534/G534))</f>
        <v/>
      </c>
      <c r="I534" s="20" t="str">
        <f aca="true">IF(B534="","",IF(ISNA(MATCH(B534,ListaInsumos,0)),"Insumo no está en Insumos",IF(OR(D534="",E534="",F534=""),"Faltan datos",IF(INDEX(UnidadesBase,MATCH(E534,Unidades,0))&lt;&gt;INDEX(InsBase,MATCH(B534,ListaInsumos,0)),"Unidad incompatible",IF(A534="","Falta fecha","OK")))))</f>
        <v/>
      </c>
      <c r="J534" s="15"/>
    </row>
    <row r="535" customFormat="false" ht="15" hidden="false" customHeight="false" outlineLevel="0" collapsed="false">
      <c r="A535" s="26"/>
      <c r="B535" s="15"/>
      <c r="C535" s="15"/>
      <c r="D535" s="27"/>
      <c r="E535" s="15"/>
      <c r="F535" s="28"/>
      <c r="G535" s="25" t="str">
        <f aca="true">IF(OR(D535="",E535=""),"",IFERROR(D535*INDEX(UnidadesFactor,MATCH(E535,Unidades,0)),""))</f>
        <v/>
      </c>
      <c r="H535" s="17" t="str">
        <f aca="false">IF(I535&lt;&gt;"OK","",IF(G535=0,"",F535/G535))</f>
        <v/>
      </c>
      <c r="I535" s="20" t="str">
        <f aca="true">IF(B535="","",IF(ISNA(MATCH(B535,ListaInsumos,0)),"Insumo no está en Insumos",IF(OR(D535="",E535="",F535=""),"Faltan datos",IF(INDEX(UnidadesBase,MATCH(E535,Unidades,0))&lt;&gt;INDEX(InsBase,MATCH(B535,ListaInsumos,0)),"Unidad incompatible",IF(A535="","Falta fecha","OK")))))</f>
        <v/>
      </c>
      <c r="J535" s="15"/>
    </row>
    <row r="536" customFormat="false" ht="15" hidden="false" customHeight="false" outlineLevel="0" collapsed="false">
      <c r="A536" s="26"/>
      <c r="B536" s="15"/>
      <c r="C536" s="15"/>
      <c r="D536" s="27"/>
      <c r="E536" s="15"/>
      <c r="F536" s="28"/>
      <c r="G536" s="25" t="str">
        <f aca="true">IF(OR(D536="",E536=""),"",IFERROR(D536*INDEX(UnidadesFactor,MATCH(E536,Unidades,0)),""))</f>
        <v/>
      </c>
      <c r="H536" s="17" t="str">
        <f aca="false">IF(I536&lt;&gt;"OK","",IF(G536=0,"",F536/G536))</f>
        <v/>
      </c>
      <c r="I536" s="20" t="str">
        <f aca="true">IF(B536="","",IF(ISNA(MATCH(B536,ListaInsumos,0)),"Insumo no está en Insumos",IF(OR(D536="",E536="",F536=""),"Faltan datos",IF(INDEX(UnidadesBase,MATCH(E536,Unidades,0))&lt;&gt;INDEX(InsBase,MATCH(B536,ListaInsumos,0)),"Unidad incompatible",IF(A536="","Falta fecha","OK")))))</f>
        <v/>
      </c>
      <c r="J536" s="15"/>
    </row>
    <row r="537" customFormat="false" ht="15" hidden="false" customHeight="false" outlineLevel="0" collapsed="false">
      <c r="A537" s="26"/>
      <c r="B537" s="15"/>
      <c r="C537" s="15"/>
      <c r="D537" s="27"/>
      <c r="E537" s="15"/>
      <c r="F537" s="28"/>
      <c r="G537" s="25" t="str">
        <f aca="true">IF(OR(D537="",E537=""),"",IFERROR(D537*INDEX(UnidadesFactor,MATCH(E537,Unidades,0)),""))</f>
        <v/>
      </c>
      <c r="H537" s="17" t="str">
        <f aca="false">IF(I537&lt;&gt;"OK","",IF(G537=0,"",F537/G537))</f>
        <v/>
      </c>
      <c r="I537" s="20" t="str">
        <f aca="true">IF(B537="","",IF(ISNA(MATCH(B537,ListaInsumos,0)),"Insumo no está en Insumos",IF(OR(D537="",E537="",F537=""),"Faltan datos",IF(INDEX(UnidadesBase,MATCH(E537,Unidades,0))&lt;&gt;INDEX(InsBase,MATCH(B537,ListaInsumos,0)),"Unidad incompatible",IF(A537="","Falta fecha","OK")))))</f>
        <v/>
      </c>
      <c r="J537" s="15"/>
    </row>
    <row r="538" customFormat="false" ht="15" hidden="false" customHeight="false" outlineLevel="0" collapsed="false">
      <c r="A538" s="26"/>
      <c r="B538" s="15"/>
      <c r="C538" s="15"/>
      <c r="D538" s="27"/>
      <c r="E538" s="15"/>
      <c r="F538" s="28"/>
      <c r="G538" s="25" t="str">
        <f aca="true">IF(OR(D538="",E538=""),"",IFERROR(D538*INDEX(UnidadesFactor,MATCH(E538,Unidades,0)),""))</f>
        <v/>
      </c>
      <c r="H538" s="17" t="str">
        <f aca="false">IF(I538&lt;&gt;"OK","",IF(G538=0,"",F538/G538))</f>
        <v/>
      </c>
      <c r="I538" s="20" t="str">
        <f aca="true">IF(B538="","",IF(ISNA(MATCH(B538,ListaInsumos,0)),"Insumo no está en Insumos",IF(OR(D538="",E538="",F538=""),"Faltan datos",IF(INDEX(UnidadesBase,MATCH(E538,Unidades,0))&lt;&gt;INDEX(InsBase,MATCH(B538,ListaInsumos,0)),"Unidad incompatible",IF(A538="","Falta fecha","OK")))))</f>
        <v/>
      </c>
      <c r="J538" s="15"/>
    </row>
    <row r="539" customFormat="false" ht="15" hidden="false" customHeight="false" outlineLevel="0" collapsed="false">
      <c r="A539" s="26"/>
      <c r="B539" s="15"/>
      <c r="C539" s="15"/>
      <c r="D539" s="27"/>
      <c r="E539" s="15"/>
      <c r="F539" s="28"/>
      <c r="G539" s="25" t="str">
        <f aca="true">IF(OR(D539="",E539=""),"",IFERROR(D539*INDEX(UnidadesFactor,MATCH(E539,Unidades,0)),""))</f>
        <v/>
      </c>
      <c r="H539" s="17" t="str">
        <f aca="false">IF(I539&lt;&gt;"OK","",IF(G539=0,"",F539/G539))</f>
        <v/>
      </c>
      <c r="I539" s="20" t="str">
        <f aca="true">IF(B539="","",IF(ISNA(MATCH(B539,ListaInsumos,0)),"Insumo no está en Insumos",IF(OR(D539="",E539="",F539=""),"Faltan datos",IF(INDEX(UnidadesBase,MATCH(E539,Unidades,0))&lt;&gt;INDEX(InsBase,MATCH(B539,ListaInsumos,0)),"Unidad incompatible",IF(A539="","Falta fecha","OK")))))</f>
        <v/>
      </c>
      <c r="J539" s="15"/>
    </row>
    <row r="540" customFormat="false" ht="15" hidden="false" customHeight="false" outlineLevel="0" collapsed="false">
      <c r="A540" s="26"/>
      <c r="B540" s="15"/>
      <c r="C540" s="15"/>
      <c r="D540" s="27"/>
      <c r="E540" s="15"/>
      <c r="F540" s="28"/>
      <c r="G540" s="25" t="str">
        <f aca="true">IF(OR(D540="",E540=""),"",IFERROR(D540*INDEX(UnidadesFactor,MATCH(E540,Unidades,0)),""))</f>
        <v/>
      </c>
      <c r="H540" s="17" t="str">
        <f aca="false">IF(I540&lt;&gt;"OK","",IF(G540=0,"",F540/G540))</f>
        <v/>
      </c>
      <c r="I540" s="20" t="str">
        <f aca="true">IF(B540="","",IF(ISNA(MATCH(B540,ListaInsumos,0)),"Insumo no está en Insumos",IF(OR(D540="",E540="",F540=""),"Faltan datos",IF(INDEX(UnidadesBase,MATCH(E540,Unidades,0))&lt;&gt;INDEX(InsBase,MATCH(B540,ListaInsumos,0)),"Unidad incompatible",IF(A540="","Falta fecha","OK")))))</f>
        <v/>
      </c>
      <c r="J540" s="15"/>
    </row>
    <row r="541" customFormat="false" ht="15" hidden="false" customHeight="false" outlineLevel="0" collapsed="false">
      <c r="A541" s="26"/>
      <c r="B541" s="15"/>
      <c r="C541" s="15"/>
      <c r="D541" s="27"/>
      <c r="E541" s="15"/>
      <c r="F541" s="28"/>
      <c r="G541" s="25" t="str">
        <f aca="true">IF(OR(D541="",E541=""),"",IFERROR(D541*INDEX(UnidadesFactor,MATCH(E541,Unidades,0)),""))</f>
        <v/>
      </c>
      <c r="H541" s="17" t="str">
        <f aca="false">IF(I541&lt;&gt;"OK","",IF(G541=0,"",F541/G541))</f>
        <v/>
      </c>
      <c r="I541" s="20" t="str">
        <f aca="true">IF(B541="","",IF(ISNA(MATCH(B541,ListaInsumos,0)),"Insumo no está en Insumos",IF(OR(D541="",E541="",F541=""),"Faltan datos",IF(INDEX(UnidadesBase,MATCH(E541,Unidades,0))&lt;&gt;INDEX(InsBase,MATCH(B541,ListaInsumos,0)),"Unidad incompatible",IF(A541="","Falta fecha","OK")))))</f>
        <v/>
      </c>
      <c r="J541" s="15"/>
    </row>
    <row r="542" customFormat="false" ht="15" hidden="false" customHeight="false" outlineLevel="0" collapsed="false">
      <c r="A542" s="26"/>
      <c r="B542" s="15"/>
      <c r="C542" s="15"/>
      <c r="D542" s="27"/>
      <c r="E542" s="15"/>
      <c r="F542" s="28"/>
      <c r="G542" s="25" t="str">
        <f aca="true">IF(OR(D542="",E542=""),"",IFERROR(D542*INDEX(UnidadesFactor,MATCH(E542,Unidades,0)),""))</f>
        <v/>
      </c>
      <c r="H542" s="17" t="str">
        <f aca="false">IF(I542&lt;&gt;"OK","",IF(G542=0,"",F542/G542))</f>
        <v/>
      </c>
      <c r="I542" s="20" t="str">
        <f aca="true">IF(B542="","",IF(ISNA(MATCH(B542,ListaInsumos,0)),"Insumo no está en Insumos",IF(OR(D542="",E542="",F542=""),"Faltan datos",IF(INDEX(UnidadesBase,MATCH(E542,Unidades,0))&lt;&gt;INDEX(InsBase,MATCH(B542,ListaInsumos,0)),"Unidad incompatible",IF(A542="","Falta fecha","OK")))))</f>
        <v/>
      </c>
      <c r="J542" s="15"/>
    </row>
    <row r="543" customFormat="false" ht="15" hidden="false" customHeight="false" outlineLevel="0" collapsed="false">
      <c r="A543" s="26"/>
      <c r="B543" s="15"/>
      <c r="C543" s="15"/>
      <c r="D543" s="27"/>
      <c r="E543" s="15"/>
      <c r="F543" s="28"/>
      <c r="G543" s="25" t="str">
        <f aca="true">IF(OR(D543="",E543=""),"",IFERROR(D543*INDEX(UnidadesFactor,MATCH(E543,Unidades,0)),""))</f>
        <v/>
      </c>
      <c r="H543" s="17" t="str">
        <f aca="false">IF(I543&lt;&gt;"OK","",IF(G543=0,"",F543/G543))</f>
        <v/>
      </c>
      <c r="I543" s="20" t="str">
        <f aca="true">IF(B543="","",IF(ISNA(MATCH(B543,ListaInsumos,0)),"Insumo no está en Insumos",IF(OR(D543="",E543="",F543=""),"Faltan datos",IF(INDEX(UnidadesBase,MATCH(E543,Unidades,0))&lt;&gt;INDEX(InsBase,MATCH(B543,ListaInsumos,0)),"Unidad incompatible",IF(A543="","Falta fecha","OK")))))</f>
        <v/>
      </c>
      <c r="J543" s="15"/>
    </row>
    <row r="544" customFormat="false" ht="15" hidden="false" customHeight="false" outlineLevel="0" collapsed="false">
      <c r="A544" s="26"/>
      <c r="B544" s="15"/>
      <c r="C544" s="15"/>
      <c r="D544" s="27"/>
      <c r="E544" s="15"/>
      <c r="F544" s="28"/>
      <c r="G544" s="25" t="str">
        <f aca="true">IF(OR(D544="",E544=""),"",IFERROR(D544*INDEX(UnidadesFactor,MATCH(E544,Unidades,0)),""))</f>
        <v/>
      </c>
      <c r="H544" s="17" t="str">
        <f aca="false">IF(I544&lt;&gt;"OK","",IF(G544=0,"",F544/G544))</f>
        <v/>
      </c>
      <c r="I544" s="20" t="str">
        <f aca="true">IF(B544="","",IF(ISNA(MATCH(B544,ListaInsumos,0)),"Insumo no está en Insumos",IF(OR(D544="",E544="",F544=""),"Faltan datos",IF(INDEX(UnidadesBase,MATCH(E544,Unidades,0))&lt;&gt;INDEX(InsBase,MATCH(B544,ListaInsumos,0)),"Unidad incompatible",IF(A544="","Falta fecha","OK")))))</f>
        <v/>
      </c>
      <c r="J544" s="15"/>
    </row>
    <row r="545" customFormat="false" ht="15" hidden="false" customHeight="false" outlineLevel="0" collapsed="false">
      <c r="A545" s="26"/>
      <c r="B545" s="15"/>
      <c r="C545" s="15"/>
      <c r="D545" s="27"/>
      <c r="E545" s="15"/>
      <c r="F545" s="28"/>
      <c r="G545" s="25" t="str">
        <f aca="true">IF(OR(D545="",E545=""),"",IFERROR(D545*INDEX(UnidadesFactor,MATCH(E545,Unidades,0)),""))</f>
        <v/>
      </c>
      <c r="H545" s="17" t="str">
        <f aca="false">IF(I545&lt;&gt;"OK","",IF(G545=0,"",F545/G545))</f>
        <v/>
      </c>
      <c r="I545" s="20" t="str">
        <f aca="true">IF(B545="","",IF(ISNA(MATCH(B545,ListaInsumos,0)),"Insumo no está en Insumos",IF(OR(D545="",E545="",F545=""),"Faltan datos",IF(INDEX(UnidadesBase,MATCH(E545,Unidades,0))&lt;&gt;INDEX(InsBase,MATCH(B545,ListaInsumos,0)),"Unidad incompatible",IF(A545="","Falta fecha","OK")))))</f>
        <v/>
      </c>
      <c r="J545" s="15"/>
    </row>
    <row r="546" customFormat="false" ht="15" hidden="false" customHeight="false" outlineLevel="0" collapsed="false">
      <c r="A546" s="26"/>
      <c r="B546" s="15"/>
      <c r="C546" s="15"/>
      <c r="D546" s="27"/>
      <c r="E546" s="15"/>
      <c r="F546" s="28"/>
      <c r="G546" s="25" t="str">
        <f aca="true">IF(OR(D546="",E546=""),"",IFERROR(D546*INDEX(UnidadesFactor,MATCH(E546,Unidades,0)),""))</f>
        <v/>
      </c>
      <c r="H546" s="17" t="str">
        <f aca="false">IF(I546&lt;&gt;"OK","",IF(G546=0,"",F546/G546))</f>
        <v/>
      </c>
      <c r="I546" s="20" t="str">
        <f aca="true">IF(B546="","",IF(ISNA(MATCH(B546,ListaInsumos,0)),"Insumo no está en Insumos",IF(OR(D546="",E546="",F546=""),"Faltan datos",IF(INDEX(UnidadesBase,MATCH(E546,Unidades,0))&lt;&gt;INDEX(InsBase,MATCH(B546,ListaInsumos,0)),"Unidad incompatible",IF(A546="","Falta fecha","OK")))))</f>
        <v/>
      </c>
      <c r="J546" s="15"/>
    </row>
    <row r="547" customFormat="false" ht="15" hidden="false" customHeight="false" outlineLevel="0" collapsed="false">
      <c r="A547" s="26"/>
      <c r="B547" s="15"/>
      <c r="C547" s="15"/>
      <c r="D547" s="27"/>
      <c r="E547" s="15"/>
      <c r="F547" s="28"/>
      <c r="G547" s="25" t="str">
        <f aca="true">IF(OR(D547="",E547=""),"",IFERROR(D547*INDEX(UnidadesFactor,MATCH(E547,Unidades,0)),""))</f>
        <v/>
      </c>
      <c r="H547" s="17" t="str">
        <f aca="false">IF(I547&lt;&gt;"OK","",IF(G547=0,"",F547/G547))</f>
        <v/>
      </c>
      <c r="I547" s="20" t="str">
        <f aca="true">IF(B547="","",IF(ISNA(MATCH(B547,ListaInsumos,0)),"Insumo no está en Insumos",IF(OR(D547="",E547="",F547=""),"Faltan datos",IF(INDEX(UnidadesBase,MATCH(E547,Unidades,0))&lt;&gt;INDEX(InsBase,MATCH(B547,ListaInsumos,0)),"Unidad incompatible",IF(A547="","Falta fecha","OK")))))</f>
        <v/>
      </c>
      <c r="J547" s="15"/>
    </row>
    <row r="548" customFormat="false" ht="15" hidden="false" customHeight="false" outlineLevel="0" collapsed="false">
      <c r="A548" s="26"/>
      <c r="B548" s="15"/>
      <c r="C548" s="15"/>
      <c r="D548" s="27"/>
      <c r="E548" s="15"/>
      <c r="F548" s="28"/>
      <c r="G548" s="25" t="str">
        <f aca="true">IF(OR(D548="",E548=""),"",IFERROR(D548*INDEX(UnidadesFactor,MATCH(E548,Unidades,0)),""))</f>
        <v/>
      </c>
      <c r="H548" s="17" t="str">
        <f aca="false">IF(I548&lt;&gt;"OK","",IF(G548=0,"",F548/G548))</f>
        <v/>
      </c>
      <c r="I548" s="20" t="str">
        <f aca="true">IF(B548="","",IF(ISNA(MATCH(B548,ListaInsumos,0)),"Insumo no está en Insumos",IF(OR(D548="",E548="",F548=""),"Faltan datos",IF(INDEX(UnidadesBase,MATCH(E548,Unidades,0))&lt;&gt;INDEX(InsBase,MATCH(B548,ListaInsumos,0)),"Unidad incompatible",IF(A548="","Falta fecha","OK")))))</f>
        <v/>
      </c>
      <c r="J548" s="15"/>
    </row>
    <row r="549" customFormat="false" ht="15" hidden="false" customHeight="false" outlineLevel="0" collapsed="false">
      <c r="A549" s="26"/>
      <c r="B549" s="15"/>
      <c r="C549" s="15"/>
      <c r="D549" s="27"/>
      <c r="E549" s="15"/>
      <c r="F549" s="28"/>
      <c r="G549" s="25" t="str">
        <f aca="true">IF(OR(D549="",E549=""),"",IFERROR(D549*INDEX(UnidadesFactor,MATCH(E549,Unidades,0)),""))</f>
        <v/>
      </c>
      <c r="H549" s="17" t="str">
        <f aca="false">IF(I549&lt;&gt;"OK","",IF(G549=0,"",F549/G549))</f>
        <v/>
      </c>
      <c r="I549" s="20" t="str">
        <f aca="true">IF(B549="","",IF(ISNA(MATCH(B549,ListaInsumos,0)),"Insumo no está en Insumos",IF(OR(D549="",E549="",F549=""),"Faltan datos",IF(INDEX(UnidadesBase,MATCH(E549,Unidades,0))&lt;&gt;INDEX(InsBase,MATCH(B549,ListaInsumos,0)),"Unidad incompatible",IF(A549="","Falta fecha","OK")))))</f>
        <v/>
      </c>
      <c r="J549" s="15"/>
    </row>
    <row r="550" customFormat="false" ht="15" hidden="false" customHeight="false" outlineLevel="0" collapsed="false">
      <c r="A550" s="26"/>
      <c r="B550" s="15"/>
      <c r="C550" s="15"/>
      <c r="D550" s="27"/>
      <c r="E550" s="15"/>
      <c r="F550" s="28"/>
      <c r="G550" s="25" t="str">
        <f aca="true">IF(OR(D550="",E550=""),"",IFERROR(D550*INDEX(UnidadesFactor,MATCH(E550,Unidades,0)),""))</f>
        <v/>
      </c>
      <c r="H550" s="17" t="str">
        <f aca="false">IF(I550&lt;&gt;"OK","",IF(G550=0,"",F550/G550))</f>
        <v/>
      </c>
      <c r="I550" s="20" t="str">
        <f aca="true">IF(B550="","",IF(ISNA(MATCH(B550,ListaInsumos,0)),"Insumo no está en Insumos",IF(OR(D550="",E550="",F550=""),"Faltan datos",IF(INDEX(UnidadesBase,MATCH(E550,Unidades,0))&lt;&gt;INDEX(InsBase,MATCH(B550,ListaInsumos,0)),"Unidad incompatible",IF(A550="","Falta fecha","OK")))))</f>
        <v/>
      </c>
      <c r="J550" s="15"/>
    </row>
    <row r="551" customFormat="false" ht="15" hidden="false" customHeight="false" outlineLevel="0" collapsed="false">
      <c r="A551" s="26"/>
      <c r="B551" s="15"/>
      <c r="C551" s="15"/>
      <c r="D551" s="27"/>
      <c r="E551" s="15"/>
      <c r="F551" s="28"/>
      <c r="G551" s="25" t="str">
        <f aca="true">IF(OR(D551="",E551=""),"",IFERROR(D551*INDEX(UnidadesFactor,MATCH(E551,Unidades,0)),""))</f>
        <v/>
      </c>
      <c r="H551" s="17" t="str">
        <f aca="false">IF(I551&lt;&gt;"OK","",IF(G551=0,"",F551/G551))</f>
        <v/>
      </c>
      <c r="I551" s="20" t="str">
        <f aca="true">IF(B551="","",IF(ISNA(MATCH(B551,ListaInsumos,0)),"Insumo no está en Insumos",IF(OR(D551="",E551="",F551=""),"Faltan datos",IF(INDEX(UnidadesBase,MATCH(E551,Unidades,0))&lt;&gt;INDEX(InsBase,MATCH(B551,ListaInsumos,0)),"Unidad incompatible",IF(A551="","Falta fecha","OK")))))</f>
        <v/>
      </c>
      <c r="J551" s="15"/>
    </row>
    <row r="552" customFormat="false" ht="15" hidden="false" customHeight="false" outlineLevel="0" collapsed="false">
      <c r="A552" s="26"/>
      <c r="B552" s="15"/>
      <c r="C552" s="15"/>
      <c r="D552" s="27"/>
      <c r="E552" s="15"/>
      <c r="F552" s="28"/>
      <c r="G552" s="25" t="str">
        <f aca="true">IF(OR(D552="",E552=""),"",IFERROR(D552*INDEX(UnidadesFactor,MATCH(E552,Unidades,0)),""))</f>
        <v/>
      </c>
      <c r="H552" s="17" t="str">
        <f aca="false">IF(I552&lt;&gt;"OK","",IF(G552=0,"",F552/G552))</f>
        <v/>
      </c>
      <c r="I552" s="20" t="str">
        <f aca="true">IF(B552="","",IF(ISNA(MATCH(B552,ListaInsumos,0)),"Insumo no está en Insumos",IF(OR(D552="",E552="",F552=""),"Faltan datos",IF(INDEX(UnidadesBase,MATCH(E552,Unidades,0))&lt;&gt;INDEX(InsBase,MATCH(B552,ListaInsumos,0)),"Unidad incompatible",IF(A552="","Falta fecha","OK")))))</f>
        <v/>
      </c>
      <c r="J552" s="15"/>
    </row>
    <row r="553" customFormat="false" ht="15" hidden="false" customHeight="false" outlineLevel="0" collapsed="false">
      <c r="A553" s="26"/>
      <c r="B553" s="15"/>
      <c r="C553" s="15"/>
      <c r="D553" s="27"/>
      <c r="E553" s="15"/>
      <c r="F553" s="28"/>
      <c r="G553" s="25" t="str">
        <f aca="true">IF(OR(D553="",E553=""),"",IFERROR(D553*INDEX(UnidadesFactor,MATCH(E553,Unidades,0)),""))</f>
        <v/>
      </c>
      <c r="H553" s="17" t="str">
        <f aca="false">IF(I553&lt;&gt;"OK","",IF(G553=0,"",F553/G553))</f>
        <v/>
      </c>
      <c r="I553" s="20" t="str">
        <f aca="true">IF(B553="","",IF(ISNA(MATCH(B553,ListaInsumos,0)),"Insumo no está en Insumos",IF(OR(D553="",E553="",F553=""),"Faltan datos",IF(INDEX(UnidadesBase,MATCH(E553,Unidades,0))&lt;&gt;INDEX(InsBase,MATCH(B553,ListaInsumos,0)),"Unidad incompatible",IF(A553="","Falta fecha","OK")))))</f>
        <v/>
      </c>
      <c r="J553" s="15"/>
    </row>
    <row r="554" customFormat="false" ht="15" hidden="false" customHeight="false" outlineLevel="0" collapsed="false">
      <c r="A554" s="26"/>
      <c r="B554" s="15"/>
      <c r="C554" s="15"/>
      <c r="D554" s="27"/>
      <c r="E554" s="15"/>
      <c r="F554" s="28"/>
      <c r="G554" s="25" t="str">
        <f aca="true">IF(OR(D554="",E554=""),"",IFERROR(D554*INDEX(UnidadesFactor,MATCH(E554,Unidades,0)),""))</f>
        <v/>
      </c>
      <c r="H554" s="17" t="str">
        <f aca="false">IF(I554&lt;&gt;"OK","",IF(G554=0,"",F554/G554))</f>
        <v/>
      </c>
      <c r="I554" s="20" t="str">
        <f aca="true">IF(B554="","",IF(ISNA(MATCH(B554,ListaInsumos,0)),"Insumo no está en Insumos",IF(OR(D554="",E554="",F554=""),"Faltan datos",IF(INDEX(UnidadesBase,MATCH(E554,Unidades,0))&lt;&gt;INDEX(InsBase,MATCH(B554,ListaInsumos,0)),"Unidad incompatible",IF(A554="","Falta fecha","OK")))))</f>
        <v/>
      </c>
      <c r="J554" s="15"/>
    </row>
    <row r="555" customFormat="false" ht="15" hidden="false" customHeight="false" outlineLevel="0" collapsed="false">
      <c r="A555" s="26"/>
      <c r="B555" s="15"/>
      <c r="C555" s="15"/>
      <c r="D555" s="27"/>
      <c r="E555" s="15"/>
      <c r="F555" s="28"/>
      <c r="G555" s="25" t="str">
        <f aca="true">IF(OR(D555="",E555=""),"",IFERROR(D555*INDEX(UnidadesFactor,MATCH(E555,Unidades,0)),""))</f>
        <v/>
      </c>
      <c r="H555" s="17" t="str">
        <f aca="false">IF(I555&lt;&gt;"OK","",IF(G555=0,"",F555/G555))</f>
        <v/>
      </c>
      <c r="I555" s="20" t="str">
        <f aca="true">IF(B555="","",IF(ISNA(MATCH(B555,ListaInsumos,0)),"Insumo no está en Insumos",IF(OR(D555="",E555="",F555=""),"Faltan datos",IF(INDEX(UnidadesBase,MATCH(E555,Unidades,0))&lt;&gt;INDEX(InsBase,MATCH(B555,ListaInsumos,0)),"Unidad incompatible",IF(A555="","Falta fecha","OK")))))</f>
        <v/>
      </c>
      <c r="J555" s="15"/>
    </row>
    <row r="556" customFormat="false" ht="15" hidden="false" customHeight="false" outlineLevel="0" collapsed="false">
      <c r="A556" s="26"/>
      <c r="B556" s="15"/>
      <c r="C556" s="15"/>
      <c r="D556" s="27"/>
      <c r="E556" s="15"/>
      <c r="F556" s="28"/>
      <c r="G556" s="25" t="str">
        <f aca="true">IF(OR(D556="",E556=""),"",IFERROR(D556*INDEX(UnidadesFactor,MATCH(E556,Unidades,0)),""))</f>
        <v/>
      </c>
      <c r="H556" s="17" t="str">
        <f aca="false">IF(I556&lt;&gt;"OK","",IF(G556=0,"",F556/G556))</f>
        <v/>
      </c>
      <c r="I556" s="20" t="str">
        <f aca="true">IF(B556="","",IF(ISNA(MATCH(B556,ListaInsumos,0)),"Insumo no está en Insumos",IF(OR(D556="",E556="",F556=""),"Faltan datos",IF(INDEX(UnidadesBase,MATCH(E556,Unidades,0))&lt;&gt;INDEX(InsBase,MATCH(B556,ListaInsumos,0)),"Unidad incompatible",IF(A556="","Falta fecha","OK")))))</f>
        <v/>
      </c>
      <c r="J556" s="15"/>
    </row>
    <row r="557" customFormat="false" ht="15" hidden="false" customHeight="false" outlineLevel="0" collapsed="false">
      <c r="A557" s="26"/>
      <c r="B557" s="15"/>
      <c r="C557" s="15"/>
      <c r="D557" s="27"/>
      <c r="E557" s="15"/>
      <c r="F557" s="28"/>
      <c r="G557" s="25" t="str">
        <f aca="true">IF(OR(D557="",E557=""),"",IFERROR(D557*INDEX(UnidadesFactor,MATCH(E557,Unidades,0)),""))</f>
        <v/>
      </c>
      <c r="H557" s="17" t="str">
        <f aca="false">IF(I557&lt;&gt;"OK","",IF(G557=0,"",F557/G557))</f>
        <v/>
      </c>
      <c r="I557" s="20" t="str">
        <f aca="true">IF(B557="","",IF(ISNA(MATCH(B557,ListaInsumos,0)),"Insumo no está en Insumos",IF(OR(D557="",E557="",F557=""),"Faltan datos",IF(INDEX(UnidadesBase,MATCH(E557,Unidades,0))&lt;&gt;INDEX(InsBase,MATCH(B557,ListaInsumos,0)),"Unidad incompatible",IF(A557="","Falta fecha","OK")))))</f>
        <v/>
      </c>
      <c r="J557" s="15"/>
    </row>
    <row r="558" customFormat="false" ht="15" hidden="false" customHeight="false" outlineLevel="0" collapsed="false">
      <c r="A558" s="26"/>
      <c r="B558" s="15"/>
      <c r="C558" s="15"/>
      <c r="D558" s="27"/>
      <c r="E558" s="15"/>
      <c r="F558" s="28"/>
      <c r="G558" s="25" t="str">
        <f aca="true">IF(OR(D558="",E558=""),"",IFERROR(D558*INDEX(UnidadesFactor,MATCH(E558,Unidades,0)),""))</f>
        <v/>
      </c>
      <c r="H558" s="17" t="str">
        <f aca="false">IF(I558&lt;&gt;"OK","",IF(G558=0,"",F558/G558))</f>
        <v/>
      </c>
      <c r="I558" s="20" t="str">
        <f aca="true">IF(B558="","",IF(ISNA(MATCH(B558,ListaInsumos,0)),"Insumo no está en Insumos",IF(OR(D558="",E558="",F558=""),"Faltan datos",IF(INDEX(UnidadesBase,MATCH(E558,Unidades,0))&lt;&gt;INDEX(InsBase,MATCH(B558,ListaInsumos,0)),"Unidad incompatible",IF(A558="","Falta fecha","OK")))))</f>
        <v/>
      </c>
      <c r="J558" s="15"/>
    </row>
    <row r="559" customFormat="false" ht="15" hidden="false" customHeight="false" outlineLevel="0" collapsed="false">
      <c r="A559" s="26"/>
      <c r="B559" s="15"/>
      <c r="C559" s="15"/>
      <c r="D559" s="27"/>
      <c r="E559" s="15"/>
      <c r="F559" s="28"/>
      <c r="G559" s="25" t="str">
        <f aca="true">IF(OR(D559="",E559=""),"",IFERROR(D559*INDEX(UnidadesFactor,MATCH(E559,Unidades,0)),""))</f>
        <v/>
      </c>
      <c r="H559" s="17" t="str">
        <f aca="false">IF(I559&lt;&gt;"OK","",IF(G559=0,"",F559/G559))</f>
        <v/>
      </c>
      <c r="I559" s="20" t="str">
        <f aca="true">IF(B559="","",IF(ISNA(MATCH(B559,ListaInsumos,0)),"Insumo no está en Insumos",IF(OR(D559="",E559="",F559=""),"Faltan datos",IF(INDEX(UnidadesBase,MATCH(E559,Unidades,0))&lt;&gt;INDEX(InsBase,MATCH(B559,ListaInsumos,0)),"Unidad incompatible",IF(A559="","Falta fecha","OK")))))</f>
        <v/>
      </c>
      <c r="J559" s="15"/>
    </row>
    <row r="560" customFormat="false" ht="15" hidden="false" customHeight="false" outlineLevel="0" collapsed="false">
      <c r="A560" s="26"/>
      <c r="B560" s="15"/>
      <c r="C560" s="15"/>
      <c r="D560" s="27"/>
      <c r="E560" s="15"/>
      <c r="F560" s="28"/>
      <c r="G560" s="25" t="str">
        <f aca="true">IF(OR(D560="",E560=""),"",IFERROR(D560*INDEX(UnidadesFactor,MATCH(E560,Unidades,0)),""))</f>
        <v/>
      </c>
      <c r="H560" s="17" t="str">
        <f aca="false">IF(I560&lt;&gt;"OK","",IF(G560=0,"",F560/G560))</f>
        <v/>
      </c>
      <c r="I560" s="20" t="str">
        <f aca="true">IF(B560="","",IF(ISNA(MATCH(B560,ListaInsumos,0)),"Insumo no está en Insumos",IF(OR(D560="",E560="",F560=""),"Faltan datos",IF(INDEX(UnidadesBase,MATCH(E560,Unidades,0))&lt;&gt;INDEX(InsBase,MATCH(B560,ListaInsumos,0)),"Unidad incompatible",IF(A560="","Falta fecha","OK")))))</f>
        <v/>
      </c>
      <c r="J560" s="15"/>
    </row>
    <row r="561" customFormat="false" ht="15" hidden="false" customHeight="false" outlineLevel="0" collapsed="false">
      <c r="A561" s="26"/>
      <c r="B561" s="15"/>
      <c r="C561" s="15"/>
      <c r="D561" s="27"/>
      <c r="E561" s="15"/>
      <c r="F561" s="28"/>
      <c r="G561" s="25" t="str">
        <f aca="true">IF(OR(D561="",E561=""),"",IFERROR(D561*INDEX(UnidadesFactor,MATCH(E561,Unidades,0)),""))</f>
        <v/>
      </c>
      <c r="H561" s="17" t="str">
        <f aca="false">IF(I561&lt;&gt;"OK","",IF(G561=0,"",F561/G561))</f>
        <v/>
      </c>
      <c r="I561" s="20" t="str">
        <f aca="true">IF(B561="","",IF(ISNA(MATCH(B561,ListaInsumos,0)),"Insumo no está en Insumos",IF(OR(D561="",E561="",F561=""),"Faltan datos",IF(INDEX(UnidadesBase,MATCH(E561,Unidades,0))&lt;&gt;INDEX(InsBase,MATCH(B561,ListaInsumos,0)),"Unidad incompatible",IF(A561="","Falta fecha","OK")))))</f>
        <v/>
      </c>
      <c r="J561" s="15"/>
    </row>
    <row r="562" customFormat="false" ht="15" hidden="false" customHeight="false" outlineLevel="0" collapsed="false">
      <c r="A562" s="26"/>
      <c r="B562" s="15"/>
      <c r="C562" s="15"/>
      <c r="D562" s="27"/>
      <c r="E562" s="15"/>
      <c r="F562" s="28"/>
      <c r="G562" s="25" t="str">
        <f aca="true">IF(OR(D562="",E562=""),"",IFERROR(D562*INDEX(UnidadesFactor,MATCH(E562,Unidades,0)),""))</f>
        <v/>
      </c>
      <c r="H562" s="17" t="str">
        <f aca="false">IF(I562&lt;&gt;"OK","",IF(G562=0,"",F562/G562))</f>
        <v/>
      </c>
      <c r="I562" s="20" t="str">
        <f aca="true">IF(B562="","",IF(ISNA(MATCH(B562,ListaInsumos,0)),"Insumo no está en Insumos",IF(OR(D562="",E562="",F562=""),"Faltan datos",IF(INDEX(UnidadesBase,MATCH(E562,Unidades,0))&lt;&gt;INDEX(InsBase,MATCH(B562,ListaInsumos,0)),"Unidad incompatible",IF(A562="","Falta fecha","OK")))))</f>
        <v/>
      </c>
      <c r="J562" s="15"/>
    </row>
    <row r="563" customFormat="false" ht="15" hidden="false" customHeight="false" outlineLevel="0" collapsed="false">
      <c r="A563" s="26"/>
      <c r="B563" s="15"/>
      <c r="C563" s="15"/>
      <c r="D563" s="27"/>
      <c r="E563" s="15"/>
      <c r="F563" s="28"/>
      <c r="G563" s="25" t="str">
        <f aca="true">IF(OR(D563="",E563=""),"",IFERROR(D563*INDEX(UnidadesFactor,MATCH(E563,Unidades,0)),""))</f>
        <v/>
      </c>
      <c r="H563" s="17" t="str">
        <f aca="false">IF(I563&lt;&gt;"OK","",IF(G563=0,"",F563/G563))</f>
        <v/>
      </c>
      <c r="I563" s="20" t="str">
        <f aca="true">IF(B563="","",IF(ISNA(MATCH(B563,ListaInsumos,0)),"Insumo no está en Insumos",IF(OR(D563="",E563="",F563=""),"Faltan datos",IF(INDEX(UnidadesBase,MATCH(E563,Unidades,0))&lt;&gt;INDEX(InsBase,MATCH(B563,ListaInsumos,0)),"Unidad incompatible",IF(A563="","Falta fecha","OK")))))</f>
        <v/>
      </c>
      <c r="J563" s="15"/>
    </row>
    <row r="564" customFormat="false" ht="15" hidden="false" customHeight="false" outlineLevel="0" collapsed="false">
      <c r="A564" s="26"/>
      <c r="B564" s="15"/>
      <c r="C564" s="15"/>
      <c r="D564" s="27"/>
      <c r="E564" s="15"/>
      <c r="F564" s="28"/>
      <c r="G564" s="25" t="str">
        <f aca="true">IF(OR(D564="",E564=""),"",IFERROR(D564*INDEX(UnidadesFactor,MATCH(E564,Unidades,0)),""))</f>
        <v/>
      </c>
      <c r="H564" s="17" t="str">
        <f aca="false">IF(I564&lt;&gt;"OK","",IF(G564=0,"",F564/G564))</f>
        <v/>
      </c>
      <c r="I564" s="20" t="str">
        <f aca="true">IF(B564="","",IF(ISNA(MATCH(B564,ListaInsumos,0)),"Insumo no está en Insumos",IF(OR(D564="",E564="",F564=""),"Faltan datos",IF(INDEX(UnidadesBase,MATCH(E564,Unidades,0))&lt;&gt;INDEX(InsBase,MATCH(B564,ListaInsumos,0)),"Unidad incompatible",IF(A564="","Falta fecha","OK")))))</f>
        <v/>
      </c>
      <c r="J564" s="15"/>
    </row>
    <row r="565" customFormat="false" ht="15" hidden="false" customHeight="false" outlineLevel="0" collapsed="false">
      <c r="A565" s="26"/>
      <c r="B565" s="15"/>
      <c r="C565" s="15"/>
      <c r="D565" s="27"/>
      <c r="E565" s="15"/>
      <c r="F565" s="28"/>
      <c r="G565" s="25" t="str">
        <f aca="true">IF(OR(D565="",E565=""),"",IFERROR(D565*INDEX(UnidadesFactor,MATCH(E565,Unidades,0)),""))</f>
        <v/>
      </c>
      <c r="H565" s="17" t="str">
        <f aca="false">IF(I565&lt;&gt;"OK","",IF(G565=0,"",F565/G565))</f>
        <v/>
      </c>
      <c r="I565" s="20" t="str">
        <f aca="true">IF(B565="","",IF(ISNA(MATCH(B565,ListaInsumos,0)),"Insumo no está en Insumos",IF(OR(D565="",E565="",F565=""),"Faltan datos",IF(INDEX(UnidadesBase,MATCH(E565,Unidades,0))&lt;&gt;INDEX(InsBase,MATCH(B565,ListaInsumos,0)),"Unidad incompatible",IF(A565="","Falta fecha","OK")))))</f>
        <v/>
      </c>
      <c r="J565" s="15"/>
    </row>
    <row r="566" customFormat="false" ht="15" hidden="false" customHeight="false" outlineLevel="0" collapsed="false">
      <c r="A566" s="26"/>
      <c r="B566" s="15"/>
      <c r="C566" s="15"/>
      <c r="D566" s="27"/>
      <c r="E566" s="15"/>
      <c r="F566" s="28"/>
      <c r="G566" s="25" t="str">
        <f aca="true">IF(OR(D566="",E566=""),"",IFERROR(D566*INDEX(UnidadesFactor,MATCH(E566,Unidades,0)),""))</f>
        <v/>
      </c>
      <c r="H566" s="17" t="str">
        <f aca="false">IF(I566&lt;&gt;"OK","",IF(G566=0,"",F566/G566))</f>
        <v/>
      </c>
      <c r="I566" s="20" t="str">
        <f aca="true">IF(B566="","",IF(ISNA(MATCH(B566,ListaInsumos,0)),"Insumo no está en Insumos",IF(OR(D566="",E566="",F566=""),"Faltan datos",IF(INDEX(UnidadesBase,MATCH(E566,Unidades,0))&lt;&gt;INDEX(InsBase,MATCH(B566,ListaInsumos,0)),"Unidad incompatible",IF(A566="","Falta fecha","OK")))))</f>
        <v/>
      </c>
      <c r="J566" s="15"/>
    </row>
    <row r="567" customFormat="false" ht="15" hidden="false" customHeight="false" outlineLevel="0" collapsed="false">
      <c r="A567" s="26"/>
      <c r="B567" s="15"/>
      <c r="C567" s="15"/>
      <c r="D567" s="27"/>
      <c r="E567" s="15"/>
      <c r="F567" s="28"/>
      <c r="G567" s="25" t="str">
        <f aca="true">IF(OR(D567="",E567=""),"",IFERROR(D567*INDEX(UnidadesFactor,MATCH(E567,Unidades,0)),""))</f>
        <v/>
      </c>
      <c r="H567" s="17" t="str">
        <f aca="false">IF(I567&lt;&gt;"OK","",IF(G567=0,"",F567/G567))</f>
        <v/>
      </c>
      <c r="I567" s="20" t="str">
        <f aca="true">IF(B567="","",IF(ISNA(MATCH(B567,ListaInsumos,0)),"Insumo no está en Insumos",IF(OR(D567="",E567="",F567=""),"Faltan datos",IF(INDEX(UnidadesBase,MATCH(E567,Unidades,0))&lt;&gt;INDEX(InsBase,MATCH(B567,ListaInsumos,0)),"Unidad incompatible",IF(A567="","Falta fecha","OK")))))</f>
        <v/>
      </c>
      <c r="J567" s="15"/>
    </row>
    <row r="568" customFormat="false" ht="15" hidden="false" customHeight="false" outlineLevel="0" collapsed="false">
      <c r="A568" s="26"/>
      <c r="B568" s="15"/>
      <c r="C568" s="15"/>
      <c r="D568" s="27"/>
      <c r="E568" s="15"/>
      <c r="F568" s="28"/>
      <c r="G568" s="25" t="str">
        <f aca="true">IF(OR(D568="",E568=""),"",IFERROR(D568*INDEX(UnidadesFactor,MATCH(E568,Unidades,0)),""))</f>
        <v/>
      </c>
      <c r="H568" s="17" t="str">
        <f aca="false">IF(I568&lt;&gt;"OK","",IF(G568=0,"",F568/G568))</f>
        <v/>
      </c>
      <c r="I568" s="20" t="str">
        <f aca="true">IF(B568="","",IF(ISNA(MATCH(B568,ListaInsumos,0)),"Insumo no está en Insumos",IF(OR(D568="",E568="",F568=""),"Faltan datos",IF(INDEX(UnidadesBase,MATCH(E568,Unidades,0))&lt;&gt;INDEX(InsBase,MATCH(B568,ListaInsumos,0)),"Unidad incompatible",IF(A568="","Falta fecha","OK")))))</f>
        <v/>
      </c>
      <c r="J568" s="15"/>
    </row>
    <row r="569" customFormat="false" ht="15" hidden="false" customHeight="false" outlineLevel="0" collapsed="false">
      <c r="A569" s="26"/>
      <c r="B569" s="15"/>
      <c r="C569" s="15"/>
      <c r="D569" s="27"/>
      <c r="E569" s="15"/>
      <c r="F569" s="28"/>
      <c r="G569" s="25" t="str">
        <f aca="true">IF(OR(D569="",E569=""),"",IFERROR(D569*INDEX(UnidadesFactor,MATCH(E569,Unidades,0)),""))</f>
        <v/>
      </c>
      <c r="H569" s="17" t="str">
        <f aca="false">IF(I569&lt;&gt;"OK","",IF(G569=0,"",F569/G569))</f>
        <v/>
      </c>
      <c r="I569" s="20" t="str">
        <f aca="true">IF(B569="","",IF(ISNA(MATCH(B569,ListaInsumos,0)),"Insumo no está en Insumos",IF(OR(D569="",E569="",F569=""),"Faltan datos",IF(INDEX(UnidadesBase,MATCH(E569,Unidades,0))&lt;&gt;INDEX(InsBase,MATCH(B569,ListaInsumos,0)),"Unidad incompatible",IF(A569="","Falta fecha","OK")))))</f>
        <v/>
      </c>
      <c r="J569" s="15"/>
    </row>
    <row r="570" customFormat="false" ht="15" hidden="false" customHeight="false" outlineLevel="0" collapsed="false">
      <c r="A570" s="26"/>
      <c r="B570" s="15"/>
      <c r="C570" s="15"/>
      <c r="D570" s="27"/>
      <c r="E570" s="15"/>
      <c r="F570" s="28"/>
      <c r="G570" s="25" t="str">
        <f aca="true">IF(OR(D570="",E570=""),"",IFERROR(D570*INDEX(UnidadesFactor,MATCH(E570,Unidades,0)),""))</f>
        <v/>
      </c>
      <c r="H570" s="17" t="str">
        <f aca="false">IF(I570&lt;&gt;"OK","",IF(G570=0,"",F570/G570))</f>
        <v/>
      </c>
      <c r="I570" s="20" t="str">
        <f aca="true">IF(B570="","",IF(ISNA(MATCH(B570,ListaInsumos,0)),"Insumo no está en Insumos",IF(OR(D570="",E570="",F570=""),"Faltan datos",IF(INDEX(UnidadesBase,MATCH(E570,Unidades,0))&lt;&gt;INDEX(InsBase,MATCH(B570,ListaInsumos,0)),"Unidad incompatible",IF(A570="","Falta fecha","OK")))))</f>
        <v/>
      </c>
      <c r="J570" s="15"/>
    </row>
    <row r="571" customFormat="false" ht="15" hidden="false" customHeight="false" outlineLevel="0" collapsed="false">
      <c r="A571" s="26"/>
      <c r="B571" s="15"/>
      <c r="C571" s="15"/>
      <c r="D571" s="27"/>
      <c r="E571" s="15"/>
      <c r="F571" s="28"/>
      <c r="G571" s="25" t="str">
        <f aca="true">IF(OR(D571="",E571=""),"",IFERROR(D571*INDEX(UnidadesFactor,MATCH(E571,Unidades,0)),""))</f>
        <v/>
      </c>
      <c r="H571" s="17" t="str">
        <f aca="false">IF(I571&lt;&gt;"OK","",IF(G571=0,"",F571/G571))</f>
        <v/>
      </c>
      <c r="I571" s="20" t="str">
        <f aca="true">IF(B571="","",IF(ISNA(MATCH(B571,ListaInsumos,0)),"Insumo no está en Insumos",IF(OR(D571="",E571="",F571=""),"Faltan datos",IF(INDEX(UnidadesBase,MATCH(E571,Unidades,0))&lt;&gt;INDEX(InsBase,MATCH(B571,ListaInsumos,0)),"Unidad incompatible",IF(A571="","Falta fecha","OK")))))</f>
        <v/>
      </c>
      <c r="J571" s="15"/>
    </row>
    <row r="572" customFormat="false" ht="15" hidden="false" customHeight="false" outlineLevel="0" collapsed="false">
      <c r="A572" s="26"/>
      <c r="B572" s="15"/>
      <c r="C572" s="15"/>
      <c r="D572" s="27"/>
      <c r="E572" s="15"/>
      <c r="F572" s="28"/>
      <c r="G572" s="25" t="str">
        <f aca="true">IF(OR(D572="",E572=""),"",IFERROR(D572*INDEX(UnidadesFactor,MATCH(E572,Unidades,0)),""))</f>
        <v/>
      </c>
      <c r="H572" s="17" t="str">
        <f aca="false">IF(I572&lt;&gt;"OK","",IF(G572=0,"",F572/G572))</f>
        <v/>
      </c>
      <c r="I572" s="20" t="str">
        <f aca="true">IF(B572="","",IF(ISNA(MATCH(B572,ListaInsumos,0)),"Insumo no está en Insumos",IF(OR(D572="",E572="",F572=""),"Faltan datos",IF(INDEX(UnidadesBase,MATCH(E572,Unidades,0))&lt;&gt;INDEX(InsBase,MATCH(B572,ListaInsumos,0)),"Unidad incompatible",IF(A572="","Falta fecha","OK")))))</f>
        <v/>
      </c>
      <c r="J572" s="15"/>
    </row>
    <row r="573" customFormat="false" ht="15" hidden="false" customHeight="false" outlineLevel="0" collapsed="false">
      <c r="A573" s="26"/>
      <c r="B573" s="15"/>
      <c r="C573" s="15"/>
      <c r="D573" s="27"/>
      <c r="E573" s="15"/>
      <c r="F573" s="28"/>
      <c r="G573" s="25" t="str">
        <f aca="true">IF(OR(D573="",E573=""),"",IFERROR(D573*INDEX(UnidadesFactor,MATCH(E573,Unidades,0)),""))</f>
        <v/>
      </c>
      <c r="H573" s="17" t="str">
        <f aca="false">IF(I573&lt;&gt;"OK","",IF(G573=0,"",F573/G573))</f>
        <v/>
      </c>
      <c r="I573" s="20" t="str">
        <f aca="true">IF(B573="","",IF(ISNA(MATCH(B573,ListaInsumos,0)),"Insumo no está en Insumos",IF(OR(D573="",E573="",F573=""),"Faltan datos",IF(INDEX(UnidadesBase,MATCH(E573,Unidades,0))&lt;&gt;INDEX(InsBase,MATCH(B573,ListaInsumos,0)),"Unidad incompatible",IF(A573="","Falta fecha","OK")))))</f>
        <v/>
      </c>
      <c r="J573" s="15"/>
    </row>
    <row r="574" customFormat="false" ht="15" hidden="false" customHeight="false" outlineLevel="0" collapsed="false">
      <c r="A574" s="26"/>
      <c r="B574" s="15"/>
      <c r="C574" s="15"/>
      <c r="D574" s="27"/>
      <c r="E574" s="15"/>
      <c r="F574" s="28"/>
      <c r="G574" s="25" t="str">
        <f aca="true">IF(OR(D574="",E574=""),"",IFERROR(D574*INDEX(UnidadesFactor,MATCH(E574,Unidades,0)),""))</f>
        <v/>
      </c>
      <c r="H574" s="17" t="str">
        <f aca="false">IF(I574&lt;&gt;"OK","",IF(G574=0,"",F574/G574))</f>
        <v/>
      </c>
      <c r="I574" s="20" t="str">
        <f aca="true">IF(B574="","",IF(ISNA(MATCH(B574,ListaInsumos,0)),"Insumo no está en Insumos",IF(OR(D574="",E574="",F574=""),"Faltan datos",IF(INDEX(UnidadesBase,MATCH(E574,Unidades,0))&lt;&gt;INDEX(InsBase,MATCH(B574,ListaInsumos,0)),"Unidad incompatible",IF(A574="","Falta fecha","OK")))))</f>
        <v/>
      </c>
      <c r="J574" s="15"/>
    </row>
    <row r="575" customFormat="false" ht="15" hidden="false" customHeight="false" outlineLevel="0" collapsed="false">
      <c r="A575" s="26"/>
      <c r="B575" s="15"/>
      <c r="C575" s="15"/>
      <c r="D575" s="27"/>
      <c r="E575" s="15"/>
      <c r="F575" s="28"/>
      <c r="G575" s="25" t="str">
        <f aca="true">IF(OR(D575="",E575=""),"",IFERROR(D575*INDEX(UnidadesFactor,MATCH(E575,Unidades,0)),""))</f>
        <v/>
      </c>
      <c r="H575" s="17" t="str">
        <f aca="false">IF(I575&lt;&gt;"OK","",IF(G575=0,"",F575/G575))</f>
        <v/>
      </c>
      <c r="I575" s="20" t="str">
        <f aca="true">IF(B575="","",IF(ISNA(MATCH(B575,ListaInsumos,0)),"Insumo no está en Insumos",IF(OR(D575="",E575="",F575=""),"Faltan datos",IF(INDEX(UnidadesBase,MATCH(E575,Unidades,0))&lt;&gt;INDEX(InsBase,MATCH(B575,ListaInsumos,0)),"Unidad incompatible",IF(A575="","Falta fecha","OK")))))</f>
        <v/>
      </c>
      <c r="J575" s="15"/>
    </row>
    <row r="576" customFormat="false" ht="15" hidden="false" customHeight="false" outlineLevel="0" collapsed="false">
      <c r="A576" s="26"/>
      <c r="B576" s="15"/>
      <c r="C576" s="15"/>
      <c r="D576" s="27"/>
      <c r="E576" s="15"/>
      <c r="F576" s="28"/>
      <c r="G576" s="25" t="str">
        <f aca="true">IF(OR(D576="",E576=""),"",IFERROR(D576*INDEX(UnidadesFactor,MATCH(E576,Unidades,0)),""))</f>
        <v/>
      </c>
      <c r="H576" s="17" t="str">
        <f aca="false">IF(I576&lt;&gt;"OK","",IF(G576=0,"",F576/G576))</f>
        <v/>
      </c>
      <c r="I576" s="20" t="str">
        <f aca="true">IF(B576="","",IF(ISNA(MATCH(B576,ListaInsumos,0)),"Insumo no está en Insumos",IF(OR(D576="",E576="",F576=""),"Faltan datos",IF(INDEX(UnidadesBase,MATCH(E576,Unidades,0))&lt;&gt;INDEX(InsBase,MATCH(B576,ListaInsumos,0)),"Unidad incompatible",IF(A576="","Falta fecha","OK")))))</f>
        <v/>
      </c>
      <c r="J576" s="15"/>
    </row>
    <row r="577" customFormat="false" ht="15" hidden="false" customHeight="false" outlineLevel="0" collapsed="false">
      <c r="A577" s="26"/>
      <c r="B577" s="15"/>
      <c r="C577" s="15"/>
      <c r="D577" s="27"/>
      <c r="E577" s="15"/>
      <c r="F577" s="28"/>
      <c r="G577" s="25" t="str">
        <f aca="true">IF(OR(D577="",E577=""),"",IFERROR(D577*INDEX(UnidadesFactor,MATCH(E577,Unidades,0)),""))</f>
        <v/>
      </c>
      <c r="H577" s="17" t="str">
        <f aca="false">IF(I577&lt;&gt;"OK","",IF(G577=0,"",F577/G577))</f>
        <v/>
      </c>
      <c r="I577" s="20" t="str">
        <f aca="true">IF(B577="","",IF(ISNA(MATCH(B577,ListaInsumos,0)),"Insumo no está en Insumos",IF(OR(D577="",E577="",F577=""),"Faltan datos",IF(INDEX(UnidadesBase,MATCH(E577,Unidades,0))&lt;&gt;INDEX(InsBase,MATCH(B577,ListaInsumos,0)),"Unidad incompatible",IF(A577="","Falta fecha","OK")))))</f>
        <v/>
      </c>
      <c r="J577" s="15"/>
    </row>
    <row r="578" customFormat="false" ht="15" hidden="false" customHeight="false" outlineLevel="0" collapsed="false">
      <c r="A578" s="26"/>
      <c r="B578" s="15"/>
      <c r="C578" s="15"/>
      <c r="D578" s="27"/>
      <c r="E578" s="15"/>
      <c r="F578" s="28"/>
      <c r="G578" s="25" t="str">
        <f aca="true">IF(OR(D578="",E578=""),"",IFERROR(D578*INDEX(UnidadesFactor,MATCH(E578,Unidades,0)),""))</f>
        <v/>
      </c>
      <c r="H578" s="17" t="str">
        <f aca="false">IF(I578&lt;&gt;"OK","",IF(G578=0,"",F578/G578))</f>
        <v/>
      </c>
      <c r="I578" s="20" t="str">
        <f aca="true">IF(B578="","",IF(ISNA(MATCH(B578,ListaInsumos,0)),"Insumo no está en Insumos",IF(OR(D578="",E578="",F578=""),"Faltan datos",IF(INDEX(UnidadesBase,MATCH(E578,Unidades,0))&lt;&gt;INDEX(InsBase,MATCH(B578,ListaInsumos,0)),"Unidad incompatible",IF(A578="","Falta fecha","OK")))))</f>
        <v/>
      </c>
      <c r="J578" s="15"/>
    </row>
    <row r="579" customFormat="false" ht="15" hidden="false" customHeight="false" outlineLevel="0" collapsed="false">
      <c r="A579" s="26"/>
      <c r="B579" s="15"/>
      <c r="C579" s="15"/>
      <c r="D579" s="27"/>
      <c r="E579" s="15"/>
      <c r="F579" s="28"/>
      <c r="G579" s="25" t="str">
        <f aca="true">IF(OR(D579="",E579=""),"",IFERROR(D579*INDEX(UnidadesFactor,MATCH(E579,Unidades,0)),""))</f>
        <v/>
      </c>
      <c r="H579" s="17" t="str">
        <f aca="false">IF(I579&lt;&gt;"OK","",IF(G579=0,"",F579/G579))</f>
        <v/>
      </c>
      <c r="I579" s="20" t="str">
        <f aca="true">IF(B579="","",IF(ISNA(MATCH(B579,ListaInsumos,0)),"Insumo no está en Insumos",IF(OR(D579="",E579="",F579=""),"Faltan datos",IF(INDEX(UnidadesBase,MATCH(E579,Unidades,0))&lt;&gt;INDEX(InsBase,MATCH(B579,ListaInsumos,0)),"Unidad incompatible",IF(A579="","Falta fecha","OK")))))</f>
        <v/>
      </c>
      <c r="J579" s="15"/>
    </row>
    <row r="580" customFormat="false" ht="15" hidden="false" customHeight="false" outlineLevel="0" collapsed="false">
      <c r="A580" s="26"/>
      <c r="B580" s="15"/>
      <c r="C580" s="15"/>
      <c r="D580" s="27"/>
      <c r="E580" s="15"/>
      <c r="F580" s="28"/>
      <c r="G580" s="25" t="str">
        <f aca="true">IF(OR(D580="",E580=""),"",IFERROR(D580*INDEX(UnidadesFactor,MATCH(E580,Unidades,0)),""))</f>
        <v/>
      </c>
      <c r="H580" s="17" t="str">
        <f aca="false">IF(I580&lt;&gt;"OK","",IF(G580=0,"",F580/G580))</f>
        <v/>
      </c>
      <c r="I580" s="20" t="str">
        <f aca="true">IF(B580="","",IF(ISNA(MATCH(B580,ListaInsumos,0)),"Insumo no está en Insumos",IF(OR(D580="",E580="",F580=""),"Faltan datos",IF(INDEX(UnidadesBase,MATCH(E580,Unidades,0))&lt;&gt;INDEX(InsBase,MATCH(B580,ListaInsumos,0)),"Unidad incompatible",IF(A580="","Falta fecha","OK")))))</f>
        <v/>
      </c>
      <c r="J580" s="15"/>
    </row>
    <row r="581" customFormat="false" ht="15" hidden="false" customHeight="false" outlineLevel="0" collapsed="false">
      <c r="A581" s="26"/>
      <c r="B581" s="15"/>
      <c r="C581" s="15"/>
      <c r="D581" s="27"/>
      <c r="E581" s="15"/>
      <c r="F581" s="28"/>
      <c r="G581" s="25" t="str">
        <f aca="true">IF(OR(D581="",E581=""),"",IFERROR(D581*INDEX(UnidadesFactor,MATCH(E581,Unidades,0)),""))</f>
        <v/>
      </c>
      <c r="H581" s="17" t="str">
        <f aca="false">IF(I581&lt;&gt;"OK","",IF(G581=0,"",F581/G581))</f>
        <v/>
      </c>
      <c r="I581" s="20" t="str">
        <f aca="true">IF(B581="","",IF(ISNA(MATCH(B581,ListaInsumos,0)),"Insumo no está en Insumos",IF(OR(D581="",E581="",F581=""),"Faltan datos",IF(INDEX(UnidadesBase,MATCH(E581,Unidades,0))&lt;&gt;INDEX(InsBase,MATCH(B581,ListaInsumos,0)),"Unidad incompatible",IF(A581="","Falta fecha","OK")))))</f>
        <v/>
      </c>
      <c r="J581" s="15"/>
    </row>
    <row r="582" customFormat="false" ht="15" hidden="false" customHeight="false" outlineLevel="0" collapsed="false">
      <c r="A582" s="26"/>
      <c r="B582" s="15"/>
      <c r="C582" s="15"/>
      <c r="D582" s="27"/>
      <c r="E582" s="15"/>
      <c r="F582" s="28"/>
      <c r="G582" s="25" t="str">
        <f aca="true">IF(OR(D582="",E582=""),"",IFERROR(D582*INDEX(UnidadesFactor,MATCH(E582,Unidades,0)),""))</f>
        <v/>
      </c>
      <c r="H582" s="17" t="str">
        <f aca="false">IF(I582&lt;&gt;"OK","",IF(G582=0,"",F582/G582))</f>
        <v/>
      </c>
      <c r="I582" s="20" t="str">
        <f aca="true">IF(B582="","",IF(ISNA(MATCH(B582,ListaInsumos,0)),"Insumo no está en Insumos",IF(OR(D582="",E582="",F582=""),"Faltan datos",IF(INDEX(UnidadesBase,MATCH(E582,Unidades,0))&lt;&gt;INDEX(InsBase,MATCH(B582,ListaInsumos,0)),"Unidad incompatible",IF(A582="","Falta fecha","OK")))))</f>
        <v/>
      </c>
      <c r="J582" s="15"/>
    </row>
    <row r="583" customFormat="false" ht="15" hidden="false" customHeight="false" outlineLevel="0" collapsed="false">
      <c r="A583" s="26"/>
      <c r="B583" s="15"/>
      <c r="C583" s="15"/>
      <c r="D583" s="27"/>
      <c r="E583" s="15"/>
      <c r="F583" s="28"/>
      <c r="G583" s="25" t="str">
        <f aca="true">IF(OR(D583="",E583=""),"",IFERROR(D583*INDEX(UnidadesFactor,MATCH(E583,Unidades,0)),""))</f>
        <v/>
      </c>
      <c r="H583" s="17" t="str">
        <f aca="false">IF(I583&lt;&gt;"OK","",IF(G583=0,"",F583/G583))</f>
        <v/>
      </c>
      <c r="I583" s="20" t="str">
        <f aca="true">IF(B583="","",IF(ISNA(MATCH(B583,ListaInsumos,0)),"Insumo no está en Insumos",IF(OR(D583="",E583="",F583=""),"Faltan datos",IF(INDEX(UnidadesBase,MATCH(E583,Unidades,0))&lt;&gt;INDEX(InsBase,MATCH(B583,ListaInsumos,0)),"Unidad incompatible",IF(A583="","Falta fecha","OK")))))</f>
        <v/>
      </c>
      <c r="J583" s="15"/>
    </row>
    <row r="584" customFormat="false" ht="15" hidden="false" customHeight="false" outlineLevel="0" collapsed="false">
      <c r="A584" s="26"/>
      <c r="B584" s="15"/>
      <c r="C584" s="15"/>
      <c r="D584" s="27"/>
      <c r="E584" s="15"/>
      <c r="F584" s="28"/>
      <c r="G584" s="25" t="str">
        <f aca="true">IF(OR(D584="",E584=""),"",IFERROR(D584*INDEX(UnidadesFactor,MATCH(E584,Unidades,0)),""))</f>
        <v/>
      </c>
      <c r="H584" s="17" t="str">
        <f aca="false">IF(I584&lt;&gt;"OK","",IF(G584=0,"",F584/G584))</f>
        <v/>
      </c>
      <c r="I584" s="20" t="str">
        <f aca="true">IF(B584="","",IF(ISNA(MATCH(B584,ListaInsumos,0)),"Insumo no está en Insumos",IF(OR(D584="",E584="",F584=""),"Faltan datos",IF(INDEX(UnidadesBase,MATCH(E584,Unidades,0))&lt;&gt;INDEX(InsBase,MATCH(B584,ListaInsumos,0)),"Unidad incompatible",IF(A584="","Falta fecha","OK")))))</f>
        <v/>
      </c>
      <c r="J584" s="15"/>
    </row>
    <row r="585" customFormat="false" ht="15" hidden="false" customHeight="false" outlineLevel="0" collapsed="false">
      <c r="A585" s="26"/>
      <c r="B585" s="15"/>
      <c r="C585" s="15"/>
      <c r="D585" s="27"/>
      <c r="E585" s="15"/>
      <c r="F585" s="28"/>
      <c r="G585" s="25" t="str">
        <f aca="true">IF(OR(D585="",E585=""),"",IFERROR(D585*INDEX(UnidadesFactor,MATCH(E585,Unidades,0)),""))</f>
        <v/>
      </c>
      <c r="H585" s="17" t="str">
        <f aca="false">IF(I585&lt;&gt;"OK","",IF(G585=0,"",F585/G585))</f>
        <v/>
      </c>
      <c r="I585" s="20" t="str">
        <f aca="true">IF(B585="","",IF(ISNA(MATCH(B585,ListaInsumos,0)),"Insumo no está en Insumos",IF(OR(D585="",E585="",F585=""),"Faltan datos",IF(INDEX(UnidadesBase,MATCH(E585,Unidades,0))&lt;&gt;INDEX(InsBase,MATCH(B585,ListaInsumos,0)),"Unidad incompatible",IF(A585="","Falta fecha","OK")))))</f>
        <v/>
      </c>
      <c r="J585" s="15"/>
    </row>
    <row r="586" customFormat="false" ht="15" hidden="false" customHeight="false" outlineLevel="0" collapsed="false">
      <c r="A586" s="26"/>
      <c r="B586" s="15"/>
      <c r="C586" s="15"/>
      <c r="D586" s="27"/>
      <c r="E586" s="15"/>
      <c r="F586" s="28"/>
      <c r="G586" s="25" t="str">
        <f aca="true">IF(OR(D586="",E586=""),"",IFERROR(D586*INDEX(UnidadesFactor,MATCH(E586,Unidades,0)),""))</f>
        <v/>
      </c>
      <c r="H586" s="17" t="str">
        <f aca="false">IF(I586&lt;&gt;"OK","",IF(G586=0,"",F586/G586))</f>
        <v/>
      </c>
      <c r="I586" s="20" t="str">
        <f aca="true">IF(B586="","",IF(ISNA(MATCH(B586,ListaInsumos,0)),"Insumo no está en Insumos",IF(OR(D586="",E586="",F586=""),"Faltan datos",IF(INDEX(UnidadesBase,MATCH(E586,Unidades,0))&lt;&gt;INDEX(InsBase,MATCH(B586,ListaInsumos,0)),"Unidad incompatible",IF(A586="","Falta fecha","OK")))))</f>
        <v/>
      </c>
      <c r="J586" s="15"/>
    </row>
    <row r="587" customFormat="false" ht="15" hidden="false" customHeight="false" outlineLevel="0" collapsed="false">
      <c r="A587" s="26"/>
      <c r="B587" s="15"/>
      <c r="C587" s="15"/>
      <c r="D587" s="27"/>
      <c r="E587" s="15"/>
      <c r="F587" s="28"/>
      <c r="G587" s="25" t="str">
        <f aca="true">IF(OR(D587="",E587=""),"",IFERROR(D587*INDEX(UnidadesFactor,MATCH(E587,Unidades,0)),""))</f>
        <v/>
      </c>
      <c r="H587" s="17" t="str">
        <f aca="false">IF(I587&lt;&gt;"OK","",IF(G587=0,"",F587/G587))</f>
        <v/>
      </c>
      <c r="I587" s="20" t="str">
        <f aca="true">IF(B587="","",IF(ISNA(MATCH(B587,ListaInsumos,0)),"Insumo no está en Insumos",IF(OR(D587="",E587="",F587=""),"Faltan datos",IF(INDEX(UnidadesBase,MATCH(E587,Unidades,0))&lt;&gt;INDEX(InsBase,MATCH(B587,ListaInsumos,0)),"Unidad incompatible",IF(A587="","Falta fecha","OK")))))</f>
        <v/>
      </c>
      <c r="J587" s="15"/>
    </row>
    <row r="588" customFormat="false" ht="15" hidden="false" customHeight="false" outlineLevel="0" collapsed="false">
      <c r="A588" s="26"/>
      <c r="B588" s="15"/>
      <c r="C588" s="15"/>
      <c r="D588" s="27"/>
      <c r="E588" s="15"/>
      <c r="F588" s="28"/>
      <c r="G588" s="25" t="str">
        <f aca="true">IF(OR(D588="",E588=""),"",IFERROR(D588*INDEX(UnidadesFactor,MATCH(E588,Unidades,0)),""))</f>
        <v/>
      </c>
      <c r="H588" s="17" t="str">
        <f aca="false">IF(I588&lt;&gt;"OK","",IF(G588=0,"",F588/G588))</f>
        <v/>
      </c>
      <c r="I588" s="20" t="str">
        <f aca="true">IF(B588="","",IF(ISNA(MATCH(B588,ListaInsumos,0)),"Insumo no está en Insumos",IF(OR(D588="",E588="",F588=""),"Faltan datos",IF(INDEX(UnidadesBase,MATCH(E588,Unidades,0))&lt;&gt;INDEX(InsBase,MATCH(B588,ListaInsumos,0)),"Unidad incompatible",IF(A588="","Falta fecha","OK")))))</f>
        <v/>
      </c>
      <c r="J588" s="15"/>
    </row>
    <row r="589" customFormat="false" ht="15" hidden="false" customHeight="false" outlineLevel="0" collapsed="false">
      <c r="A589" s="26"/>
      <c r="B589" s="15"/>
      <c r="C589" s="15"/>
      <c r="D589" s="27"/>
      <c r="E589" s="15"/>
      <c r="F589" s="28"/>
      <c r="G589" s="25" t="str">
        <f aca="true">IF(OR(D589="",E589=""),"",IFERROR(D589*INDEX(UnidadesFactor,MATCH(E589,Unidades,0)),""))</f>
        <v/>
      </c>
      <c r="H589" s="17" t="str">
        <f aca="false">IF(I589&lt;&gt;"OK","",IF(G589=0,"",F589/G589))</f>
        <v/>
      </c>
      <c r="I589" s="20" t="str">
        <f aca="true">IF(B589="","",IF(ISNA(MATCH(B589,ListaInsumos,0)),"Insumo no está en Insumos",IF(OR(D589="",E589="",F589=""),"Faltan datos",IF(INDEX(UnidadesBase,MATCH(E589,Unidades,0))&lt;&gt;INDEX(InsBase,MATCH(B589,ListaInsumos,0)),"Unidad incompatible",IF(A589="","Falta fecha","OK")))))</f>
        <v/>
      </c>
      <c r="J589" s="15"/>
    </row>
    <row r="590" customFormat="false" ht="15" hidden="false" customHeight="false" outlineLevel="0" collapsed="false">
      <c r="A590" s="26"/>
      <c r="B590" s="15"/>
      <c r="C590" s="15"/>
      <c r="D590" s="27"/>
      <c r="E590" s="15"/>
      <c r="F590" s="28"/>
      <c r="G590" s="25" t="str">
        <f aca="true">IF(OR(D590="",E590=""),"",IFERROR(D590*INDEX(UnidadesFactor,MATCH(E590,Unidades,0)),""))</f>
        <v/>
      </c>
      <c r="H590" s="17" t="str">
        <f aca="false">IF(I590&lt;&gt;"OK","",IF(G590=0,"",F590/G590))</f>
        <v/>
      </c>
      <c r="I590" s="20" t="str">
        <f aca="true">IF(B590="","",IF(ISNA(MATCH(B590,ListaInsumos,0)),"Insumo no está en Insumos",IF(OR(D590="",E590="",F590=""),"Faltan datos",IF(INDEX(UnidadesBase,MATCH(E590,Unidades,0))&lt;&gt;INDEX(InsBase,MATCH(B590,ListaInsumos,0)),"Unidad incompatible",IF(A590="","Falta fecha","OK")))))</f>
        <v/>
      </c>
      <c r="J590" s="15"/>
    </row>
    <row r="591" customFormat="false" ht="15" hidden="false" customHeight="false" outlineLevel="0" collapsed="false">
      <c r="A591" s="26"/>
      <c r="B591" s="15"/>
      <c r="C591" s="15"/>
      <c r="D591" s="27"/>
      <c r="E591" s="15"/>
      <c r="F591" s="28"/>
      <c r="G591" s="25" t="str">
        <f aca="true">IF(OR(D591="",E591=""),"",IFERROR(D591*INDEX(UnidadesFactor,MATCH(E591,Unidades,0)),""))</f>
        <v/>
      </c>
      <c r="H591" s="17" t="str">
        <f aca="false">IF(I591&lt;&gt;"OK","",IF(G591=0,"",F591/G591))</f>
        <v/>
      </c>
      <c r="I591" s="20" t="str">
        <f aca="true">IF(B591="","",IF(ISNA(MATCH(B591,ListaInsumos,0)),"Insumo no está en Insumos",IF(OR(D591="",E591="",F591=""),"Faltan datos",IF(INDEX(UnidadesBase,MATCH(E591,Unidades,0))&lt;&gt;INDEX(InsBase,MATCH(B591,ListaInsumos,0)),"Unidad incompatible",IF(A591="","Falta fecha","OK")))))</f>
        <v/>
      </c>
      <c r="J591" s="15"/>
    </row>
    <row r="592" customFormat="false" ht="15" hidden="false" customHeight="false" outlineLevel="0" collapsed="false">
      <c r="A592" s="26"/>
      <c r="B592" s="15"/>
      <c r="C592" s="15"/>
      <c r="D592" s="27"/>
      <c r="E592" s="15"/>
      <c r="F592" s="28"/>
      <c r="G592" s="25" t="str">
        <f aca="true">IF(OR(D592="",E592=""),"",IFERROR(D592*INDEX(UnidadesFactor,MATCH(E592,Unidades,0)),""))</f>
        <v/>
      </c>
      <c r="H592" s="17" t="str">
        <f aca="false">IF(I592&lt;&gt;"OK","",IF(G592=0,"",F592/G592))</f>
        <v/>
      </c>
      <c r="I592" s="20" t="str">
        <f aca="true">IF(B592="","",IF(ISNA(MATCH(B592,ListaInsumos,0)),"Insumo no está en Insumos",IF(OR(D592="",E592="",F592=""),"Faltan datos",IF(INDEX(UnidadesBase,MATCH(E592,Unidades,0))&lt;&gt;INDEX(InsBase,MATCH(B592,ListaInsumos,0)),"Unidad incompatible",IF(A592="","Falta fecha","OK")))))</f>
        <v/>
      </c>
      <c r="J592" s="15"/>
    </row>
    <row r="593" customFormat="false" ht="15" hidden="false" customHeight="false" outlineLevel="0" collapsed="false">
      <c r="A593" s="26"/>
      <c r="B593" s="15"/>
      <c r="C593" s="15"/>
      <c r="D593" s="27"/>
      <c r="E593" s="15"/>
      <c r="F593" s="28"/>
      <c r="G593" s="25" t="str">
        <f aca="true">IF(OR(D593="",E593=""),"",IFERROR(D593*INDEX(UnidadesFactor,MATCH(E593,Unidades,0)),""))</f>
        <v/>
      </c>
      <c r="H593" s="17" t="str">
        <f aca="false">IF(I593&lt;&gt;"OK","",IF(G593=0,"",F593/G593))</f>
        <v/>
      </c>
      <c r="I593" s="20" t="str">
        <f aca="true">IF(B593="","",IF(ISNA(MATCH(B593,ListaInsumos,0)),"Insumo no está en Insumos",IF(OR(D593="",E593="",F593=""),"Faltan datos",IF(INDEX(UnidadesBase,MATCH(E593,Unidades,0))&lt;&gt;INDEX(InsBase,MATCH(B593,ListaInsumos,0)),"Unidad incompatible",IF(A593="","Falta fecha","OK")))))</f>
        <v/>
      </c>
      <c r="J593" s="15"/>
    </row>
    <row r="594" customFormat="false" ht="15" hidden="false" customHeight="false" outlineLevel="0" collapsed="false">
      <c r="A594" s="26"/>
      <c r="B594" s="15"/>
      <c r="C594" s="15"/>
      <c r="D594" s="27"/>
      <c r="E594" s="15"/>
      <c r="F594" s="28"/>
      <c r="G594" s="25" t="str">
        <f aca="true">IF(OR(D594="",E594=""),"",IFERROR(D594*INDEX(UnidadesFactor,MATCH(E594,Unidades,0)),""))</f>
        <v/>
      </c>
      <c r="H594" s="17" t="str">
        <f aca="false">IF(I594&lt;&gt;"OK","",IF(G594=0,"",F594/G594))</f>
        <v/>
      </c>
      <c r="I594" s="20" t="str">
        <f aca="true">IF(B594="","",IF(ISNA(MATCH(B594,ListaInsumos,0)),"Insumo no está en Insumos",IF(OR(D594="",E594="",F594=""),"Faltan datos",IF(INDEX(UnidadesBase,MATCH(E594,Unidades,0))&lt;&gt;INDEX(InsBase,MATCH(B594,ListaInsumos,0)),"Unidad incompatible",IF(A594="","Falta fecha","OK")))))</f>
        <v/>
      </c>
      <c r="J594" s="15"/>
    </row>
    <row r="595" customFormat="false" ht="15" hidden="false" customHeight="false" outlineLevel="0" collapsed="false">
      <c r="A595" s="26"/>
      <c r="B595" s="15"/>
      <c r="C595" s="15"/>
      <c r="D595" s="27"/>
      <c r="E595" s="15"/>
      <c r="F595" s="28"/>
      <c r="G595" s="25" t="str">
        <f aca="true">IF(OR(D595="",E595=""),"",IFERROR(D595*INDEX(UnidadesFactor,MATCH(E595,Unidades,0)),""))</f>
        <v/>
      </c>
      <c r="H595" s="17" t="str">
        <f aca="false">IF(I595&lt;&gt;"OK","",IF(G595=0,"",F595/G595))</f>
        <v/>
      </c>
      <c r="I595" s="20" t="str">
        <f aca="true">IF(B595="","",IF(ISNA(MATCH(B595,ListaInsumos,0)),"Insumo no está en Insumos",IF(OR(D595="",E595="",F595=""),"Faltan datos",IF(INDEX(UnidadesBase,MATCH(E595,Unidades,0))&lt;&gt;INDEX(InsBase,MATCH(B595,ListaInsumos,0)),"Unidad incompatible",IF(A595="","Falta fecha","OK")))))</f>
        <v/>
      </c>
      <c r="J595" s="15"/>
    </row>
    <row r="596" customFormat="false" ht="15" hidden="false" customHeight="false" outlineLevel="0" collapsed="false">
      <c r="A596" s="26"/>
      <c r="B596" s="15"/>
      <c r="C596" s="15"/>
      <c r="D596" s="27"/>
      <c r="E596" s="15"/>
      <c r="F596" s="28"/>
      <c r="G596" s="25" t="str">
        <f aca="true">IF(OR(D596="",E596=""),"",IFERROR(D596*INDEX(UnidadesFactor,MATCH(E596,Unidades,0)),""))</f>
        <v/>
      </c>
      <c r="H596" s="17" t="str">
        <f aca="false">IF(I596&lt;&gt;"OK","",IF(G596=0,"",F596/G596))</f>
        <v/>
      </c>
      <c r="I596" s="20" t="str">
        <f aca="true">IF(B596="","",IF(ISNA(MATCH(B596,ListaInsumos,0)),"Insumo no está en Insumos",IF(OR(D596="",E596="",F596=""),"Faltan datos",IF(INDEX(UnidadesBase,MATCH(E596,Unidades,0))&lt;&gt;INDEX(InsBase,MATCH(B596,ListaInsumos,0)),"Unidad incompatible",IF(A596="","Falta fecha","OK")))))</f>
        <v/>
      </c>
      <c r="J596" s="15"/>
    </row>
    <row r="597" customFormat="false" ht="15" hidden="false" customHeight="false" outlineLevel="0" collapsed="false">
      <c r="A597" s="26"/>
      <c r="B597" s="15"/>
      <c r="C597" s="15"/>
      <c r="D597" s="27"/>
      <c r="E597" s="15"/>
      <c r="F597" s="28"/>
      <c r="G597" s="25" t="str">
        <f aca="true">IF(OR(D597="",E597=""),"",IFERROR(D597*INDEX(UnidadesFactor,MATCH(E597,Unidades,0)),""))</f>
        <v/>
      </c>
      <c r="H597" s="17" t="str">
        <f aca="false">IF(I597&lt;&gt;"OK","",IF(G597=0,"",F597/G597))</f>
        <v/>
      </c>
      <c r="I597" s="20" t="str">
        <f aca="true">IF(B597="","",IF(ISNA(MATCH(B597,ListaInsumos,0)),"Insumo no está en Insumos",IF(OR(D597="",E597="",F597=""),"Faltan datos",IF(INDEX(UnidadesBase,MATCH(E597,Unidades,0))&lt;&gt;INDEX(InsBase,MATCH(B597,ListaInsumos,0)),"Unidad incompatible",IF(A597="","Falta fecha","OK")))))</f>
        <v/>
      </c>
      <c r="J597" s="15"/>
    </row>
    <row r="598" customFormat="false" ht="15" hidden="false" customHeight="false" outlineLevel="0" collapsed="false">
      <c r="A598" s="26"/>
      <c r="B598" s="15"/>
      <c r="C598" s="15"/>
      <c r="D598" s="27"/>
      <c r="E598" s="15"/>
      <c r="F598" s="28"/>
      <c r="G598" s="25" t="str">
        <f aca="true">IF(OR(D598="",E598=""),"",IFERROR(D598*INDEX(UnidadesFactor,MATCH(E598,Unidades,0)),""))</f>
        <v/>
      </c>
      <c r="H598" s="17" t="str">
        <f aca="false">IF(I598&lt;&gt;"OK","",IF(G598=0,"",F598/G598))</f>
        <v/>
      </c>
      <c r="I598" s="20" t="str">
        <f aca="true">IF(B598="","",IF(ISNA(MATCH(B598,ListaInsumos,0)),"Insumo no está en Insumos",IF(OR(D598="",E598="",F598=""),"Faltan datos",IF(INDEX(UnidadesBase,MATCH(E598,Unidades,0))&lt;&gt;INDEX(InsBase,MATCH(B598,ListaInsumos,0)),"Unidad incompatible",IF(A598="","Falta fecha","OK")))))</f>
        <v/>
      </c>
      <c r="J598" s="15"/>
    </row>
    <row r="599" customFormat="false" ht="15" hidden="false" customHeight="false" outlineLevel="0" collapsed="false">
      <c r="A599" s="26"/>
      <c r="B599" s="15"/>
      <c r="C599" s="15"/>
      <c r="D599" s="27"/>
      <c r="E599" s="15"/>
      <c r="F599" s="28"/>
      <c r="G599" s="25" t="str">
        <f aca="true">IF(OR(D599="",E599=""),"",IFERROR(D599*INDEX(UnidadesFactor,MATCH(E599,Unidades,0)),""))</f>
        <v/>
      </c>
      <c r="H599" s="17" t="str">
        <f aca="false">IF(I599&lt;&gt;"OK","",IF(G599=0,"",F599/G599))</f>
        <v/>
      </c>
      <c r="I599" s="20" t="str">
        <f aca="true">IF(B599="","",IF(ISNA(MATCH(B599,ListaInsumos,0)),"Insumo no está en Insumos",IF(OR(D599="",E599="",F599=""),"Faltan datos",IF(INDEX(UnidadesBase,MATCH(E599,Unidades,0))&lt;&gt;INDEX(InsBase,MATCH(B599,ListaInsumos,0)),"Unidad incompatible",IF(A599="","Falta fecha","OK")))))</f>
        <v/>
      </c>
      <c r="J599" s="15"/>
    </row>
    <row r="600" customFormat="false" ht="15" hidden="false" customHeight="false" outlineLevel="0" collapsed="false">
      <c r="A600" s="26"/>
      <c r="B600" s="15"/>
      <c r="C600" s="15"/>
      <c r="D600" s="27"/>
      <c r="E600" s="15"/>
      <c r="F600" s="28"/>
      <c r="G600" s="25" t="str">
        <f aca="true">IF(OR(D600="",E600=""),"",IFERROR(D600*INDEX(UnidadesFactor,MATCH(E600,Unidades,0)),""))</f>
        <v/>
      </c>
      <c r="H600" s="17" t="str">
        <f aca="false">IF(I600&lt;&gt;"OK","",IF(G600=0,"",F600/G600))</f>
        <v/>
      </c>
      <c r="I600" s="20" t="str">
        <f aca="true">IF(B600="","",IF(ISNA(MATCH(B600,ListaInsumos,0)),"Insumo no está en Insumos",IF(OR(D600="",E600="",F600=""),"Faltan datos",IF(INDEX(UnidadesBase,MATCH(E600,Unidades,0))&lt;&gt;INDEX(InsBase,MATCH(B600,ListaInsumos,0)),"Unidad incompatible",IF(A600="","Falta fecha","OK")))))</f>
        <v/>
      </c>
      <c r="J600" s="15"/>
    </row>
    <row r="601" customFormat="false" ht="15" hidden="false" customHeight="false" outlineLevel="0" collapsed="false">
      <c r="A601" s="26"/>
      <c r="B601" s="15"/>
      <c r="C601" s="15"/>
      <c r="D601" s="27"/>
      <c r="E601" s="15"/>
      <c r="F601" s="28"/>
      <c r="G601" s="25" t="str">
        <f aca="true">IF(OR(D601="",E601=""),"",IFERROR(D601*INDEX(UnidadesFactor,MATCH(E601,Unidades,0)),""))</f>
        <v/>
      </c>
      <c r="H601" s="17" t="str">
        <f aca="false">IF(I601&lt;&gt;"OK","",IF(G601=0,"",F601/G601))</f>
        <v/>
      </c>
      <c r="I601" s="20" t="str">
        <f aca="true">IF(B601="","",IF(ISNA(MATCH(B601,ListaInsumos,0)),"Insumo no está en Insumos",IF(OR(D601="",E601="",F601=""),"Faltan datos",IF(INDEX(UnidadesBase,MATCH(E601,Unidades,0))&lt;&gt;INDEX(InsBase,MATCH(B601,ListaInsumos,0)),"Unidad incompatible",IF(A601="","Falta fecha","OK")))))</f>
        <v/>
      </c>
      <c r="J601" s="15"/>
    </row>
    <row r="602" customFormat="false" ht="15" hidden="false" customHeight="false" outlineLevel="0" collapsed="false">
      <c r="A602" s="26"/>
      <c r="B602" s="15"/>
      <c r="C602" s="15"/>
      <c r="D602" s="27"/>
      <c r="E602" s="15"/>
      <c r="F602" s="28"/>
      <c r="G602" s="25" t="str">
        <f aca="true">IF(OR(D602="",E602=""),"",IFERROR(D602*INDEX(UnidadesFactor,MATCH(E602,Unidades,0)),""))</f>
        <v/>
      </c>
      <c r="H602" s="17" t="str">
        <f aca="false">IF(I602&lt;&gt;"OK","",IF(G602=0,"",F602/G602))</f>
        <v/>
      </c>
      <c r="I602" s="20" t="str">
        <f aca="true">IF(B602="","",IF(ISNA(MATCH(B602,ListaInsumos,0)),"Insumo no está en Insumos",IF(OR(D602="",E602="",F602=""),"Faltan datos",IF(INDEX(UnidadesBase,MATCH(E602,Unidades,0))&lt;&gt;INDEX(InsBase,MATCH(B602,ListaInsumos,0)),"Unidad incompatible",IF(A602="","Falta fecha","OK")))))</f>
        <v/>
      </c>
      <c r="J602" s="15"/>
    </row>
    <row r="603" customFormat="false" ht="15" hidden="false" customHeight="false" outlineLevel="0" collapsed="false">
      <c r="A603" s="26"/>
      <c r="B603" s="15"/>
      <c r="C603" s="15"/>
      <c r="D603" s="27"/>
      <c r="E603" s="15"/>
      <c r="F603" s="28"/>
      <c r="G603" s="25" t="str">
        <f aca="true">IF(OR(D603="",E603=""),"",IFERROR(D603*INDEX(UnidadesFactor,MATCH(E603,Unidades,0)),""))</f>
        <v/>
      </c>
      <c r="H603" s="17" t="str">
        <f aca="false">IF(I603&lt;&gt;"OK","",IF(G603=0,"",F603/G603))</f>
        <v/>
      </c>
      <c r="I603" s="20" t="str">
        <f aca="true">IF(B603="","",IF(ISNA(MATCH(B603,ListaInsumos,0)),"Insumo no está en Insumos",IF(OR(D603="",E603="",F603=""),"Faltan datos",IF(INDEX(UnidadesBase,MATCH(E603,Unidades,0))&lt;&gt;INDEX(InsBase,MATCH(B603,ListaInsumos,0)),"Unidad incompatible",IF(A603="","Falta fecha","OK")))))</f>
        <v/>
      </c>
      <c r="J603" s="15"/>
    </row>
    <row r="604" customFormat="false" ht="15" hidden="false" customHeight="false" outlineLevel="0" collapsed="false">
      <c r="A604" s="26"/>
      <c r="B604" s="15"/>
      <c r="C604" s="15"/>
      <c r="D604" s="27"/>
      <c r="E604" s="15"/>
      <c r="F604" s="28"/>
      <c r="G604" s="25" t="str">
        <f aca="true">IF(OR(D604="",E604=""),"",IFERROR(D604*INDEX(UnidadesFactor,MATCH(E604,Unidades,0)),""))</f>
        <v/>
      </c>
      <c r="H604" s="17" t="str">
        <f aca="false">IF(I604&lt;&gt;"OK","",IF(G604=0,"",F604/G604))</f>
        <v/>
      </c>
      <c r="I604" s="20" t="str">
        <f aca="true">IF(B604="","",IF(ISNA(MATCH(B604,ListaInsumos,0)),"Insumo no está en Insumos",IF(OR(D604="",E604="",F604=""),"Faltan datos",IF(INDEX(UnidadesBase,MATCH(E604,Unidades,0))&lt;&gt;INDEX(InsBase,MATCH(B604,ListaInsumos,0)),"Unidad incompatible",IF(A604="","Falta fecha","OK")))))</f>
        <v/>
      </c>
      <c r="J604" s="15"/>
    </row>
    <row r="605" customFormat="false" ht="15" hidden="false" customHeight="false" outlineLevel="0" collapsed="false">
      <c r="A605" s="26"/>
      <c r="B605" s="15"/>
      <c r="C605" s="15"/>
      <c r="D605" s="27"/>
      <c r="E605" s="15"/>
      <c r="F605" s="28"/>
      <c r="G605" s="25" t="str">
        <f aca="true">IF(OR(D605="",E605=""),"",IFERROR(D605*INDEX(UnidadesFactor,MATCH(E605,Unidades,0)),""))</f>
        <v/>
      </c>
      <c r="H605" s="17" t="str">
        <f aca="false">IF(I605&lt;&gt;"OK","",IF(G605=0,"",F605/G605))</f>
        <v/>
      </c>
      <c r="I605" s="20" t="str">
        <f aca="true">IF(B605="","",IF(ISNA(MATCH(B605,ListaInsumos,0)),"Insumo no está en Insumos",IF(OR(D605="",E605="",F605=""),"Faltan datos",IF(INDEX(UnidadesBase,MATCH(E605,Unidades,0))&lt;&gt;INDEX(InsBase,MATCH(B605,ListaInsumos,0)),"Unidad incompatible",IF(A605="","Falta fecha","OK")))))</f>
        <v/>
      </c>
      <c r="J605" s="15"/>
    </row>
    <row r="606" customFormat="false" ht="15" hidden="false" customHeight="false" outlineLevel="0" collapsed="false">
      <c r="A606" s="26"/>
      <c r="B606" s="15"/>
      <c r="C606" s="15"/>
      <c r="D606" s="27"/>
      <c r="E606" s="15"/>
      <c r="F606" s="28"/>
      <c r="G606" s="25" t="str">
        <f aca="true">IF(OR(D606="",E606=""),"",IFERROR(D606*INDEX(UnidadesFactor,MATCH(E606,Unidades,0)),""))</f>
        <v/>
      </c>
      <c r="H606" s="17" t="str">
        <f aca="false">IF(I606&lt;&gt;"OK","",IF(G606=0,"",F606/G606))</f>
        <v/>
      </c>
      <c r="I606" s="20" t="str">
        <f aca="true">IF(B606="","",IF(ISNA(MATCH(B606,ListaInsumos,0)),"Insumo no está en Insumos",IF(OR(D606="",E606="",F606=""),"Faltan datos",IF(INDEX(UnidadesBase,MATCH(E606,Unidades,0))&lt;&gt;INDEX(InsBase,MATCH(B606,ListaInsumos,0)),"Unidad incompatible",IF(A606="","Falta fecha","OK")))))</f>
        <v/>
      </c>
      <c r="J606" s="15"/>
    </row>
    <row r="607" customFormat="false" ht="15" hidden="false" customHeight="false" outlineLevel="0" collapsed="false">
      <c r="A607" s="26"/>
      <c r="B607" s="15"/>
      <c r="C607" s="15"/>
      <c r="D607" s="27"/>
      <c r="E607" s="15"/>
      <c r="F607" s="28"/>
      <c r="G607" s="25" t="str">
        <f aca="true">IF(OR(D607="",E607=""),"",IFERROR(D607*INDEX(UnidadesFactor,MATCH(E607,Unidades,0)),""))</f>
        <v/>
      </c>
      <c r="H607" s="17" t="str">
        <f aca="false">IF(I607&lt;&gt;"OK","",IF(G607=0,"",F607/G607))</f>
        <v/>
      </c>
      <c r="I607" s="20" t="str">
        <f aca="true">IF(B607="","",IF(ISNA(MATCH(B607,ListaInsumos,0)),"Insumo no está en Insumos",IF(OR(D607="",E607="",F607=""),"Faltan datos",IF(INDEX(UnidadesBase,MATCH(E607,Unidades,0))&lt;&gt;INDEX(InsBase,MATCH(B607,ListaInsumos,0)),"Unidad incompatible",IF(A607="","Falta fecha","OK")))))</f>
        <v/>
      </c>
      <c r="J607" s="15"/>
    </row>
    <row r="608" customFormat="false" ht="15" hidden="false" customHeight="false" outlineLevel="0" collapsed="false">
      <c r="A608" s="26"/>
      <c r="B608" s="15"/>
      <c r="C608" s="15"/>
      <c r="D608" s="27"/>
      <c r="E608" s="15"/>
      <c r="F608" s="28"/>
      <c r="G608" s="25" t="str">
        <f aca="true">IF(OR(D608="",E608=""),"",IFERROR(D608*INDEX(UnidadesFactor,MATCH(E608,Unidades,0)),""))</f>
        <v/>
      </c>
      <c r="H608" s="17" t="str">
        <f aca="false">IF(I608&lt;&gt;"OK","",IF(G608=0,"",F608/G608))</f>
        <v/>
      </c>
      <c r="I608" s="20" t="str">
        <f aca="true">IF(B608="","",IF(ISNA(MATCH(B608,ListaInsumos,0)),"Insumo no está en Insumos",IF(OR(D608="",E608="",F608=""),"Faltan datos",IF(INDEX(UnidadesBase,MATCH(E608,Unidades,0))&lt;&gt;INDEX(InsBase,MATCH(B608,ListaInsumos,0)),"Unidad incompatible",IF(A608="","Falta fecha","OK")))))</f>
        <v/>
      </c>
      <c r="J608" s="15"/>
    </row>
    <row r="609" customFormat="false" ht="15" hidden="false" customHeight="false" outlineLevel="0" collapsed="false">
      <c r="A609" s="26"/>
      <c r="B609" s="15"/>
      <c r="C609" s="15"/>
      <c r="D609" s="27"/>
      <c r="E609" s="15"/>
      <c r="F609" s="28"/>
      <c r="G609" s="25" t="str">
        <f aca="true">IF(OR(D609="",E609=""),"",IFERROR(D609*INDEX(UnidadesFactor,MATCH(E609,Unidades,0)),""))</f>
        <v/>
      </c>
      <c r="H609" s="17" t="str">
        <f aca="false">IF(I609&lt;&gt;"OK","",IF(G609=0,"",F609/G609))</f>
        <v/>
      </c>
      <c r="I609" s="20" t="str">
        <f aca="true">IF(B609="","",IF(ISNA(MATCH(B609,ListaInsumos,0)),"Insumo no está en Insumos",IF(OR(D609="",E609="",F609=""),"Faltan datos",IF(INDEX(UnidadesBase,MATCH(E609,Unidades,0))&lt;&gt;INDEX(InsBase,MATCH(B609,ListaInsumos,0)),"Unidad incompatible",IF(A609="","Falta fecha","OK")))))</f>
        <v/>
      </c>
      <c r="J609" s="15"/>
    </row>
    <row r="610" customFormat="false" ht="15" hidden="false" customHeight="false" outlineLevel="0" collapsed="false">
      <c r="A610" s="26"/>
      <c r="B610" s="15"/>
      <c r="C610" s="15"/>
      <c r="D610" s="27"/>
      <c r="E610" s="15"/>
      <c r="F610" s="28"/>
      <c r="G610" s="25" t="str">
        <f aca="true">IF(OR(D610="",E610=""),"",IFERROR(D610*INDEX(UnidadesFactor,MATCH(E610,Unidades,0)),""))</f>
        <v/>
      </c>
      <c r="H610" s="17" t="str">
        <f aca="false">IF(I610&lt;&gt;"OK","",IF(G610=0,"",F610/G610))</f>
        <v/>
      </c>
      <c r="I610" s="20" t="str">
        <f aca="true">IF(B610="","",IF(ISNA(MATCH(B610,ListaInsumos,0)),"Insumo no está en Insumos",IF(OR(D610="",E610="",F610=""),"Faltan datos",IF(INDEX(UnidadesBase,MATCH(E610,Unidades,0))&lt;&gt;INDEX(InsBase,MATCH(B610,ListaInsumos,0)),"Unidad incompatible",IF(A610="","Falta fecha","OK")))))</f>
        <v/>
      </c>
      <c r="J610" s="15"/>
    </row>
    <row r="611" customFormat="false" ht="15" hidden="false" customHeight="false" outlineLevel="0" collapsed="false">
      <c r="A611" s="26"/>
      <c r="B611" s="15"/>
      <c r="C611" s="15"/>
      <c r="D611" s="27"/>
      <c r="E611" s="15"/>
      <c r="F611" s="28"/>
      <c r="G611" s="25" t="str">
        <f aca="true">IF(OR(D611="",E611=""),"",IFERROR(D611*INDEX(UnidadesFactor,MATCH(E611,Unidades,0)),""))</f>
        <v/>
      </c>
      <c r="H611" s="17" t="str">
        <f aca="false">IF(I611&lt;&gt;"OK","",IF(G611=0,"",F611/G611))</f>
        <v/>
      </c>
      <c r="I611" s="20" t="str">
        <f aca="true">IF(B611="","",IF(ISNA(MATCH(B611,ListaInsumos,0)),"Insumo no está en Insumos",IF(OR(D611="",E611="",F611=""),"Faltan datos",IF(INDEX(UnidadesBase,MATCH(E611,Unidades,0))&lt;&gt;INDEX(InsBase,MATCH(B611,ListaInsumos,0)),"Unidad incompatible",IF(A611="","Falta fecha","OK")))))</f>
        <v/>
      </c>
      <c r="J611" s="15"/>
    </row>
    <row r="612" customFormat="false" ht="15" hidden="false" customHeight="false" outlineLevel="0" collapsed="false">
      <c r="A612" s="26"/>
      <c r="B612" s="15"/>
      <c r="C612" s="15"/>
      <c r="D612" s="27"/>
      <c r="E612" s="15"/>
      <c r="F612" s="28"/>
      <c r="G612" s="25" t="str">
        <f aca="true">IF(OR(D612="",E612=""),"",IFERROR(D612*INDEX(UnidadesFactor,MATCH(E612,Unidades,0)),""))</f>
        <v/>
      </c>
      <c r="H612" s="17" t="str">
        <f aca="false">IF(I612&lt;&gt;"OK","",IF(G612=0,"",F612/G612))</f>
        <v/>
      </c>
      <c r="I612" s="20" t="str">
        <f aca="true">IF(B612="","",IF(ISNA(MATCH(B612,ListaInsumos,0)),"Insumo no está en Insumos",IF(OR(D612="",E612="",F612=""),"Faltan datos",IF(INDEX(UnidadesBase,MATCH(E612,Unidades,0))&lt;&gt;INDEX(InsBase,MATCH(B612,ListaInsumos,0)),"Unidad incompatible",IF(A612="","Falta fecha","OK")))))</f>
        <v/>
      </c>
      <c r="J612" s="15"/>
    </row>
    <row r="613" customFormat="false" ht="15" hidden="false" customHeight="false" outlineLevel="0" collapsed="false">
      <c r="A613" s="26"/>
      <c r="B613" s="15"/>
      <c r="C613" s="15"/>
      <c r="D613" s="27"/>
      <c r="E613" s="15"/>
      <c r="F613" s="28"/>
      <c r="G613" s="25" t="str">
        <f aca="true">IF(OR(D613="",E613=""),"",IFERROR(D613*INDEX(UnidadesFactor,MATCH(E613,Unidades,0)),""))</f>
        <v/>
      </c>
      <c r="H613" s="17" t="str">
        <f aca="false">IF(I613&lt;&gt;"OK","",IF(G613=0,"",F613/G613))</f>
        <v/>
      </c>
      <c r="I613" s="20" t="str">
        <f aca="true">IF(B613="","",IF(ISNA(MATCH(B613,ListaInsumos,0)),"Insumo no está en Insumos",IF(OR(D613="",E613="",F613=""),"Faltan datos",IF(INDEX(UnidadesBase,MATCH(E613,Unidades,0))&lt;&gt;INDEX(InsBase,MATCH(B613,ListaInsumos,0)),"Unidad incompatible",IF(A613="","Falta fecha","OK")))))</f>
        <v/>
      </c>
      <c r="J613" s="15"/>
    </row>
    <row r="614" customFormat="false" ht="15" hidden="false" customHeight="false" outlineLevel="0" collapsed="false">
      <c r="A614" s="26"/>
      <c r="B614" s="15"/>
      <c r="C614" s="15"/>
      <c r="D614" s="27"/>
      <c r="E614" s="15"/>
      <c r="F614" s="28"/>
      <c r="G614" s="25" t="str">
        <f aca="true">IF(OR(D614="",E614=""),"",IFERROR(D614*INDEX(UnidadesFactor,MATCH(E614,Unidades,0)),""))</f>
        <v/>
      </c>
      <c r="H614" s="17" t="str">
        <f aca="false">IF(I614&lt;&gt;"OK","",IF(G614=0,"",F614/G614))</f>
        <v/>
      </c>
      <c r="I614" s="20" t="str">
        <f aca="true">IF(B614="","",IF(ISNA(MATCH(B614,ListaInsumos,0)),"Insumo no está en Insumos",IF(OR(D614="",E614="",F614=""),"Faltan datos",IF(INDEX(UnidadesBase,MATCH(E614,Unidades,0))&lt;&gt;INDEX(InsBase,MATCH(B614,ListaInsumos,0)),"Unidad incompatible",IF(A614="","Falta fecha","OK")))))</f>
        <v/>
      </c>
      <c r="J614" s="15"/>
    </row>
    <row r="615" customFormat="false" ht="15" hidden="false" customHeight="false" outlineLevel="0" collapsed="false">
      <c r="A615" s="26"/>
      <c r="B615" s="15"/>
      <c r="C615" s="15"/>
      <c r="D615" s="27"/>
      <c r="E615" s="15"/>
      <c r="F615" s="28"/>
      <c r="G615" s="25" t="str">
        <f aca="true">IF(OR(D615="",E615=""),"",IFERROR(D615*INDEX(UnidadesFactor,MATCH(E615,Unidades,0)),""))</f>
        <v/>
      </c>
      <c r="H615" s="17" t="str">
        <f aca="false">IF(I615&lt;&gt;"OK","",IF(G615=0,"",F615/G615))</f>
        <v/>
      </c>
      <c r="I615" s="20" t="str">
        <f aca="true">IF(B615="","",IF(ISNA(MATCH(B615,ListaInsumos,0)),"Insumo no está en Insumos",IF(OR(D615="",E615="",F615=""),"Faltan datos",IF(INDEX(UnidadesBase,MATCH(E615,Unidades,0))&lt;&gt;INDEX(InsBase,MATCH(B615,ListaInsumos,0)),"Unidad incompatible",IF(A615="","Falta fecha","OK")))))</f>
        <v/>
      </c>
      <c r="J615" s="15"/>
    </row>
    <row r="616" customFormat="false" ht="15" hidden="false" customHeight="false" outlineLevel="0" collapsed="false">
      <c r="A616" s="26"/>
      <c r="B616" s="15"/>
      <c r="C616" s="15"/>
      <c r="D616" s="27"/>
      <c r="E616" s="15"/>
      <c r="F616" s="28"/>
      <c r="G616" s="25" t="str">
        <f aca="true">IF(OR(D616="",E616=""),"",IFERROR(D616*INDEX(UnidadesFactor,MATCH(E616,Unidades,0)),""))</f>
        <v/>
      </c>
      <c r="H616" s="17" t="str">
        <f aca="false">IF(I616&lt;&gt;"OK","",IF(G616=0,"",F616/G616))</f>
        <v/>
      </c>
      <c r="I616" s="20" t="str">
        <f aca="true">IF(B616="","",IF(ISNA(MATCH(B616,ListaInsumos,0)),"Insumo no está en Insumos",IF(OR(D616="",E616="",F616=""),"Faltan datos",IF(INDEX(UnidadesBase,MATCH(E616,Unidades,0))&lt;&gt;INDEX(InsBase,MATCH(B616,ListaInsumos,0)),"Unidad incompatible",IF(A616="","Falta fecha","OK")))))</f>
        <v/>
      </c>
      <c r="J616" s="15"/>
    </row>
    <row r="617" customFormat="false" ht="15" hidden="false" customHeight="false" outlineLevel="0" collapsed="false">
      <c r="A617" s="26"/>
      <c r="B617" s="15"/>
      <c r="C617" s="15"/>
      <c r="D617" s="27"/>
      <c r="E617" s="15"/>
      <c r="F617" s="28"/>
      <c r="G617" s="25" t="str">
        <f aca="true">IF(OR(D617="",E617=""),"",IFERROR(D617*INDEX(UnidadesFactor,MATCH(E617,Unidades,0)),""))</f>
        <v/>
      </c>
      <c r="H617" s="17" t="str">
        <f aca="false">IF(I617&lt;&gt;"OK","",IF(G617=0,"",F617/G617))</f>
        <v/>
      </c>
      <c r="I617" s="20" t="str">
        <f aca="true">IF(B617="","",IF(ISNA(MATCH(B617,ListaInsumos,0)),"Insumo no está en Insumos",IF(OR(D617="",E617="",F617=""),"Faltan datos",IF(INDEX(UnidadesBase,MATCH(E617,Unidades,0))&lt;&gt;INDEX(InsBase,MATCH(B617,ListaInsumos,0)),"Unidad incompatible",IF(A617="","Falta fecha","OK")))))</f>
        <v/>
      </c>
      <c r="J617" s="15"/>
    </row>
    <row r="618" customFormat="false" ht="15" hidden="false" customHeight="false" outlineLevel="0" collapsed="false">
      <c r="A618" s="26"/>
      <c r="B618" s="15"/>
      <c r="C618" s="15"/>
      <c r="D618" s="27"/>
      <c r="E618" s="15"/>
      <c r="F618" s="28"/>
      <c r="G618" s="25" t="str">
        <f aca="true">IF(OR(D618="",E618=""),"",IFERROR(D618*INDEX(UnidadesFactor,MATCH(E618,Unidades,0)),""))</f>
        <v/>
      </c>
      <c r="H618" s="17" t="str">
        <f aca="false">IF(I618&lt;&gt;"OK","",IF(G618=0,"",F618/G618))</f>
        <v/>
      </c>
      <c r="I618" s="20" t="str">
        <f aca="true">IF(B618="","",IF(ISNA(MATCH(B618,ListaInsumos,0)),"Insumo no está en Insumos",IF(OR(D618="",E618="",F618=""),"Faltan datos",IF(INDEX(UnidadesBase,MATCH(E618,Unidades,0))&lt;&gt;INDEX(InsBase,MATCH(B618,ListaInsumos,0)),"Unidad incompatible",IF(A618="","Falta fecha","OK")))))</f>
        <v/>
      </c>
      <c r="J618" s="15"/>
    </row>
    <row r="619" customFormat="false" ht="15" hidden="false" customHeight="false" outlineLevel="0" collapsed="false">
      <c r="A619" s="26"/>
      <c r="B619" s="15"/>
      <c r="C619" s="15"/>
      <c r="D619" s="27"/>
      <c r="E619" s="15"/>
      <c r="F619" s="28"/>
      <c r="G619" s="25" t="str">
        <f aca="true">IF(OR(D619="",E619=""),"",IFERROR(D619*INDEX(UnidadesFactor,MATCH(E619,Unidades,0)),""))</f>
        <v/>
      </c>
      <c r="H619" s="17" t="str">
        <f aca="false">IF(I619&lt;&gt;"OK","",IF(G619=0,"",F619/G619))</f>
        <v/>
      </c>
      <c r="I619" s="20" t="str">
        <f aca="true">IF(B619="","",IF(ISNA(MATCH(B619,ListaInsumos,0)),"Insumo no está en Insumos",IF(OR(D619="",E619="",F619=""),"Faltan datos",IF(INDEX(UnidadesBase,MATCH(E619,Unidades,0))&lt;&gt;INDEX(InsBase,MATCH(B619,ListaInsumos,0)),"Unidad incompatible",IF(A619="","Falta fecha","OK")))))</f>
        <v/>
      </c>
      <c r="J619" s="15"/>
    </row>
    <row r="620" customFormat="false" ht="15" hidden="false" customHeight="false" outlineLevel="0" collapsed="false">
      <c r="A620" s="26"/>
      <c r="B620" s="15"/>
      <c r="C620" s="15"/>
      <c r="D620" s="27"/>
      <c r="E620" s="15"/>
      <c r="F620" s="28"/>
      <c r="G620" s="25" t="str">
        <f aca="true">IF(OR(D620="",E620=""),"",IFERROR(D620*INDEX(UnidadesFactor,MATCH(E620,Unidades,0)),""))</f>
        <v/>
      </c>
      <c r="H620" s="17" t="str">
        <f aca="false">IF(I620&lt;&gt;"OK","",IF(G620=0,"",F620/G620))</f>
        <v/>
      </c>
      <c r="I620" s="20" t="str">
        <f aca="true">IF(B620="","",IF(ISNA(MATCH(B620,ListaInsumos,0)),"Insumo no está en Insumos",IF(OR(D620="",E620="",F620=""),"Faltan datos",IF(INDEX(UnidadesBase,MATCH(E620,Unidades,0))&lt;&gt;INDEX(InsBase,MATCH(B620,ListaInsumos,0)),"Unidad incompatible",IF(A620="","Falta fecha","OK")))))</f>
        <v/>
      </c>
      <c r="J620" s="15"/>
    </row>
    <row r="621" customFormat="false" ht="15" hidden="false" customHeight="false" outlineLevel="0" collapsed="false">
      <c r="A621" s="26"/>
      <c r="B621" s="15"/>
      <c r="C621" s="15"/>
      <c r="D621" s="27"/>
      <c r="E621" s="15"/>
      <c r="F621" s="28"/>
      <c r="G621" s="25" t="str">
        <f aca="true">IF(OR(D621="",E621=""),"",IFERROR(D621*INDEX(UnidadesFactor,MATCH(E621,Unidades,0)),""))</f>
        <v/>
      </c>
      <c r="H621" s="17" t="str">
        <f aca="false">IF(I621&lt;&gt;"OK","",IF(G621=0,"",F621/G621))</f>
        <v/>
      </c>
      <c r="I621" s="20" t="str">
        <f aca="true">IF(B621="","",IF(ISNA(MATCH(B621,ListaInsumos,0)),"Insumo no está en Insumos",IF(OR(D621="",E621="",F621=""),"Faltan datos",IF(INDEX(UnidadesBase,MATCH(E621,Unidades,0))&lt;&gt;INDEX(InsBase,MATCH(B621,ListaInsumos,0)),"Unidad incompatible",IF(A621="","Falta fecha","OK")))))</f>
        <v/>
      </c>
      <c r="J621" s="15"/>
    </row>
    <row r="622" customFormat="false" ht="15" hidden="false" customHeight="false" outlineLevel="0" collapsed="false">
      <c r="A622" s="26"/>
      <c r="B622" s="15"/>
      <c r="C622" s="15"/>
      <c r="D622" s="27"/>
      <c r="E622" s="15"/>
      <c r="F622" s="28"/>
      <c r="G622" s="25" t="str">
        <f aca="true">IF(OR(D622="",E622=""),"",IFERROR(D622*INDEX(UnidadesFactor,MATCH(E622,Unidades,0)),""))</f>
        <v/>
      </c>
      <c r="H622" s="17" t="str">
        <f aca="false">IF(I622&lt;&gt;"OK","",IF(G622=0,"",F622/G622))</f>
        <v/>
      </c>
      <c r="I622" s="20" t="str">
        <f aca="true">IF(B622="","",IF(ISNA(MATCH(B622,ListaInsumos,0)),"Insumo no está en Insumos",IF(OR(D622="",E622="",F622=""),"Faltan datos",IF(INDEX(UnidadesBase,MATCH(E622,Unidades,0))&lt;&gt;INDEX(InsBase,MATCH(B622,ListaInsumos,0)),"Unidad incompatible",IF(A622="","Falta fecha","OK")))))</f>
        <v/>
      </c>
      <c r="J622" s="15"/>
    </row>
    <row r="623" customFormat="false" ht="15" hidden="false" customHeight="false" outlineLevel="0" collapsed="false">
      <c r="A623" s="26"/>
      <c r="B623" s="15"/>
      <c r="C623" s="15"/>
      <c r="D623" s="27"/>
      <c r="E623" s="15"/>
      <c r="F623" s="28"/>
      <c r="G623" s="25" t="str">
        <f aca="true">IF(OR(D623="",E623=""),"",IFERROR(D623*INDEX(UnidadesFactor,MATCH(E623,Unidades,0)),""))</f>
        <v/>
      </c>
      <c r="H623" s="17" t="str">
        <f aca="false">IF(I623&lt;&gt;"OK","",IF(G623=0,"",F623/G623))</f>
        <v/>
      </c>
      <c r="I623" s="20" t="str">
        <f aca="true">IF(B623="","",IF(ISNA(MATCH(B623,ListaInsumos,0)),"Insumo no está en Insumos",IF(OR(D623="",E623="",F623=""),"Faltan datos",IF(INDEX(UnidadesBase,MATCH(E623,Unidades,0))&lt;&gt;INDEX(InsBase,MATCH(B623,ListaInsumos,0)),"Unidad incompatible",IF(A623="","Falta fecha","OK")))))</f>
        <v/>
      </c>
      <c r="J623" s="15"/>
    </row>
    <row r="624" customFormat="false" ht="15" hidden="false" customHeight="false" outlineLevel="0" collapsed="false">
      <c r="A624" s="26"/>
      <c r="B624" s="15"/>
      <c r="C624" s="15"/>
      <c r="D624" s="27"/>
      <c r="E624" s="15"/>
      <c r="F624" s="28"/>
      <c r="G624" s="25" t="str">
        <f aca="true">IF(OR(D624="",E624=""),"",IFERROR(D624*INDEX(UnidadesFactor,MATCH(E624,Unidades,0)),""))</f>
        <v/>
      </c>
      <c r="H624" s="17" t="str">
        <f aca="false">IF(I624&lt;&gt;"OK","",IF(G624=0,"",F624/G624))</f>
        <v/>
      </c>
      <c r="I624" s="20" t="str">
        <f aca="true">IF(B624="","",IF(ISNA(MATCH(B624,ListaInsumos,0)),"Insumo no está en Insumos",IF(OR(D624="",E624="",F624=""),"Faltan datos",IF(INDEX(UnidadesBase,MATCH(E624,Unidades,0))&lt;&gt;INDEX(InsBase,MATCH(B624,ListaInsumos,0)),"Unidad incompatible",IF(A624="","Falta fecha","OK")))))</f>
        <v/>
      </c>
      <c r="J624" s="15"/>
    </row>
    <row r="625" customFormat="false" ht="15" hidden="false" customHeight="false" outlineLevel="0" collapsed="false">
      <c r="A625" s="26"/>
      <c r="B625" s="15"/>
      <c r="C625" s="15"/>
      <c r="D625" s="27"/>
      <c r="E625" s="15"/>
      <c r="F625" s="28"/>
      <c r="G625" s="25" t="str">
        <f aca="true">IF(OR(D625="",E625=""),"",IFERROR(D625*INDEX(UnidadesFactor,MATCH(E625,Unidades,0)),""))</f>
        <v/>
      </c>
      <c r="H625" s="17" t="str">
        <f aca="false">IF(I625&lt;&gt;"OK","",IF(G625=0,"",F625/G625))</f>
        <v/>
      </c>
      <c r="I625" s="20" t="str">
        <f aca="true">IF(B625="","",IF(ISNA(MATCH(B625,ListaInsumos,0)),"Insumo no está en Insumos",IF(OR(D625="",E625="",F625=""),"Faltan datos",IF(INDEX(UnidadesBase,MATCH(E625,Unidades,0))&lt;&gt;INDEX(InsBase,MATCH(B625,ListaInsumos,0)),"Unidad incompatible",IF(A625="","Falta fecha","OK")))))</f>
        <v/>
      </c>
      <c r="J625" s="15"/>
    </row>
    <row r="626" customFormat="false" ht="15" hidden="false" customHeight="false" outlineLevel="0" collapsed="false">
      <c r="A626" s="26"/>
      <c r="B626" s="15"/>
      <c r="C626" s="15"/>
      <c r="D626" s="27"/>
      <c r="E626" s="15"/>
      <c r="F626" s="28"/>
      <c r="G626" s="25" t="str">
        <f aca="true">IF(OR(D626="",E626=""),"",IFERROR(D626*INDEX(UnidadesFactor,MATCH(E626,Unidades,0)),""))</f>
        <v/>
      </c>
      <c r="H626" s="17" t="str">
        <f aca="false">IF(I626&lt;&gt;"OK","",IF(G626=0,"",F626/G626))</f>
        <v/>
      </c>
      <c r="I626" s="20" t="str">
        <f aca="true">IF(B626="","",IF(ISNA(MATCH(B626,ListaInsumos,0)),"Insumo no está en Insumos",IF(OR(D626="",E626="",F626=""),"Faltan datos",IF(INDEX(UnidadesBase,MATCH(E626,Unidades,0))&lt;&gt;INDEX(InsBase,MATCH(B626,ListaInsumos,0)),"Unidad incompatible",IF(A626="","Falta fecha","OK")))))</f>
        <v/>
      </c>
      <c r="J626" s="15"/>
    </row>
    <row r="627" customFormat="false" ht="15" hidden="false" customHeight="false" outlineLevel="0" collapsed="false">
      <c r="A627" s="26"/>
      <c r="B627" s="15"/>
      <c r="C627" s="15"/>
      <c r="D627" s="27"/>
      <c r="E627" s="15"/>
      <c r="F627" s="28"/>
      <c r="G627" s="25" t="str">
        <f aca="true">IF(OR(D627="",E627=""),"",IFERROR(D627*INDEX(UnidadesFactor,MATCH(E627,Unidades,0)),""))</f>
        <v/>
      </c>
      <c r="H627" s="17" t="str">
        <f aca="false">IF(I627&lt;&gt;"OK","",IF(G627=0,"",F627/G627))</f>
        <v/>
      </c>
      <c r="I627" s="20" t="str">
        <f aca="true">IF(B627="","",IF(ISNA(MATCH(B627,ListaInsumos,0)),"Insumo no está en Insumos",IF(OR(D627="",E627="",F627=""),"Faltan datos",IF(INDEX(UnidadesBase,MATCH(E627,Unidades,0))&lt;&gt;INDEX(InsBase,MATCH(B627,ListaInsumos,0)),"Unidad incompatible",IF(A627="","Falta fecha","OK")))))</f>
        <v/>
      </c>
      <c r="J627" s="15"/>
    </row>
    <row r="628" customFormat="false" ht="15" hidden="false" customHeight="false" outlineLevel="0" collapsed="false">
      <c r="A628" s="26"/>
      <c r="B628" s="15"/>
      <c r="C628" s="15"/>
      <c r="D628" s="27"/>
      <c r="E628" s="15"/>
      <c r="F628" s="28"/>
      <c r="G628" s="25" t="str">
        <f aca="true">IF(OR(D628="",E628=""),"",IFERROR(D628*INDEX(UnidadesFactor,MATCH(E628,Unidades,0)),""))</f>
        <v/>
      </c>
      <c r="H628" s="17" t="str">
        <f aca="false">IF(I628&lt;&gt;"OK","",IF(G628=0,"",F628/G628))</f>
        <v/>
      </c>
      <c r="I628" s="20" t="str">
        <f aca="true">IF(B628="","",IF(ISNA(MATCH(B628,ListaInsumos,0)),"Insumo no está en Insumos",IF(OR(D628="",E628="",F628=""),"Faltan datos",IF(INDEX(UnidadesBase,MATCH(E628,Unidades,0))&lt;&gt;INDEX(InsBase,MATCH(B628,ListaInsumos,0)),"Unidad incompatible",IF(A628="","Falta fecha","OK")))))</f>
        <v/>
      </c>
      <c r="J628" s="15"/>
    </row>
    <row r="629" customFormat="false" ht="15" hidden="false" customHeight="false" outlineLevel="0" collapsed="false">
      <c r="A629" s="26"/>
      <c r="B629" s="15"/>
      <c r="C629" s="15"/>
      <c r="D629" s="27"/>
      <c r="E629" s="15"/>
      <c r="F629" s="28"/>
      <c r="G629" s="25" t="str">
        <f aca="true">IF(OR(D629="",E629=""),"",IFERROR(D629*INDEX(UnidadesFactor,MATCH(E629,Unidades,0)),""))</f>
        <v/>
      </c>
      <c r="H629" s="17" t="str">
        <f aca="false">IF(I629&lt;&gt;"OK","",IF(G629=0,"",F629/G629))</f>
        <v/>
      </c>
      <c r="I629" s="20" t="str">
        <f aca="true">IF(B629="","",IF(ISNA(MATCH(B629,ListaInsumos,0)),"Insumo no está en Insumos",IF(OR(D629="",E629="",F629=""),"Faltan datos",IF(INDEX(UnidadesBase,MATCH(E629,Unidades,0))&lt;&gt;INDEX(InsBase,MATCH(B629,ListaInsumos,0)),"Unidad incompatible",IF(A629="","Falta fecha","OK")))))</f>
        <v/>
      </c>
      <c r="J629" s="15"/>
    </row>
    <row r="630" customFormat="false" ht="15" hidden="false" customHeight="false" outlineLevel="0" collapsed="false">
      <c r="A630" s="26"/>
      <c r="B630" s="15"/>
      <c r="C630" s="15"/>
      <c r="D630" s="27"/>
      <c r="E630" s="15"/>
      <c r="F630" s="28"/>
      <c r="G630" s="25" t="str">
        <f aca="true">IF(OR(D630="",E630=""),"",IFERROR(D630*INDEX(UnidadesFactor,MATCH(E630,Unidades,0)),""))</f>
        <v/>
      </c>
      <c r="H630" s="17" t="str">
        <f aca="false">IF(I630&lt;&gt;"OK","",IF(G630=0,"",F630/G630))</f>
        <v/>
      </c>
      <c r="I630" s="20" t="str">
        <f aca="true">IF(B630="","",IF(ISNA(MATCH(B630,ListaInsumos,0)),"Insumo no está en Insumos",IF(OR(D630="",E630="",F630=""),"Faltan datos",IF(INDEX(UnidadesBase,MATCH(E630,Unidades,0))&lt;&gt;INDEX(InsBase,MATCH(B630,ListaInsumos,0)),"Unidad incompatible",IF(A630="","Falta fecha","OK")))))</f>
        <v/>
      </c>
      <c r="J630" s="15"/>
    </row>
    <row r="631" customFormat="false" ht="15" hidden="false" customHeight="false" outlineLevel="0" collapsed="false">
      <c r="A631" s="26"/>
      <c r="B631" s="15"/>
      <c r="C631" s="15"/>
      <c r="D631" s="27"/>
      <c r="E631" s="15"/>
      <c r="F631" s="28"/>
      <c r="G631" s="25" t="str">
        <f aca="true">IF(OR(D631="",E631=""),"",IFERROR(D631*INDEX(UnidadesFactor,MATCH(E631,Unidades,0)),""))</f>
        <v/>
      </c>
      <c r="H631" s="17" t="str">
        <f aca="false">IF(I631&lt;&gt;"OK","",IF(G631=0,"",F631/G631))</f>
        <v/>
      </c>
      <c r="I631" s="20" t="str">
        <f aca="true">IF(B631="","",IF(ISNA(MATCH(B631,ListaInsumos,0)),"Insumo no está en Insumos",IF(OR(D631="",E631="",F631=""),"Faltan datos",IF(INDEX(UnidadesBase,MATCH(E631,Unidades,0))&lt;&gt;INDEX(InsBase,MATCH(B631,ListaInsumos,0)),"Unidad incompatible",IF(A631="","Falta fecha","OK")))))</f>
        <v/>
      </c>
      <c r="J631" s="15"/>
    </row>
    <row r="632" customFormat="false" ht="15" hidden="false" customHeight="false" outlineLevel="0" collapsed="false">
      <c r="A632" s="26"/>
      <c r="B632" s="15"/>
      <c r="C632" s="15"/>
      <c r="D632" s="27"/>
      <c r="E632" s="15"/>
      <c r="F632" s="28"/>
      <c r="G632" s="25" t="str">
        <f aca="true">IF(OR(D632="",E632=""),"",IFERROR(D632*INDEX(UnidadesFactor,MATCH(E632,Unidades,0)),""))</f>
        <v/>
      </c>
      <c r="H632" s="17" t="str">
        <f aca="false">IF(I632&lt;&gt;"OK","",IF(G632=0,"",F632/G632))</f>
        <v/>
      </c>
      <c r="I632" s="20" t="str">
        <f aca="true">IF(B632="","",IF(ISNA(MATCH(B632,ListaInsumos,0)),"Insumo no está en Insumos",IF(OR(D632="",E632="",F632=""),"Faltan datos",IF(INDEX(UnidadesBase,MATCH(E632,Unidades,0))&lt;&gt;INDEX(InsBase,MATCH(B632,ListaInsumos,0)),"Unidad incompatible",IF(A632="","Falta fecha","OK")))))</f>
        <v/>
      </c>
      <c r="J632" s="15"/>
    </row>
    <row r="633" customFormat="false" ht="15" hidden="false" customHeight="false" outlineLevel="0" collapsed="false">
      <c r="A633" s="26"/>
      <c r="B633" s="15"/>
      <c r="C633" s="15"/>
      <c r="D633" s="27"/>
      <c r="E633" s="15"/>
      <c r="F633" s="28"/>
      <c r="G633" s="25" t="str">
        <f aca="true">IF(OR(D633="",E633=""),"",IFERROR(D633*INDEX(UnidadesFactor,MATCH(E633,Unidades,0)),""))</f>
        <v/>
      </c>
      <c r="H633" s="17" t="str">
        <f aca="false">IF(I633&lt;&gt;"OK","",IF(G633=0,"",F633/G633))</f>
        <v/>
      </c>
      <c r="I633" s="20" t="str">
        <f aca="true">IF(B633="","",IF(ISNA(MATCH(B633,ListaInsumos,0)),"Insumo no está en Insumos",IF(OR(D633="",E633="",F633=""),"Faltan datos",IF(INDEX(UnidadesBase,MATCH(E633,Unidades,0))&lt;&gt;INDEX(InsBase,MATCH(B633,ListaInsumos,0)),"Unidad incompatible",IF(A633="","Falta fecha","OK")))))</f>
        <v/>
      </c>
      <c r="J633" s="15"/>
    </row>
    <row r="634" customFormat="false" ht="15" hidden="false" customHeight="false" outlineLevel="0" collapsed="false">
      <c r="A634" s="26"/>
      <c r="B634" s="15"/>
      <c r="C634" s="15"/>
      <c r="D634" s="27"/>
      <c r="E634" s="15"/>
      <c r="F634" s="28"/>
      <c r="G634" s="25" t="str">
        <f aca="true">IF(OR(D634="",E634=""),"",IFERROR(D634*INDEX(UnidadesFactor,MATCH(E634,Unidades,0)),""))</f>
        <v/>
      </c>
      <c r="H634" s="17" t="str">
        <f aca="false">IF(I634&lt;&gt;"OK","",IF(G634=0,"",F634/G634))</f>
        <v/>
      </c>
      <c r="I634" s="20" t="str">
        <f aca="true">IF(B634="","",IF(ISNA(MATCH(B634,ListaInsumos,0)),"Insumo no está en Insumos",IF(OR(D634="",E634="",F634=""),"Faltan datos",IF(INDEX(UnidadesBase,MATCH(E634,Unidades,0))&lt;&gt;INDEX(InsBase,MATCH(B634,ListaInsumos,0)),"Unidad incompatible",IF(A634="","Falta fecha","OK")))))</f>
        <v/>
      </c>
      <c r="J634" s="15"/>
    </row>
    <row r="635" customFormat="false" ht="15" hidden="false" customHeight="false" outlineLevel="0" collapsed="false">
      <c r="A635" s="26"/>
      <c r="B635" s="15"/>
      <c r="C635" s="15"/>
      <c r="D635" s="27"/>
      <c r="E635" s="15"/>
      <c r="F635" s="28"/>
      <c r="G635" s="25" t="str">
        <f aca="true">IF(OR(D635="",E635=""),"",IFERROR(D635*INDEX(UnidadesFactor,MATCH(E635,Unidades,0)),""))</f>
        <v/>
      </c>
      <c r="H635" s="17" t="str">
        <f aca="false">IF(I635&lt;&gt;"OK","",IF(G635=0,"",F635/G635))</f>
        <v/>
      </c>
      <c r="I635" s="20" t="str">
        <f aca="true">IF(B635="","",IF(ISNA(MATCH(B635,ListaInsumos,0)),"Insumo no está en Insumos",IF(OR(D635="",E635="",F635=""),"Faltan datos",IF(INDEX(UnidadesBase,MATCH(E635,Unidades,0))&lt;&gt;INDEX(InsBase,MATCH(B635,ListaInsumos,0)),"Unidad incompatible",IF(A635="","Falta fecha","OK")))))</f>
        <v/>
      </c>
      <c r="J635" s="15"/>
    </row>
    <row r="636" customFormat="false" ht="15" hidden="false" customHeight="false" outlineLevel="0" collapsed="false">
      <c r="A636" s="26"/>
      <c r="B636" s="15"/>
      <c r="C636" s="15"/>
      <c r="D636" s="27"/>
      <c r="E636" s="15"/>
      <c r="F636" s="28"/>
      <c r="G636" s="25" t="str">
        <f aca="true">IF(OR(D636="",E636=""),"",IFERROR(D636*INDEX(UnidadesFactor,MATCH(E636,Unidades,0)),""))</f>
        <v/>
      </c>
      <c r="H636" s="17" t="str">
        <f aca="false">IF(I636&lt;&gt;"OK","",IF(G636=0,"",F636/G636))</f>
        <v/>
      </c>
      <c r="I636" s="20" t="str">
        <f aca="true">IF(B636="","",IF(ISNA(MATCH(B636,ListaInsumos,0)),"Insumo no está en Insumos",IF(OR(D636="",E636="",F636=""),"Faltan datos",IF(INDEX(UnidadesBase,MATCH(E636,Unidades,0))&lt;&gt;INDEX(InsBase,MATCH(B636,ListaInsumos,0)),"Unidad incompatible",IF(A636="","Falta fecha","OK")))))</f>
        <v/>
      </c>
      <c r="J636" s="15"/>
    </row>
    <row r="637" customFormat="false" ht="15" hidden="false" customHeight="false" outlineLevel="0" collapsed="false">
      <c r="A637" s="26"/>
      <c r="B637" s="15"/>
      <c r="C637" s="15"/>
      <c r="D637" s="27"/>
      <c r="E637" s="15"/>
      <c r="F637" s="28"/>
      <c r="G637" s="25" t="str">
        <f aca="true">IF(OR(D637="",E637=""),"",IFERROR(D637*INDEX(UnidadesFactor,MATCH(E637,Unidades,0)),""))</f>
        <v/>
      </c>
      <c r="H637" s="17" t="str">
        <f aca="false">IF(I637&lt;&gt;"OK","",IF(G637=0,"",F637/G637))</f>
        <v/>
      </c>
      <c r="I637" s="20" t="str">
        <f aca="true">IF(B637="","",IF(ISNA(MATCH(B637,ListaInsumos,0)),"Insumo no está en Insumos",IF(OR(D637="",E637="",F637=""),"Faltan datos",IF(INDEX(UnidadesBase,MATCH(E637,Unidades,0))&lt;&gt;INDEX(InsBase,MATCH(B637,ListaInsumos,0)),"Unidad incompatible",IF(A637="","Falta fecha","OK")))))</f>
        <v/>
      </c>
      <c r="J637" s="15"/>
    </row>
    <row r="638" customFormat="false" ht="15" hidden="false" customHeight="false" outlineLevel="0" collapsed="false">
      <c r="A638" s="26"/>
      <c r="B638" s="15"/>
      <c r="C638" s="15"/>
      <c r="D638" s="27"/>
      <c r="E638" s="15"/>
      <c r="F638" s="28"/>
      <c r="G638" s="25" t="str">
        <f aca="true">IF(OR(D638="",E638=""),"",IFERROR(D638*INDEX(UnidadesFactor,MATCH(E638,Unidades,0)),""))</f>
        <v/>
      </c>
      <c r="H638" s="17" t="str">
        <f aca="false">IF(I638&lt;&gt;"OK","",IF(G638=0,"",F638/G638))</f>
        <v/>
      </c>
      <c r="I638" s="20" t="str">
        <f aca="true">IF(B638="","",IF(ISNA(MATCH(B638,ListaInsumos,0)),"Insumo no está en Insumos",IF(OR(D638="",E638="",F638=""),"Faltan datos",IF(INDEX(UnidadesBase,MATCH(E638,Unidades,0))&lt;&gt;INDEX(InsBase,MATCH(B638,ListaInsumos,0)),"Unidad incompatible",IF(A638="","Falta fecha","OK")))))</f>
        <v/>
      </c>
      <c r="J638" s="15"/>
    </row>
    <row r="639" customFormat="false" ht="15" hidden="false" customHeight="false" outlineLevel="0" collapsed="false">
      <c r="A639" s="26"/>
      <c r="B639" s="15"/>
      <c r="C639" s="15"/>
      <c r="D639" s="27"/>
      <c r="E639" s="15"/>
      <c r="F639" s="28"/>
      <c r="G639" s="25" t="str">
        <f aca="true">IF(OR(D639="",E639=""),"",IFERROR(D639*INDEX(UnidadesFactor,MATCH(E639,Unidades,0)),""))</f>
        <v/>
      </c>
      <c r="H639" s="17" t="str">
        <f aca="false">IF(I639&lt;&gt;"OK","",IF(G639=0,"",F639/G639))</f>
        <v/>
      </c>
      <c r="I639" s="20" t="str">
        <f aca="true">IF(B639="","",IF(ISNA(MATCH(B639,ListaInsumos,0)),"Insumo no está en Insumos",IF(OR(D639="",E639="",F639=""),"Faltan datos",IF(INDEX(UnidadesBase,MATCH(E639,Unidades,0))&lt;&gt;INDEX(InsBase,MATCH(B639,ListaInsumos,0)),"Unidad incompatible",IF(A639="","Falta fecha","OK")))))</f>
        <v/>
      </c>
      <c r="J639" s="15"/>
    </row>
    <row r="640" customFormat="false" ht="15" hidden="false" customHeight="false" outlineLevel="0" collapsed="false">
      <c r="A640" s="26"/>
      <c r="B640" s="15"/>
      <c r="C640" s="15"/>
      <c r="D640" s="27"/>
      <c r="E640" s="15"/>
      <c r="F640" s="28"/>
      <c r="G640" s="25" t="str">
        <f aca="true">IF(OR(D640="",E640=""),"",IFERROR(D640*INDEX(UnidadesFactor,MATCH(E640,Unidades,0)),""))</f>
        <v/>
      </c>
      <c r="H640" s="17" t="str">
        <f aca="false">IF(I640&lt;&gt;"OK","",IF(G640=0,"",F640/G640))</f>
        <v/>
      </c>
      <c r="I640" s="20" t="str">
        <f aca="true">IF(B640="","",IF(ISNA(MATCH(B640,ListaInsumos,0)),"Insumo no está en Insumos",IF(OR(D640="",E640="",F640=""),"Faltan datos",IF(INDEX(UnidadesBase,MATCH(E640,Unidades,0))&lt;&gt;INDEX(InsBase,MATCH(B640,ListaInsumos,0)),"Unidad incompatible",IF(A640="","Falta fecha","OK")))))</f>
        <v/>
      </c>
      <c r="J640" s="15"/>
    </row>
    <row r="641" customFormat="false" ht="15" hidden="false" customHeight="false" outlineLevel="0" collapsed="false">
      <c r="A641" s="26"/>
      <c r="B641" s="15"/>
      <c r="C641" s="15"/>
      <c r="D641" s="27"/>
      <c r="E641" s="15"/>
      <c r="F641" s="28"/>
      <c r="G641" s="25" t="str">
        <f aca="true">IF(OR(D641="",E641=""),"",IFERROR(D641*INDEX(UnidadesFactor,MATCH(E641,Unidades,0)),""))</f>
        <v/>
      </c>
      <c r="H641" s="17" t="str">
        <f aca="false">IF(I641&lt;&gt;"OK","",IF(G641=0,"",F641/G641))</f>
        <v/>
      </c>
      <c r="I641" s="20" t="str">
        <f aca="true">IF(B641="","",IF(ISNA(MATCH(B641,ListaInsumos,0)),"Insumo no está en Insumos",IF(OR(D641="",E641="",F641=""),"Faltan datos",IF(INDEX(UnidadesBase,MATCH(E641,Unidades,0))&lt;&gt;INDEX(InsBase,MATCH(B641,ListaInsumos,0)),"Unidad incompatible",IF(A641="","Falta fecha","OK")))))</f>
        <v/>
      </c>
      <c r="J641" s="15"/>
    </row>
    <row r="642" customFormat="false" ht="15" hidden="false" customHeight="false" outlineLevel="0" collapsed="false">
      <c r="A642" s="26"/>
      <c r="B642" s="15"/>
      <c r="C642" s="15"/>
      <c r="D642" s="27"/>
      <c r="E642" s="15"/>
      <c r="F642" s="28"/>
      <c r="G642" s="25" t="str">
        <f aca="true">IF(OR(D642="",E642=""),"",IFERROR(D642*INDEX(UnidadesFactor,MATCH(E642,Unidades,0)),""))</f>
        <v/>
      </c>
      <c r="H642" s="17" t="str">
        <f aca="false">IF(I642&lt;&gt;"OK","",IF(G642=0,"",F642/G642))</f>
        <v/>
      </c>
      <c r="I642" s="20" t="str">
        <f aca="true">IF(B642="","",IF(ISNA(MATCH(B642,ListaInsumos,0)),"Insumo no está en Insumos",IF(OR(D642="",E642="",F642=""),"Faltan datos",IF(INDEX(UnidadesBase,MATCH(E642,Unidades,0))&lt;&gt;INDEX(InsBase,MATCH(B642,ListaInsumos,0)),"Unidad incompatible",IF(A642="","Falta fecha","OK")))))</f>
        <v/>
      </c>
      <c r="J642" s="15"/>
    </row>
    <row r="643" customFormat="false" ht="15" hidden="false" customHeight="false" outlineLevel="0" collapsed="false">
      <c r="A643" s="26"/>
      <c r="B643" s="15"/>
      <c r="C643" s="15"/>
      <c r="D643" s="27"/>
      <c r="E643" s="15"/>
      <c r="F643" s="28"/>
      <c r="G643" s="25" t="str">
        <f aca="true">IF(OR(D643="",E643=""),"",IFERROR(D643*INDEX(UnidadesFactor,MATCH(E643,Unidades,0)),""))</f>
        <v/>
      </c>
      <c r="H643" s="17" t="str">
        <f aca="false">IF(I643&lt;&gt;"OK","",IF(G643=0,"",F643/G643))</f>
        <v/>
      </c>
      <c r="I643" s="20" t="str">
        <f aca="true">IF(B643="","",IF(ISNA(MATCH(B643,ListaInsumos,0)),"Insumo no está en Insumos",IF(OR(D643="",E643="",F643=""),"Faltan datos",IF(INDEX(UnidadesBase,MATCH(E643,Unidades,0))&lt;&gt;INDEX(InsBase,MATCH(B643,ListaInsumos,0)),"Unidad incompatible",IF(A643="","Falta fecha","OK")))))</f>
        <v/>
      </c>
      <c r="J643" s="15"/>
    </row>
    <row r="644" customFormat="false" ht="15" hidden="false" customHeight="false" outlineLevel="0" collapsed="false">
      <c r="A644" s="26"/>
      <c r="B644" s="15"/>
      <c r="C644" s="15"/>
      <c r="D644" s="27"/>
      <c r="E644" s="15"/>
      <c r="F644" s="28"/>
      <c r="G644" s="25" t="str">
        <f aca="true">IF(OR(D644="",E644=""),"",IFERROR(D644*INDEX(UnidadesFactor,MATCH(E644,Unidades,0)),""))</f>
        <v/>
      </c>
      <c r="H644" s="17" t="str">
        <f aca="false">IF(I644&lt;&gt;"OK","",IF(G644=0,"",F644/G644))</f>
        <v/>
      </c>
      <c r="I644" s="20" t="str">
        <f aca="true">IF(B644="","",IF(ISNA(MATCH(B644,ListaInsumos,0)),"Insumo no está en Insumos",IF(OR(D644="",E644="",F644=""),"Faltan datos",IF(INDEX(UnidadesBase,MATCH(E644,Unidades,0))&lt;&gt;INDEX(InsBase,MATCH(B644,ListaInsumos,0)),"Unidad incompatible",IF(A644="","Falta fecha","OK")))))</f>
        <v/>
      </c>
      <c r="J644" s="15"/>
    </row>
    <row r="645" customFormat="false" ht="15" hidden="false" customHeight="false" outlineLevel="0" collapsed="false">
      <c r="A645" s="26"/>
      <c r="B645" s="15"/>
      <c r="C645" s="15"/>
      <c r="D645" s="27"/>
      <c r="E645" s="15"/>
      <c r="F645" s="28"/>
      <c r="G645" s="25" t="str">
        <f aca="true">IF(OR(D645="",E645=""),"",IFERROR(D645*INDEX(UnidadesFactor,MATCH(E645,Unidades,0)),""))</f>
        <v/>
      </c>
      <c r="H645" s="17" t="str">
        <f aca="false">IF(I645&lt;&gt;"OK","",IF(G645=0,"",F645/G645))</f>
        <v/>
      </c>
      <c r="I645" s="20" t="str">
        <f aca="true">IF(B645="","",IF(ISNA(MATCH(B645,ListaInsumos,0)),"Insumo no está en Insumos",IF(OR(D645="",E645="",F645=""),"Faltan datos",IF(INDEX(UnidadesBase,MATCH(E645,Unidades,0))&lt;&gt;INDEX(InsBase,MATCH(B645,ListaInsumos,0)),"Unidad incompatible",IF(A645="","Falta fecha","OK")))))</f>
        <v/>
      </c>
      <c r="J645" s="15"/>
    </row>
    <row r="646" customFormat="false" ht="15" hidden="false" customHeight="false" outlineLevel="0" collapsed="false">
      <c r="A646" s="26"/>
      <c r="B646" s="15"/>
      <c r="C646" s="15"/>
      <c r="D646" s="27"/>
      <c r="E646" s="15"/>
      <c r="F646" s="28"/>
      <c r="G646" s="25" t="str">
        <f aca="true">IF(OR(D646="",E646=""),"",IFERROR(D646*INDEX(UnidadesFactor,MATCH(E646,Unidades,0)),""))</f>
        <v/>
      </c>
      <c r="H646" s="17" t="str">
        <f aca="false">IF(I646&lt;&gt;"OK","",IF(G646=0,"",F646/G646))</f>
        <v/>
      </c>
      <c r="I646" s="20" t="str">
        <f aca="true">IF(B646="","",IF(ISNA(MATCH(B646,ListaInsumos,0)),"Insumo no está en Insumos",IF(OR(D646="",E646="",F646=""),"Faltan datos",IF(INDEX(UnidadesBase,MATCH(E646,Unidades,0))&lt;&gt;INDEX(InsBase,MATCH(B646,ListaInsumos,0)),"Unidad incompatible",IF(A646="","Falta fecha","OK")))))</f>
        <v/>
      </c>
      <c r="J646" s="15"/>
    </row>
    <row r="647" customFormat="false" ht="15" hidden="false" customHeight="false" outlineLevel="0" collapsed="false">
      <c r="A647" s="26"/>
      <c r="B647" s="15"/>
      <c r="C647" s="15"/>
      <c r="D647" s="27"/>
      <c r="E647" s="15"/>
      <c r="F647" s="28"/>
      <c r="G647" s="25" t="str">
        <f aca="true">IF(OR(D647="",E647=""),"",IFERROR(D647*INDEX(UnidadesFactor,MATCH(E647,Unidades,0)),""))</f>
        <v/>
      </c>
      <c r="H647" s="17" t="str">
        <f aca="false">IF(I647&lt;&gt;"OK","",IF(G647=0,"",F647/G647))</f>
        <v/>
      </c>
      <c r="I647" s="20" t="str">
        <f aca="true">IF(B647="","",IF(ISNA(MATCH(B647,ListaInsumos,0)),"Insumo no está en Insumos",IF(OR(D647="",E647="",F647=""),"Faltan datos",IF(INDEX(UnidadesBase,MATCH(E647,Unidades,0))&lt;&gt;INDEX(InsBase,MATCH(B647,ListaInsumos,0)),"Unidad incompatible",IF(A647="","Falta fecha","OK")))))</f>
        <v/>
      </c>
      <c r="J647" s="15"/>
    </row>
    <row r="648" customFormat="false" ht="15" hidden="false" customHeight="false" outlineLevel="0" collapsed="false">
      <c r="A648" s="26"/>
      <c r="B648" s="15"/>
      <c r="C648" s="15"/>
      <c r="D648" s="27"/>
      <c r="E648" s="15"/>
      <c r="F648" s="28"/>
      <c r="G648" s="25" t="str">
        <f aca="true">IF(OR(D648="",E648=""),"",IFERROR(D648*INDEX(UnidadesFactor,MATCH(E648,Unidades,0)),""))</f>
        <v/>
      </c>
      <c r="H648" s="17" t="str">
        <f aca="false">IF(I648&lt;&gt;"OK","",IF(G648=0,"",F648/G648))</f>
        <v/>
      </c>
      <c r="I648" s="20" t="str">
        <f aca="true">IF(B648="","",IF(ISNA(MATCH(B648,ListaInsumos,0)),"Insumo no está en Insumos",IF(OR(D648="",E648="",F648=""),"Faltan datos",IF(INDEX(UnidadesBase,MATCH(E648,Unidades,0))&lt;&gt;INDEX(InsBase,MATCH(B648,ListaInsumos,0)),"Unidad incompatible",IF(A648="","Falta fecha","OK")))))</f>
        <v/>
      </c>
      <c r="J648" s="15"/>
    </row>
    <row r="649" customFormat="false" ht="15" hidden="false" customHeight="false" outlineLevel="0" collapsed="false">
      <c r="A649" s="26"/>
      <c r="B649" s="15"/>
      <c r="C649" s="15"/>
      <c r="D649" s="27"/>
      <c r="E649" s="15"/>
      <c r="F649" s="28"/>
      <c r="G649" s="25" t="str">
        <f aca="true">IF(OR(D649="",E649=""),"",IFERROR(D649*INDEX(UnidadesFactor,MATCH(E649,Unidades,0)),""))</f>
        <v/>
      </c>
      <c r="H649" s="17" t="str">
        <f aca="false">IF(I649&lt;&gt;"OK","",IF(G649=0,"",F649/G649))</f>
        <v/>
      </c>
      <c r="I649" s="20" t="str">
        <f aca="true">IF(B649="","",IF(ISNA(MATCH(B649,ListaInsumos,0)),"Insumo no está en Insumos",IF(OR(D649="",E649="",F649=""),"Faltan datos",IF(INDEX(UnidadesBase,MATCH(E649,Unidades,0))&lt;&gt;INDEX(InsBase,MATCH(B649,ListaInsumos,0)),"Unidad incompatible",IF(A649="","Falta fecha","OK")))))</f>
        <v/>
      </c>
      <c r="J649" s="15"/>
    </row>
    <row r="650" customFormat="false" ht="15" hidden="false" customHeight="false" outlineLevel="0" collapsed="false">
      <c r="A650" s="26"/>
      <c r="B650" s="15"/>
      <c r="C650" s="15"/>
      <c r="D650" s="27"/>
      <c r="E650" s="15"/>
      <c r="F650" s="28"/>
      <c r="G650" s="25" t="str">
        <f aca="true">IF(OR(D650="",E650=""),"",IFERROR(D650*INDEX(UnidadesFactor,MATCH(E650,Unidades,0)),""))</f>
        <v/>
      </c>
      <c r="H650" s="17" t="str">
        <f aca="false">IF(I650&lt;&gt;"OK","",IF(G650=0,"",F650/G650))</f>
        <v/>
      </c>
      <c r="I650" s="20" t="str">
        <f aca="true">IF(B650="","",IF(ISNA(MATCH(B650,ListaInsumos,0)),"Insumo no está en Insumos",IF(OR(D650="",E650="",F650=""),"Faltan datos",IF(INDEX(UnidadesBase,MATCH(E650,Unidades,0))&lt;&gt;INDEX(InsBase,MATCH(B650,ListaInsumos,0)),"Unidad incompatible",IF(A650="","Falta fecha","OK")))))</f>
        <v/>
      </c>
      <c r="J650" s="15"/>
    </row>
    <row r="651" customFormat="false" ht="15" hidden="false" customHeight="false" outlineLevel="0" collapsed="false">
      <c r="A651" s="26"/>
      <c r="B651" s="15"/>
      <c r="C651" s="15"/>
      <c r="D651" s="27"/>
      <c r="E651" s="15"/>
      <c r="F651" s="28"/>
      <c r="G651" s="25" t="str">
        <f aca="true">IF(OR(D651="",E651=""),"",IFERROR(D651*INDEX(UnidadesFactor,MATCH(E651,Unidades,0)),""))</f>
        <v/>
      </c>
      <c r="H651" s="17" t="str">
        <f aca="false">IF(I651&lt;&gt;"OK","",IF(G651=0,"",F651/G651))</f>
        <v/>
      </c>
      <c r="I651" s="20" t="str">
        <f aca="true">IF(B651="","",IF(ISNA(MATCH(B651,ListaInsumos,0)),"Insumo no está en Insumos",IF(OR(D651="",E651="",F651=""),"Faltan datos",IF(INDEX(UnidadesBase,MATCH(E651,Unidades,0))&lt;&gt;INDEX(InsBase,MATCH(B651,ListaInsumos,0)),"Unidad incompatible",IF(A651="","Falta fecha","OK")))))</f>
        <v/>
      </c>
      <c r="J651" s="15"/>
    </row>
    <row r="652" customFormat="false" ht="15" hidden="false" customHeight="false" outlineLevel="0" collapsed="false">
      <c r="A652" s="26"/>
      <c r="B652" s="15"/>
      <c r="C652" s="15"/>
      <c r="D652" s="27"/>
      <c r="E652" s="15"/>
      <c r="F652" s="28"/>
      <c r="G652" s="25" t="str">
        <f aca="true">IF(OR(D652="",E652=""),"",IFERROR(D652*INDEX(UnidadesFactor,MATCH(E652,Unidades,0)),""))</f>
        <v/>
      </c>
      <c r="H652" s="17" t="str">
        <f aca="false">IF(I652&lt;&gt;"OK","",IF(G652=0,"",F652/G652))</f>
        <v/>
      </c>
      <c r="I652" s="20" t="str">
        <f aca="true">IF(B652="","",IF(ISNA(MATCH(B652,ListaInsumos,0)),"Insumo no está en Insumos",IF(OR(D652="",E652="",F652=""),"Faltan datos",IF(INDEX(UnidadesBase,MATCH(E652,Unidades,0))&lt;&gt;INDEX(InsBase,MATCH(B652,ListaInsumos,0)),"Unidad incompatible",IF(A652="","Falta fecha","OK")))))</f>
        <v/>
      </c>
      <c r="J652" s="15"/>
    </row>
    <row r="653" customFormat="false" ht="15" hidden="false" customHeight="false" outlineLevel="0" collapsed="false">
      <c r="A653" s="26"/>
      <c r="B653" s="15"/>
      <c r="C653" s="15"/>
      <c r="D653" s="27"/>
      <c r="E653" s="15"/>
      <c r="F653" s="28"/>
      <c r="G653" s="25" t="str">
        <f aca="true">IF(OR(D653="",E653=""),"",IFERROR(D653*INDEX(UnidadesFactor,MATCH(E653,Unidades,0)),""))</f>
        <v/>
      </c>
      <c r="H653" s="17" t="str">
        <f aca="false">IF(I653&lt;&gt;"OK","",IF(G653=0,"",F653/G653))</f>
        <v/>
      </c>
      <c r="I653" s="20" t="str">
        <f aca="true">IF(B653="","",IF(ISNA(MATCH(B653,ListaInsumos,0)),"Insumo no está en Insumos",IF(OR(D653="",E653="",F653=""),"Faltan datos",IF(INDEX(UnidadesBase,MATCH(E653,Unidades,0))&lt;&gt;INDEX(InsBase,MATCH(B653,ListaInsumos,0)),"Unidad incompatible",IF(A653="","Falta fecha","OK")))))</f>
        <v/>
      </c>
      <c r="J653" s="15"/>
    </row>
    <row r="654" customFormat="false" ht="15" hidden="false" customHeight="false" outlineLevel="0" collapsed="false">
      <c r="A654" s="26"/>
      <c r="B654" s="15"/>
      <c r="C654" s="15"/>
      <c r="D654" s="27"/>
      <c r="E654" s="15"/>
      <c r="F654" s="28"/>
      <c r="G654" s="25" t="str">
        <f aca="true">IF(OR(D654="",E654=""),"",IFERROR(D654*INDEX(UnidadesFactor,MATCH(E654,Unidades,0)),""))</f>
        <v/>
      </c>
      <c r="H654" s="17" t="str">
        <f aca="false">IF(I654&lt;&gt;"OK","",IF(G654=0,"",F654/G654))</f>
        <v/>
      </c>
      <c r="I654" s="20" t="str">
        <f aca="true">IF(B654="","",IF(ISNA(MATCH(B654,ListaInsumos,0)),"Insumo no está en Insumos",IF(OR(D654="",E654="",F654=""),"Faltan datos",IF(INDEX(UnidadesBase,MATCH(E654,Unidades,0))&lt;&gt;INDEX(InsBase,MATCH(B654,ListaInsumos,0)),"Unidad incompatible",IF(A654="","Falta fecha","OK")))))</f>
        <v/>
      </c>
      <c r="J654" s="15"/>
    </row>
    <row r="655" customFormat="false" ht="15" hidden="false" customHeight="false" outlineLevel="0" collapsed="false">
      <c r="A655" s="26"/>
      <c r="B655" s="15"/>
      <c r="C655" s="15"/>
      <c r="D655" s="27"/>
      <c r="E655" s="15"/>
      <c r="F655" s="28"/>
      <c r="G655" s="25" t="str">
        <f aca="true">IF(OR(D655="",E655=""),"",IFERROR(D655*INDEX(UnidadesFactor,MATCH(E655,Unidades,0)),""))</f>
        <v/>
      </c>
      <c r="H655" s="17" t="str">
        <f aca="false">IF(I655&lt;&gt;"OK","",IF(G655=0,"",F655/G655))</f>
        <v/>
      </c>
      <c r="I655" s="20" t="str">
        <f aca="true">IF(B655="","",IF(ISNA(MATCH(B655,ListaInsumos,0)),"Insumo no está en Insumos",IF(OR(D655="",E655="",F655=""),"Faltan datos",IF(INDEX(UnidadesBase,MATCH(E655,Unidades,0))&lt;&gt;INDEX(InsBase,MATCH(B655,ListaInsumos,0)),"Unidad incompatible",IF(A655="","Falta fecha","OK")))))</f>
        <v/>
      </c>
      <c r="J655" s="15"/>
    </row>
    <row r="656" customFormat="false" ht="15" hidden="false" customHeight="false" outlineLevel="0" collapsed="false">
      <c r="A656" s="26"/>
      <c r="B656" s="15"/>
      <c r="C656" s="15"/>
      <c r="D656" s="27"/>
      <c r="E656" s="15"/>
      <c r="F656" s="28"/>
      <c r="G656" s="25" t="str">
        <f aca="true">IF(OR(D656="",E656=""),"",IFERROR(D656*INDEX(UnidadesFactor,MATCH(E656,Unidades,0)),""))</f>
        <v/>
      </c>
      <c r="H656" s="17" t="str">
        <f aca="false">IF(I656&lt;&gt;"OK","",IF(G656=0,"",F656/G656))</f>
        <v/>
      </c>
      <c r="I656" s="20" t="str">
        <f aca="true">IF(B656="","",IF(ISNA(MATCH(B656,ListaInsumos,0)),"Insumo no está en Insumos",IF(OR(D656="",E656="",F656=""),"Faltan datos",IF(INDEX(UnidadesBase,MATCH(E656,Unidades,0))&lt;&gt;INDEX(InsBase,MATCH(B656,ListaInsumos,0)),"Unidad incompatible",IF(A656="","Falta fecha","OK")))))</f>
        <v/>
      </c>
      <c r="J656" s="15"/>
    </row>
    <row r="657" customFormat="false" ht="15" hidden="false" customHeight="false" outlineLevel="0" collapsed="false">
      <c r="A657" s="26"/>
      <c r="B657" s="15"/>
      <c r="C657" s="15"/>
      <c r="D657" s="27"/>
      <c r="E657" s="15"/>
      <c r="F657" s="28"/>
      <c r="G657" s="25" t="str">
        <f aca="true">IF(OR(D657="",E657=""),"",IFERROR(D657*INDEX(UnidadesFactor,MATCH(E657,Unidades,0)),""))</f>
        <v/>
      </c>
      <c r="H657" s="17" t="str">
        <f aca="false">IF(I657&lt;&gt;"OK","",IF(G657=0,"",F657/G657))</f>
        <v/>
      </c>
      <c r="I657" s="20" t="str">
        <f aca="true">IF(B657="","",IF(ISNA(MATCH(B657,ListaInsumos,0)),"Insumo no está en Insumos",IF(OR(D657="",E657="",F657=""),"Faltan datos",IF(INDEX(UnidadesBase,MATCH(E657,Unidades,0))&lt;&gt;INDEX(InsBase,MATCH(B657,ListaInsumos,0)),"Unidad incompatible",IF(A657="","Falta fecha","OK")))))</f>
        <v/>
      </c>
      <c r="J657" s="15"/>
    </row>
    <row r="658" customFormat="false" ht="15" hidden="false" customHeight="false" outlineLevel="0" collapsed="false">
      <c r="A658" s="26"/>
      <c r="B658" s="15"/>
      <c r="C658" s="15"/>
      <c r="D658" s="27"/>
      <c r="E658" s="15"/>
      <c r="F658" s="28"/>
      <c r="G658" s="25" t="str">
        <f aca="true">IF(OR(D658="",E658=""),"",IFERROR(D658*INDEX(UnidadesFactor,MATCH(E658,Unidades,0)),""))</f>
        <v/>
      </c>
      <c r="H658" s="17" t="str">
        <f aca="false">IF(I658&lt;&gt;"OK","",IF(G658=0,"",F658/G658))</f>
        <v/>
      </c>
      <c r="I658" s="20" t="str">
        <f aca="true">IF(B658="","",IF(ISNA(MATCH(B658,ListaInsumos,0)),"Insumo no está en Insumos",IF(OR(D658="",E658="",F658=""),"Faltan datos",IF(INDEX(UnidadesBase,MATCH(E658,Unidades,0))&lt;&gt;INDEX(InsBase,MATCH(B658,ListaInsumos,0)),"Unidad incompatible",IF(A658="","Falta fecha","OK")))))</f>
        <v/>
      </c>
      <c r="J658" s="15"/>
    </row>
    <row r="659" customFormat="false" ht="15" hidden="false" customHeight="false" outlineLevel="0" collapsed="false">
      <c r="A659" s="26"/>
      <c r="B659" s="15"/>
      <c r="C659" s="15"/>
      <c r="D659" s="27"/>
      <c r="E659" s="15"/>
      <c r="F659" s="28"/>
      <c r="G659" s="25" t="str">
        <f aca="true">IF(OR(D659="",E659=""),"",IFERROR(D659*INDEX(UnidadesFactor,MATCH(E659,Unidades,0)),""))</f>
        <v/>
      </c>
      <c r="H659" s="17" t="str">
        <f aca="false">IF(I659&lt;&gt;"OK","",IF(G659=0,"",F659/G659))</f>
        <v/>
      </c>
      <c r="I659" s="20" t="str">
        <f aca="true">IF(B659="","",IF(ISNA(MATCH(B659,ListaInsumos,0)),"Insumo no está en Insumos",IF(OR(D659="",E659="",F659=""),"Faltan datos",IF(INDEX(UnidadesBase,MATCH(E659,Unidades,0))&lt;&gt;INDEX(InsBase,MATCH(B659,ListaInsumos,0)),"Unidad incompatible",IF(A659="","Falta fecha","OK")))))</f>
        <v/>
      </c>
      <c r="J659" s="15"/>
    </row>
    <row r="660" customFormat="false" ht="15" hidden="false" customHeight="false" outlineLevel="0" collapsed="false">
      <c r="A660" s="26"/>
      <c r="B660" s="15"/>
      <c r="C660" s="15"/>
      <c r="D660" s="27"/>
      <c r="E660" s="15"/>
      <c r="F660" s="28"/>
      <c r="G660" s="25" t="str">
        <f aca="true">IF(OR(D660="",E660=""),"",IFERROR(D660*INDEX(UnidadesFactor,MATCH(E660,Unidades,0)),""))</f>
        <v/>
      </c>
      <c r="H660" s="17" t="str">
        <f aca="false">IF(I660&lt;&gt;"OK","",IF(G660=0,"",F660/G660))</f>
        <v/>
      </c>
      <c r="I660" s="20" t="str">
        <f aca="true">IF(B660="","",IF(ISNA(MATCH(B660,ListaInsumos,0)),"Insumo no está en Insumos",IF(OR(D660="",E660="",F660=""),"Faltan datos",IF(INDEX(UnidadesBase,MATCH(E660,Unidades,0))&lt;&gt;INDEX(InsBase,MATCH(B660,ListaInsumos,0)),"Unidad incompatible",IF(A660="","Falta fecha","OK")))))</f>
        <v/>
      </c>
      <c r="J660" s="15"/>
    </row>
    <row r="661" customFormat="false" ht="15" hidden="false" customHeight="false" outlineLevel="0" collapsed="false">
      <c r="A661" s="26"/>
      <c r="B661" s="15"/>
      <c r="C661" s="15"/>
      <c r="D661" s="27"/>
      <c r="E661" s="15"/>
      <c r="F661" s="28"/>
      <c r="G661" s="25" t="str">
        <f aca="true">IF(OR(D661="",E661=""),"",IFERROR(D661*INDEX(UnidadesFactor,MATCH(E661,Unidades,0)),""))</f>
        <v/>
      </c>
      <c r="H661" s="17" t="str">
        <f aca="false">IF(I661&lt;&gt;"OK","",IF(G661=0,"",F661/G661))</f>
        <v/>
      </c>
      <c r="I661" s="20" t="str">
        <f aca="true">IF(B661="","",IF(ISNA(MATCH(B661,ListaInsumos,0)),"Insumo no está en Insumos",IF(OR(D661="",E661="",F661=""),"Faltan datos",IF(INDEX(UnidadesBase,MATCH(E661,Unidades,0))&lt;&gt;INDEX(InsBase,MATCH(B661,ListaInsumos,0)),"Unidad incompatible",IF(A661="","Falta fecha","OK")))))</f>
        <v/>
      </c>
      <c r="J661" s="15"/>
    </row>
    <row r="662" customFormat="false" ht="15" hidden="false" customHeight="false" outlineLevel="0" collapsed="false">
      <c r="A662" s="26"/>
      <c r="B662" s="15"/>
      <c r="C662" s="15"/>
      <c r="D662" s="27"/>
      <c r="E662" s="15"/>
      <c r="F662" s="28"/>
      <c r="G662" s="25" t="str">
        <f aca="true">IF(OR(D662="",E662=""),"",IFERROR(D662*INDEX(UnidadesFactor,MATCH(E662,Unidades,0)),""))</f>
        <v/>
      </c>
      <c r="H662" s="17" t="str">
        <f aca="false">IF(I662&lt;&gt;"OK","",IF(G662=0,"",F662/G662))</f>
        <v/>
      </c>
      <c r="I662" s="20" t="str">
        <f aca="true">IF(B662="","",IF(ISNA(MATCH(B662,ListaInsumos,0)),"Insumo no está en Insumos",IF(OR(D662="",E662="",F662=""),"Faltan datos",IF(INDEX(UnidadesBase,MATCH(E662,Unidades,0))&lt;&gt;INDEX(InsBase,MATCH(B662,ListaInsumos,0)),"Unidad incompatible",IF(A662="","Falta fecha","OK")))))</f>
        <v/>
      </c>
      <c r="J662" s="15"/>
    </row>
    <row r="663" customFormat="false" ht="15" hidden="false" customHeight="false" outlineLevel="0" collapsed="false">
      <c r="A663" s="26"/>
      <c r="B663" s="15"/>
      <c r="C663" s="15"/>
      <c r="D663" s="27"/>
      <c r="E663" s="15"/>
      <c r="F663" s="28"/>
      <c r="G663" s="25" t="str">
        <f aca="true">IF(OR(D663="",E663=""),"",IFERROR(D663*INDEX(UnidadesFactor,MATCH(E663,Unidades,0)),""))</f>
        <v/>
      </c>
      <c r="H663" s="17" t="str">
        <f aca="false">IF(I663&lt;&gt;"OK","",IF(G663=0,"",F663/G663))</f>
        <v/>
      </c>
      <c r="I663" s="20" t="str">
        <f aca="true">IF(B663="","",IF(ISNA(MATCH(B663,ListaInsumos,0)),"Insumo no está en Insumos",IF(OR(D663="",E663="",F663=""),"Faltan datos",IF(INDEX(UnidadesBase,MATCH(E663,Unidades,0))&lt;&gt;INDEX(InsBase,MATCH(B663,ListaInsumos,0)),"Unidad incompatible",IF(A663="","Falta fecha","OK")))))</f>
        <v/>
      </c>
      <c r="J663" s="15"/>
    </row>
    <row r="664" customFormat="false" ht="15" hidden="false" customHeight="false" outlineLevel="0" collapsed="false">
      <c r="A664" s="26"/>
      <c r="B664" s="15"/>
      <c r="C664" s="15"/>
      <c r="D664" s="27"/>
      <c r="E664" s="15"/>
      <c r="F664" s="28"/>
      <c r="G664" s="25" t="str">
        <f aca="true">IF(OR(D664="",E664=""),"",IFERROR(D664*INDEX(UnidadesFactor,MATCH(E664,Unidades,0)),""))</f>
        <v/>
      </c>
      <c r="H664" s="17" t="str">
        <f aca="false">IF(I664&lt;&gt;"OK","",IF(G664=0,"",F664/G664))</f>
        <v/>
      </c>
      <c r="I664" s="20" t="str">
        <f aca="true">IF(B664="","",IF(ISNA(MATCH(B664,ListaInsumos,0)),"Insumo no está en Insumos",IF(OR(D664="",E664="",F664=""),"Faltan datos",IF(INDEX(UnidadesBase,MATCH(E664,Unidades,0))&lt;&gt;INDEX(InsBase,MATCH(B664,ListaInsumos,0)),"Unidad incompatible",IF(A664="","Falta fecha","OK")))))</f>
        <v/>
      </c>
      <c r="J664" s="15"/>
    </row>
    <row r="665" customFormat="false" ht="15" hidden="false" customHeight="false" outlineLevel="0" collapsed="false">
      <c r="A665" s="26"/>
      <c r="B665" s="15"/>
      <c r="C665" s="15"/>
      <c r="D665" s="27"/>
      <c r="E665" s="15"/>
      <c r="F665" s="28"/>
      <c r="G665" s="25" t="str">
        <f aca="true">IF(OR(D665="",E665=""),"",IFERROR(D665*INDEX(UnidadesFactor,MATCH(E665,Unidades,0)),""))</f>
        <v/>
      </c>
      <c r="H665" s="17" t="str">
        <f aca="false">IF(I665&lt;&gt;"OK","",IF(G665=0,"",F665/G665))</f>
        <v/>
      </c>
      <c r="I665" s="20" t="str">
        <f aca="true">IF(B665="","",IF(ISNA(MATCH(B665,ListaInsumos,0)),"Insumo no está en Insumos",IF(OR(D665="",E665="",F665=""),"Faltan datos",IF(INDEX(UnidadesBase,MATCH(E665,Unidades,0))&lt;&gt;INDEX(InsBase,MATCH(B665,ListaInsumos,0)),"Unidad incompatible",IF(A665="","Falta fecha","OK")))))</f>
        <v/>
      </c>
      <c r="J665" s="15"/>
    </row>
    <row r="666" customFormat="false" ht="15" hidden="false" customHeight="false" outlineLevel="0" collapsed="false">
      <c r="A666" s="26"/>
      <c r="B666" s="15"/>
      <c r="C666" s="15"/>
      <c r="D666" s="27"/>
      <c r="E666" s="15"/>
      <c r="F666" s="28"/>
      <c r="G666" s="25" t="str">
        <f aca="true">IF(OR(D666="",E666=""),"",IFERROR(D666*INDEX(UnidadesFactor,MATCH(E666,Unidades,0)),""))</f>
        <v/>
      </c>
      <c r="H666" s="17" t="str">
        <f aca="false">IF(I666&lt;&gt;"OK","",IF(G666=0,"",F666/G666))</f>
        <v/>
      </c>
      <c r="I666" s="20" t="str">
        <f aca="true">IF(B666="","",IF(ISNA(MATCH(B666,ListaInsumos,0)),"Insumo no está en Insumos",IF(OR(D666="",E666="",F666=""),"Faltan datos",IF(INDEX(UnidadesBase,MATCH(E666,Unidades,0))&lt;&gt;INDEX(InsBase,MATCH(B666,ListaInsumos,0)),"Unidad incompatible",IF(A666="","Falta fecha","OK")))))</f>
        <v/>
      </c>
      <c r="J666" s="15"/>
    </row>
    <row r="667" customFormat="false" ht="15" hidden="false" customHeight="false" outlineLevel="0" collapsed="false">
      <c r="A667" s="26"/>
      <c r="B667" s="15"/>
      <c r="C667" s="15"/>
      <c r="D667" s="27"/>
      <c r="E667" s="15"/>
      <c r="F667" s="28"/>
      <c r="G667" s="25" t="str">
        <f aca="true">IF(OR(D667="",E667=""),"",IFERROR(D667*INDEX(UnidadesFactor,MATCH(E667,Unidades,0)),""))</f>
        <v/>
      </c>
      <c r="H667" s="17" t="str">
        <f aca="false">IF(I667&lt;&gt;"OK","",IF(G667=0,"",F667/G667))</f>
        <v/>
      </c>
      <c r="I667" s="20" t="str">
        <f aca="true">IF(B667="","",IF(ISNA(MATCH(B667,ListaInsumos,0)),"Insumo no está en Insumos",IF(OR(D667="",E667="",F667=""),"Faltan datos",IF(INDEX(UnidadesBase,MATCH(E667,Unidades,0))&lt;&gt;INDEX(InsBase,MATCH(B667,ListaInsumos,0)),"Unidad incompatible",IF(A667="","Falta fecha","OK")))))</f>
        <v/>
      </c>
      <c r="J667" s="15"/>
    </row>
    <row r="668" customFormat="false" ht="15" hidden="false" customHeight="false" outlineLevel="0" collapsed="false">
      <c r="A668" s="26"/>
      <c r="B668" s="15"/>
      <c r="C668" s="15"/>
      <c r="D668" s="27"/>
      <c r="E668" s="15"/>
      <c r="F668" s="28"/>
      <c r="G668" s="25" t="str">
        <f aca="true">IF(OR(D668="",E668=""),"",IFERROR(D668*INDEX(UnidadesFactor,MATCH(E668,Unidades,0)),""))</f>
        <v/>
      </c>
      <c r="H668" s="17" t="str">
        <f aca="false">IF(I668&lt;&gt;"OK","",IF(G668=0,"",F668/G668))</f>
        <v/>
      </c>
      <c r="I668" s="20" t="str">
        <f aca="true">IF(B668="","",IF(ISNA(MATCH(B668,ListaInsumos,0)),"Insumo no está en Insumos",IF(OR(D668="",E668="",F668=""),"Faltan datos",IF(INDEX(UnidadesBase,MATCH(E668,Unidades,0))&lt;&gt;INDEX(InsBase,MATCH(B668,ListaInsumos,0)),"Unidad incompatible",IF(A668="","Falta fecha","OK")))))</f>
        <v/>
      </c>
      <c r="J668" s="15"/>
    </row>
    <row r="669" customFormat="false" ht="15" hidden="false" customHeight="false" outlineLevel="0" collapsed="false">
      <c r="A669" s="26"/>
      <c r="B669" s="15"/>
      <c r="C669" s="15"/>
      <c r="D669" s="27"/>
      <c r="E669" s="15"/>
      <c r="F669" s="28"/>
      <c r="G669" s="25" t="str">
        <f aca="true">IF(OR(D669="",E669=""),"",IFERROR(D669*INDEX(UnidadesFactor,MATCH(E669,Unidades,0)),""))</f>
        <v/>
      </c>
      <c r="H669" s="17" t="str">
        <f aca="false">IF(I669&lt;&gt;"OK","",IF(G669=0,"",F669/G669))</f>
        <v/>
      </c>
      <c r="I669" s="20" t="str">
        <f aca="true">IF(B669="","",IF(ISNA(MATCH(B669,ListaInsumos,0)),"Insumo no está en Insumos",IF(OR(D669="",E669="",F669=""),"Faltan datos",IF(INDEX(UnidadesBase,MATCH(E669,Unidades,0))&lt;&gt;INDEX(InsBase,MATCH(B669,ListaInsumos,0)),"Unidad incompatible",IF(A669="","Falta fecha","OK")))))</f>
        <v/>
      </c>
      <c r="J669" s="15"/>
    </row>
    <row r="670" customFormat="false" ht="15" hidden="false" customHeight="false" outlineLevel="0" collapsed="false">
      <c r="A670" s="26"/>
      <c r="B670" s="15"/>
      <c r="C670" s="15"/>
      <c r="D670" s="27"/>
      <c r="E670" s="15"/>
      <c r="F670" s="28"/>
      <c r="G670" s="25" t="str">
        <f aca="true">IF(OR(D670="",E670=""),"",IFERROR(D670*INDEX(UnidadesFactor,MATCH(E670,Unidades,0)),""))</f>
        <v/>
      </c>
      <c r="H670" s="17" t="str">
        <f aca="false">IF(I670&lt;&gt;"OK","",IF(G670=0,"",F670/G670))</f>
        <v/>
      </c>
      <c r="I670" s="20" t="str">
        <f aca="true">IF(B670="","",IF(ISNA(MATCH(B670,ListaInsumos,0)),"Insumo no está en Insumos",IF(OR(D670="",E670="",F670=""),"Faltan datos",IF(INDEX(UnidadesBase,MATCH(E670,Unidades,0))&lt;&gt;INDEX(InsBase,MATCH(B670,ListaInsumos,0)),"Unidad incompatible",IF(A670="","Falta fecha","OK")))))</f>
        <v/>
      </c>
      <c r="J670" s="15"/>
    </row>
    <row r="671" customFormat="false" ht="15" hidden="false" customHeight="false" outlineLevel="0" collapsed="false">
      <c r="A671" s="26"/>
      <c r="B671" s="15"/>
      <c r="C671" s="15"/>
      <c r="D671" s="27"/>
      <c r="E671" s="15"/>
      <c r="F671" s="28"/>
      <c r="G671" s="25" t="str">
        <f aca="true">IF(OR(D671="",E671=""),"",IFERROR(D671*INDEX(UnidadesFactor,MATCH(E671,Unidades,0)),""))</f>
        <v/>
      </c>
      <c r="H671" s="17" t="str">
        <f aca="false">IF(I671&lt;&gt;"OK","",IF(G671=0,"",F671/G671))</f>
        <v/>
      </c>
      <c r="I671" s="20" t="str">
        <f aca="true">IF(B671="","",IF(ISNA(MATCH(B671,ListaInsumos,0)),"Insumo no está en Insumos",IF(OR(D671="",E671="",F671=""),"Faltan datos",IF(INDEX(UnidadesBase,MATCH(E671,Unidades,0))&lt;&gt;INDEX(InsBase,MATCH(B671,ListaInsumos,0)),"Unidad incompatible",IF(A671="","Falta fecha","OK")))))</f>
        <v/>
      </c>
      <c r="J671" s="15"/>
    </row>
    <row r="672" customFormat="false" ht="15" hidden="false" customHeight="false" outlineLevel="0" collapsed="false">
      <c r="A672" s="26"/>
      <c r="B672" s="15"/>
      <c r="C672" s="15"/>
      <c r="D672" s="27"/>
      <c r="E672" s="15"/>
      <c r="F672" s="28"/>
      <c r="G672" s="25" t="str">
        <f aca="true">IF(OR(D672="",E672=""),"",IFERROR(D672*INDEX(UnidadesFactor,MATCH(E672,Unidades,0)),""))</f>
        <v/>
      </c>
      <c r="H672" s="17" t="str">
        <f aca="false">IF(I672&lt;&gt;"OK","",IF(G672=0,"",F672/G672))</f>
        <v/>
      </c>
      <c r="I672" s="20" t="str">
        <f aca="true">IF(B672="","",IF(ISNA(MATCH(B672,ListaInsumos,0)),"Insumo no está en Insumos",IF(OR(D672="",E672="",F672=""),"Faltan datos",IF(INDEX(UnidadesBase,MATCH(E672,Unidades,0))&lt;&gt;INDEX(InsBase,MATCH(B672,ListaInsumos,0)),"Unidad incompatible",IF(A672="","Falta fecha","OK")))))</f>
        <v/>
      </c>
      <c r="J672" s="15"/>
    </row>
    <row r="673" customFormat="false" ht="15" hidden="false" customHeight="false" outlineLevel="0" collapsed="false">
      <c r="A673" s="26"/>
      <c r="B673" s="15"/>
      <c r="C673" s="15"/>
      <c r="D673" s="27"/>
      <c r="E673" s="15"/>
      <c r="F673" s="28"/>
      <c r="G673" s="25" t="str">
        <f aca="true">IF(OR(D673="",E673=""),"",IFERROR(D673*INDEX(UnidadesFactor,MATCH(E673,Unidades,0)),""))</f>
        <v/>
      </c>
      <c r="H673" s="17" t="str">
        <f aca="false">IF(I673&lt;&gt;"OK","",IF(G673=0,"",F673/G673))</f>
        <v/>
      </c>
      <c r="I673" s="20" t="str">
        <f aca="true">IF(B673="","",IF(ISNA(MATCH(B673,ListaInsumos,0)),"Insumo no está en Insumos",IF(OR(D673="",E673="",F673=""),"Faltan datos",IF(INDEX(UnidadesBase,MATCH(E673,Unidades,0))&lt;&gt;INDEX(InsBase,MATCH(B673,ListaInsumos,0)),"Unidad incompatible",IF(A673="","Falta fecha","OK")))))</f>
        <v/>
      </c>
      <c r="J673" s="15"/>
    </row>
    <row r="674" customFormat="false" ht="15" hidden="false" customHeight="false" outlineLevel="0" collapsed="false">
      <c r="A674" s="26"/>
      <c r="B674" s="15"/>
      <c r="C674" s="15"/>
      <c r="D674" s="27"/>
      <c r="E674" s="15"/>
      <c r="F674" s="28"/>
      <c r="G674" s="25" t="str">
        <f aca="true">IF(OR(D674="",E674=""),"",IFERROR(D674*INDEX(UnidadesFactor,MATCH(E674,Unidades,0)),""))</f>
        <v/>
      </c>
      <c r="H674" s="17" t="str">
        <f aca="false">IF(I674&lt;&gt;"OK","",IF(G674=0,"",F674/G674))</f>
        <v/>
      </c>
      <c r="I674" s="20" t="str">
        <f aca="true">IF(B674="","",IF(ISNA(MATCH(B674,ListaInsumos,0)),"Insumo no está en Insumos",IF(OR(D674="",E674="",F674=""),"Faltan datos",IF(INDEX(UnidadesBase,MATCH(E674,Unidades,0))&lt;&gt;INDEX(InsBase,MATCH(B674,ListaInsumos,0)),"Unidad incompatible",IF(A674="","Falta fecha","OK")))))</f>
        <v/>
      </c>
      <c r="J674" s="15"/>
    </row>
    <row r="675" customFormat="false" ht="15" hidden="false" customHeight="false" outlineLevel="0" collapsed="false">
      <c r="A675" s="26"/>
      <c r="B675" s="15"/>
      <c r="C675" s="15"/>
      <c r="D675" s="27"/>
      <c r="E675" s="15"/>
      <c r="F675" s="28"/>
      <c r="G675" s="25" t="str">
        <f aca="true">IF(OR(D675="",E675=""),"",IFERROR(D675*INDEX(UnidadesFactor,MATCH(E675,Unidades,0)),""))</f>
        <v/>
      </c>
      <c r="H675" s="17" t="str">
        <f aca="false">IF(I675&lt;&gt;"OK","",IF(G675=0,"",F675/G675))</f>
        <v/>
      </c>
      <c r="I675" s="20" t="str">
        <f aca="true">IF(B675="","",IF(ISNA(MATCH(B675,ListaInsumos,0)),"Insumo no está en Insumos",IF(OR(D675="",E675="",F675=""),"Faltan datos",IF(INDEX(UnidadesBase,MATCH(E675,Unidades,0))&lt;&gt;INDEX(InsBase,MATCH(B675,ListaInsumos,0)),"Unidad incompatible",IF(A675="","Falta fecha","OK")))))</f>
        <v/>
      </c>
      <c r="J675" s="15"/>
    </row>
    <row r="676" customFormat="false" ht="15" hidden="false" customHeight="false" outlineLevel="0" collapsed="false">
      <c r="A676" s="26"/>
      <c r="B676" s="15"/>
      <c r="C676" s="15"/>
      <c r="D676" s="27"/>
      <c r="E676" s="15"/>
      <c r="F676" s="28"/>
      <c r="G676" s="25" t="str">
        <f aca="true">IF(OR(D676="",E676=""),"",IFERROR(D676*INDEX(UnidadesFactor,MATCH(E676,Unidades,0)),""))</f>
        <v/>
      </c>
      <c r="H676" s="17" t="str">
        <f aca="false">IF(I676&lt;&gt;"OK","",IF(G676=0,"",F676/G676))</f>
        <v/>
      </c>
      <c r="I676" s="20" t="str">
        <f aca="true">IF(B676="","",IF(ISNA(MATCH(B676,ListaInsumos,0)),"Insumo no está en Insumos",IF(OR(D676="",E676="",F676=""),"Faltan datos",IF(INDEX(UnidadesBase,MATCH(E676,Unidades,0))&lt;&gt;INDEX(InsBase,MATCH(B676,ListaInsumos,0)),"Unidad incompatible",IF(A676="","Falta fecha","OK")))))</f>
        <v/>
      </c>
      <c r="J676" s="15"/>
    </row>
    <row r="677" customFormat="false" ht="15" hidden="false" customHeight="false" outlineLevel="0" collapsed="false">
      <c r="A677" s="26"/>
      <c r="B677" s="15"/>
      <c r="C677" s="15"/>
      <c r="D677" s="27"/>
      <c r="E677" s="15"/>
      <c r="F677" s="28"/>
      <c r="G677" s="25" t="str">
        <f aca="true">IF(OR(D677="",E677=""),"",IFERROR(D677*INDEX(UnidadesFactor,MATCH(E677,Unidades,0)),""))</f>
        <v/>
      </c>
      <c r="H677" s="17" t="str">
        <f aca="false">IF(I677&lt;&gt;"OK","",IF(G677=0,"",F677/G677))</f>
        <v/>
      </c>
      <c r="I677" s="20" t="str">
        <f aca="true">IF(B677="","",IF(ISNA(MATCH(B677,ListaInsumos,0)),"Insumo no está en Insumos",IF(OR(D677="",E677="",F677=""),"Faltan datos",IF(INDEX(UnidadesBase,MATCH(E677,Unidades,0))&lt;&gt;INDEX(InsBase,MATCH(B677,ListaInsumos,0)),"Unidad incompatible",IF(A677="","Falta fecha","OK")))))</f>
        <v/>
      </c>
      <c r="J677" s="15"/>
    </row>
    <row r="678" customFormat="false" ht="15" hidden="false" customHeight="false" outlineLevel="0" collapsed="false">
      <c r="A678" s="26"/>
      <c r="B678" s="15"/>
      <c r="C678" s="15"/>
      <c r="D678" s="27"/>
      <c r="E678" s="15"/>
      <c r="F678" s="28"/>
      <c r="G678" s="25" t="str">
        <f aca="true">IF(OR(D678="",E678=""),"",IFERROR(D678*INDEX(UnidadesFactor,MATCH(E678,Unidades,0)),""))</f>
        <v/>
      </c>
      <c r="H678" s="17" t="str">
        <f aca="false">IF(I678&lt;&gt;"OK","",IF(G678=0,"",F678/G678))</f>
        <v/>
      </c>
      <c r="I678" s="20" t="str">
        <f aca="true">IF(B678="","",IF(ISNA(MATCH(B678,ListaInsumos,0)),"Insumo no está en Insumos",IF(OR(D678="",E678="",F678=""),"Faltan datos",IF(INDEX(UnidadesBase,MATCH(E678,Unidades,0))&lt;&gt;INDEX(InsBase,MATCH(B678,ListaInsumos,0)),"Unidad incompatible",IF(A678="","Falta fecha","OK")))))</f>
        <v/>
      </c>
      <c r="J678" s="15"/>
    </row>
    <row r="679" customFormat="false" ht="15" hidden="false" customHeight="false" outlineLevel="0" collapsed="false">
      <c r="A679" s="26"/>
      <c r="B679" s="15"/>
      <c r="C679" s="15"/>
      <c r="D679" s="27"/>
      <c r="E679" s="15"/>
      <c r="F679" s="28"/>
      <c r="G679" s="25" t="str">
        <f aca="true">IF(OR(D679="",E679=""),"",IFERROR(D679*INDEX(UnidadesFactor,MATCH(E679,Unidades,0)),""))</f>
        <v/>
      </c>
      <c r="H679" s="17" t="str">
        <f aca="false">IF(I679&lt;&gt;"OK","",IF(G679=0,"",F679/G679))</f>
        <v/>
      </c>
      <c r="I679" s="20" t="str">
        <f aca="true">IF(B679="","",IF(ISNA(MATCH(B679,ListaInsumos,0)),"Insumo no está en Insumos",IF(OR(D679="",E679="",F679=""),"Faltan datos",IF(INDEX(UnidadesBase,MATCH(E679,Unidades,0))&lt;&gt;INDEX(InsBase,MATCH(B679,ListaInsumos,0)),"Unidad incompatible",IF(A679="","Falta fecha","OK")))))</f>
        <v/>
      </c>
      <c r="J679" s="15"/>
    </row>
    <row r="680" customFormat="false" ht="15" hidden="false" customHeight="false" outlineLevel="0" collapsed="false">
      <c r="A680" s="26"/>
      <c r="B680" s="15"/>
      <c r="C680" s="15"/>
      <c r="D680" s="27"/>
      <c r="E680" s="15"/>
      <c r="F680" s="28"/>
      <c r="G680" s="25" t="str">
        <f aca="true">IF(OR(D680="",E680=""),"",IFERROR(D680*INDEX(UnidadesFactor,MATCH(E680,Unidades,0)),""))</f>
        <v/>
      </c>
      <c r="H680" s="17" t="str">
        <f aca="false">IF(I680&lt;&gt;"OK","",IF(G680=0,"",F680/G680))</f>
        <v/>
      </c>
      <c r="I680" s="20" t="str">
        <f aca="true">IF(B680="","",IF(ISNA(MATCH(B680,ListaInsumos,0)),"Insumo no está en Insumos",IF(OR(D680="",E680="",F680=""),"Faltan datos",IF(INDEX(UnidadesBase,MATCH(E680,Unidades,0))&lt;&gt;INDEX(InsBase,MATCH(B680,ListaInsumos,0)),"Unidad incompatible",IF(A680="","Falta fecha","OK")))))</f>
        <v/>
      </c>
      <c r="J680" s="15"/>
    </row>
    <row r="681" customFormat="false" ht="15" hidden="false" customHeight="false" outlineLevel="0" collapsed="false">
      <c r="A681" s="26"/>
      <c r="B681" s="15"/>
      <c r="C681" s="15"/>
      <c r="D681" s="27"/>
      <c r="E681" s="15"/>
      <c r="F681" s="28"/>
      <c r="G681" s="25" t="str">
        <f aca="true">IF(OR(D681="",E681=""),"",IFERROR(D681*INDEX(UnidadesFactor,MATCH(E681,Unidades,0)),""))</f>
        <v/>
      </c>
      <c r="H681" s="17" t="str">
        <f aca="false">IF(I681&lt;&gt;"OK","",IF(G681=0,"",F681/G681))</f>
        <v/>
      </c>
      <c r="I681" s="20" t="str">
        <f aca="true">IF(B681="","",IF(ISNA(MATCH(B681,ListaInsumos,0)),"Insumo no está en Insumos",IF(OR(D681="",E681="",F681=""),"Faltan datos",IF(INDEX(UnidadesBase,MATCH(E681,Unidades,0))&lt;&gt;INDEX(InsBase,MATCH(B681,ListaInsumos,0)),"Unidad incompatible",IF(A681="","Falta fecha","OK")))))</f>
        <v/>
      </c>
      <c r="J681" s="15"/>
    </row>
    <row r="682" customFormat="false" ht="15" hidden="false" customHeight="false" outlineLevel="0" collapsed="false">
      <c r="A682" s="26"/>
      <c r="B682" s="15"/>
      <c r="C682" s="15"/>
      <c r="D682" s="27"/>
      <c r="E682" s="15"/>
      <c r="F682" s="28"/>
      <c r="G682" s="25" t="str">
        <f aca="true">IF(OR(D682="",E682=""),"",IFERROR(D682*INDEX(UnidadesFactor,MATCH(E682,Unidades,0)),""))</f>
        <v/>
      </c>
      <c r="H682" s="17" t="str">
        <f aca="false">IF(I682&lt;&gt;"OK","",IF(G682=0,"",F682/G682))</f>
        <v/>
      </c>
      <c r="I682" s="20" t="str">
        <f aca="true">IF(B682="","",IF(ISNA(MATCH(B682,ListaInsumos,0)),"Insumo no está en Insumos",IF(OR(D682="",E682="",F682=""),"Faltan datos",IF(INDEX(UnidadesBase,MATCH(E682,Unidades,0))&lt;&gt;INDEX(InsBase,MATCH(B682,ListaInsumos,0)),"Unidad incompatible",IF(A682="","Falta fecha","OK")))))</f>
        <v/>
      </c>
      <c r="J682" s="15"/>
    </row>
    <row r="683" customFormat="false" ht="15" hidden="false" customHeight="false" outlineLevel="0" collapsed="false">
      <c r="A683" s="26"/>
      <c r="B683" s="15"/>
      <c r="C683" s="15"/>
      <c r="D683" s="27"/>
      <c r="E683" s="15"/>
      <c r="F683" s="28"/>
      <c r="G683" s="25" t="str">
        <f aca="true">IF(OR(D683="",E683=""),"",IFERROR(D683*INDEX(UnidadesFactor,MATCH(E683,Unidades,0)),""))</f>
        <v/>
      </c>
      <c r="H683" s="17" t="str">
        <f aca="false">IF(I683&lt;&gt;"OK","",IF(G683=0,"",F683/G683))</f>
        <v/>
      </c>
      <c r="I683" s="20" t="str">
        <f aca="true">IF(B683="","",IF(ISNA(MATCH(B683,ListaInsumos,0)),"Insumo no está en Insumos",IF(OR(D683="",E683="",F683=""),"Faltan datos",IF(INDEX(UnidadesBase,MATCH(E683,Unidades,0))&lt;&gt;INDEX(InsBase,MATCH(B683,ListaInsumos,0)),"Unidad incompatible",IF(A683="","Falta fecha","OK")))))</f>
        <v/>
      </c>
      <c r="J683" s="15"/>
    </row>
    <row r="684" customFormat="false" ht="15" hidden="false" customHeight="false" outlineLevel="0" collapsed="false">
      <c r="A684" s="26"/>
      <c r="B684" s="15"/>
      <c r="C684" s="15"/>
      <c r="D684" s="27"/>
      <c r="E684" s="15"/>
      <c r="F684" s="28"/>
      <c r="G684" s="25" t="str">
        <f aca="true">IF(OR(D684="",E684=""),"",IFERROR(D684*INDEX(UnidadesFactor,MATCH(E684,Unidades,0)),""))</f>
        <v/>
      </c>
      <c r="H684" s="17" t="str">
        <f aca="false">IF(I684&lt;&gt;"OK","",IF(G684=0,"",F684/G684))</f>
        <v/>
      </c>
      <c r="I684" s="20" t="str">
        <f aca="true">IF(B684="","",IF(ISNA(MATCH(B684,ListaInsumos,0)),"Insumo no está en Insumos",IF(OR(D684="",E684="",F684=""),"Faltan datos",IF(INDEX(UnidadesBase,MATCH(E684,Unidades,0))&lt;&gt;INDEX(InsBase,MATCH(B684,ListaInsumos,0)),"Unidad incompatible",IF(A684="","Falta fecha","OK")))))</f>
        <v/>
      </c>
      <c r="J684" s="15"/>
    </row>
    <row r="685" customFormat="false" ht="15" hidden="false" customHeight="false" outlineLevel="0" collapsed="false">
      <c r="A685" s="26"/>
      <c r="B685" s="15"/>
      <c r="C685" s="15"/>
      <c r="D685" s="27"/>
      <c r="E685" s="15"/>
      <c r="F685" s="28"/>
      <c r="G685" s="25" t="str">
        <f aca="true">IF(OR(D685="",E685=""),"",IFERROR(D685*INDEX(UnidadesFactor,MATCH(E685,Unidades,0)),""))</f>
        <v/>
      </c>
      <c r="H685" s="17" t="str">
        <f aca="false">IF(I685&lt;&gt;"OK","",IF(G685=0,"",F685/G685))</f>
        <v/>
      </c>
      <c r="I685" s="20" t="str">
        <f aca="true">IF(B685="","",IF(ISNA(MATCH(B685,ListaInsumos,0)),"Insumo no está en Insumos",IF(OR(D685="",E685="",F685=""),"Faltan datos",IF(INDEX(UnidadesBase,MATCH(E685,Unidades,0))&lt;&gt;INDEX(InsBase,MATCH(B685,ListaInsumos,0)),"Unidad incompatible",IF(A685="","Falta fecha","OK")))))</f>
        <v/>
      </c>
      <c r="J685" s="15"/>
    </row>
    <row r="686" customFormat="false" ht="15" hidden="false" customHeight="false" outlineLevel="0" collapsed="false">
      <c r="A686" s="26"/>
      <c r="B686" s="15"/>
      <c r="C686" s="15"/>
      <c r="D686" s="27"/>
      <c r="E686" s="15"/>
      <c r="F686" s="28"/>
      <c r="G686" s="25" t="str">
        <f aca="true">IF(OR(D686="",E686=""),"",IFERROR(D686*INDEX(UnidadesFactor,MATCH(E686,Unidades,0)),""))</f>
        <v/>
      </c>
      <c r="H686" s="17" t="str">
        <f aca="false">IF(I686&lt;&gt;"OK","",IF(G686=0,"",F686/G686))</f>
        <v/>
      </c>
      <c r="I686" s="20" t="str">
        <f aca="true">IF(B686="","",IF(ISNA(MATCH(B686,ListaInsumos,0)),"Insumo no está en Insumos",IF(OR(D686="",E686="",F686=""),"Faltan datos",IF(INDEX(UnidadesBase,MATCH(E686,Unidades,0))&lt;&gt;INDEX(InsBase,MATCH(B686,ListaInsumos,0)),"Unidad incompatible",IF(A686="","Falta fecha","OK")))))</f>
        <v/>
      </c>
      <c r="J686" s="15"/>
    </row>
    <row r="687" customFormat="false" ht="15" hidden="false" customHeight="false" outlineLevel="0" collapsed="false">
      <c r="A687" s="26"/>
      <c r="B687" s="15"/>
      <c r="C687" s="15"/>
      <c r="D687" s="27"/>
      <c r="E687" s="15"/>
      <c r="F687" s="28"/>
      <c r="G687" s="25" t="str">
        <f aca="true">IF(OR(D687="",E687=""),"",IFERROR(D687*INDEX(UnidadesFactor,MATCH(E687,Unidades,0)),""))</f>
        <v/>
      </c>
      <c r="H687" s="17" t="str">
        <f aca="false">IF(I687&lt;&gt;"OK","",IF(G687=0,"",F687/G687))</f>
        <v/>
      </c>
      <c r="I687" s="20" t="str">
        <f aca="true">IF(B687="","",IF(ISNA(MATCH(B687,ListaInsumos,0)),"Insumo no está en Insumos",IF(OR(D687="",E687="",F687=""),"Faltan datos",IF(INDEX(UnidadesBase,MATCH(E687,Unidades,0))&lt;&gt;INDEX(InsBase,MATCH(B687,ListaInsumos,0)),"Unidad incompatible",IF(A687="","Falta fecha","OK")))))</f>
        <v/>
      </c>
      <c r="J687" s="15"/>
    </row>
    <row r="688" customFormat="false" ht="15" hidden="false" customHeight="false" outlineLevel="0" collapsed="false">
      <c r="A688" s="26"/>
      <c r="B688" s="15"/>
      <c r="C688" s="15"/>
      <c r="D688" s="27"/>
      <c r="E688" s="15"/>
      <c r="F688" s="28"/>
      <c r="G688" s="25" t="str">
        <f aca="true">IF(OR(D688="",E688=""),"",IFERROR(D688*INDEX(UnidadesFactor,MATCH(E688,Unidades,0)),""))</f>
        <v/>
      </c>
      <c r="H688" s="17" t="str">
        <f aca="false">IF(I688&lt;&gt;"OK","",IF(G688=0,"",F688/G688))</f>
        <v/>
      </c>
      <c r="I688" s="20" t="str">
        <f aca="true">IF(B688="","",IF(ISNA(MATCH(B688,ListaInsumos,0)),"Insumo no está en Insumos",IF(OR(D688="",E688="",F688=""),"Faltan datos",IF(INDEX(UnidadesBase,MATCH(E688,Unidades,0))&lt;&gt;INDEX(InsBase,MATCH(B688,ListaInsumos,0)),"Unidad incompatible",IF(A688="","Falta fecha","OK")))))</f>
        <v/>
      </c>
      <c r="J688" s="15"/>
    </row>
    <row r="689" customFormat="false" ht="15" hidden="false" customHeight="false" outlineLevel="0" collapsed="false">
      <c r="A689" s="26"/>
      <c r="B689" s="15"/>
      <c r="C689" s="15"/>
      <c r="D689" s="27"/>
      <c r="E689" s="15"/>
      <c r="F689" s="28"/>
      <c r="G689" s="25" t="str">
        <f aca="true">IF(OR(D689="",E689=""),"",IFERROR(D689*INDEX(UnidadesFactor,MATCH(E689,Unidades,0)),""))</f>
        <v/>
      </c>
      <c r="H689" s="17" t="str">
        <f aca="false">IF(I689&lt;&gt;"OK","",IF(G689=0,"",F689/G689))</f>
        <v/>
      </c>
      <c r="I689" s="20" t="str">
        <f aca="true">IF(B689="","",IF(ISNA(MATCH(B689,ListaInsumos,0)),"Insumo no está en Insumos",IF(OR(D689="",E689="",F689=""),"Faltan datos",IF(INDEX(UnidadesBase,MATCH(E689,Unidades,0))&lt;&gt;INDEX(InsBase,MATCH(B689,ListaInsumos,0)),"Unidad incompatible",IF(A689="","Falta fecha","OK")))))</f>
        <v/>
      </c>
      <c r="J689" s="15"/>
    </row>
    <row r="690" customFormat="false" ht="15" hidden="false" customHeight="false" outlineLevel="0" collapsed="false">
      <c r="A690" s="26"/>
      <c r="B690" s="15"/>
      <c r="C690" s="15"/>
      <c r="D690" s="27"/>
      <c r="E690" s="15"/>
      <c r="F690" s="28"/>
      <c r="G690" s="25" t="str">
        <f aca="true">IF(OR(D690="",E690=""),"",IFERROR(D690*INDEX(UnidadesFactor,MATCH(E690,Unidades,0)),""))</f>
        <v/>
      </c>
      <c r="H690" s="17" t="str">
        <f aca="false">IF(I690&lt;&gt;"OK","",IF(G690=0,"",F690/G690))</f>
        <v/>
      </c>
      <c r="I690" s="20" t="str">
        <f aca="true">IF(B690="","",IF(ISNA(MATCH(B690,ListaInsumos,0)),"Insumo no está en Insumos",IF(OR(D690="",E690="",F690=""),"Faltan datos",IF(INDEX(UnidadesBase,MATCH(E690,Unidades,0))&lt;&gt;INDEX(InsBase,MATCH(B690,ListaInsumos,0)),"Unidad incompatible",IF(A690="","Falta fecha","OK")))))</f>
        <v/>
      </c>
      <c r="J690" s="15"/>
    </row>
    <row r="691" customFormat="false" ht="15" hidden="false" customHeight="false" outlineLevel="0" collapsed="false">
      <c r="A691" s="26"/>
      <c r="B691" s="15"/>
      <c r="C691" s="15"/>
      <c r="D691" s="27"/>
      <c r="E691" s="15"/>
      <c r="F691" s="28"/>
      <c r="G691" s="25" t="str">
        <f aca="true">IF(OR(D691="",E691=""),"",IFERROR(D691*INDEX(UnidadesFactor,MATCH(E691,Unidades,0)),""))</f>
        <v/>
      </c>
      <c r="H691" s="17" t="str">
        <f aca="false">IF(I691&lt;&gt;"OK","",IF(G691=0,"",F691/G691))</f>
        <v/>
      </c>
      <c r="I691" s="20" t="str">
        <f aca="true">IF(B691="","",IF(ISNA(MATCH(B691,ListaInsumos,0)),"Insumo no está en Insumos",IF(OR(D691="",E691="",F691=""),"Faltan datos",IF(INDEX(UnidadesBase,MATCH(E691,Unidades,0))&lt;&gt;INDEX(InsBase,MATCH(B691,ListaInsumos,0)),"Unidad incompatible",IF(A691="","Falta fecha","OK")))))</f>
        <v/>
      </c>
      <c r="J691" s="15"/>
    </row>
    <row r="692" customFormat="false" ht="15" hidden="false" customHeight="false" outlineLevel="0" collapsed="false">
      <c r="A692" s="26"/>
      <c r="B692" s="15"/>
      <c r="C692" s="15"/>
      <c r="D692" s="27"/>
      <c r="E692" s="15"/>
      <c r="F692" s="28"/>
      <c r="G692" s="25" t="str">
        <f aca="true">IF(OR(D692="",E692=""),"",IFERROR(D692*INDEX(UnidadesFactor,MATCH(E692,Unidades,0)),""))</f>
        <v/>
      </c>
      <c r="H692" s="17" t="str">
        <f aca="false">IF(I692&lt;&gt;"OK","",IF(G692=0,"",F692/G692))</f>
        <v/>
      </c>
      <c r="I692" s="20" t="str">
        <f aca="true">IF(B692="","",IF(ISNA(MATCH(B692,ListaInsumos,0)),"Insumo no está en Insumos",IF(OR(D692="",E692="",F692=""),"Faltan datos",IF(INDEX(UnidadesBase,MATCH(E692,Unidades,0))&lt;&gt;INDEX(InsBase,MATCH(B692,ListaInsumos,0)),"Unidad incompatible",IF(A692="","Falta fecha","OK")))))</f>
        <v/>
      </c>
      <c r="J692" s="15"/>
    </row>
    <row r="693" customFormat="false" ht="15" hidden="false" customHeight="false" outlineLevel="0" collapsed="false">
      <c r="A693" s="26"/>
      <c r="B693" s="15"/>
      <c r="C693" s="15"/>
      <c r="D693" s="27"/>
      <c r="E693" s="15"/>
      <c r="F693" s="28"/>
      <c r="G693" s="25" t="str">
        <f aca="true">IF(OR(D693="",E693=""),"",IFERROR(D693*INDEX(UnidadesFactor,MATCH(E693,Unidades,0)),""))</f>
        <v/>
      </c>
      <c r="H693" s="17" t="str">
        <f aca="false">IF(I693&lt;&gt;"OK","",IF(G693=0,"",F693/G693))</f>
        <v/>
      </c>
      <c r="I693" s="20" t="str">
        <f aca="true">IF(B693="","",IF(ISNA(MATCH(B693,ListaInsumos,0)),"Insumo no está en Insumos",IF(OR(D693="",E693="",F693=""),"Faltan datos",IF(INDEX(UnidadesBase,MATCH(E693,Unidades,0))&lt;&gt;INDEX(InsBase,MATCH(B693,ListaInsumos,0)),"Unidad incompatible",IF(A693="","Falta fecha","OK")))))</f>
        <v/>
      </c>
      <c r="J693" s="15"/>
    </row>
    <row r="694" customFormat="false" ht="15" hidden="false" customHeight="false" outlineLevel="0" collapsed="false">
      <c r="A694" s="26"/>
      <c r="B694" s="15"/>
      <c r="C694" s="15"/>
      <c r="D694" s="27"/>
      <c r="E694" s="15"/>
      <c r="F694" s="28"/>
      <c r="G694" s="25" t="str">
        <f aca="true">IF(OR(D694="",E694=""),"",IFERROR(D694*INDEX(UnidadesFactor,MATCH(E694,Unidades,0)),""))</f>
        <v/>
      </c>
      <c r="H694" s="17" t="str">
        <f aca="false">IF(I694&lt;&gt;"OK","",IF(G694=0,"",F694/G694))</f>
        <v/>
      </c>
      <c r="I694" s="20" t="str">
        <f aca="true">IF(B694="","",IF(ISNA(MATCH(B694,ListaInsumos,0)),"Insumo no está en Insumos",IF(OR(D694="",E694="",F694=""),"Faltan datos",IF(INDEX(UnidadesBase,MATCH(E694,Unidades,0))&lt;&gt;INDEX(InsBase,MATCH(B694,ListaInsumos,0)),"Unidad incompatible",IF(A694="","Falta fecha","OK")))))</f>
        <v/>
      </c>
      <c r="J694" s="15"/>
    </row>
    <row r="695" customFormat="false" ht="15" hidden="false" customHeight="false" outlineLevel="0" collapsed="false">
      <c r="A695" s="26"/>
      <c r="B695" s="15"/>
      <c r="C695" s="15"/>
      <c r="D695" s="27"/>
      <c r="E695" s="15"/>
      <c r="F695" s="28"/>
      <c r="G695" s="25" t="str">
        <f aca="true">IF(OR(D695="",E695=""),"",IFERROR(D695*INDEX(UnidadesFactor,MATCH(E695,Unidades,0)),""))</f>
        <v/>
      </c>
      <c r="H695" s="17" t="str">
        <f aca="false">IF(I695&lt;&gt;"OK","",IF(G695=0,"",F695/G695))</f>
        <v/>
      </c>
      <c r="I695" s="20" t="str">
        <f aca="true">IF(B695="","",IF(ISNA(MATCH(B695,ListaInsumos,0)),"Insumo no está en Insumos",IF(OR(D695="",E695="",F695=""),"Faltan datos",IF(INDEX(UnidadesBase,MATCH(E695,Unidades,0))&lt;&gt;INDEX(InsBase,MATCH(B695,ListaInsumos,0)),"Unidad incompatible",IF(A695="","Falta fecha","OK")))))</f>
        <v/>
      </c>
      <c r="J695" s="15"/>
    </row>
    <row r="696" customFormat="false" ht="15" hidden="false" customHeight="false" outlineLevel="0" collapsed="false">
      <c r="A696" s="26"/>
      <c r="B696" s="15"/>
      <c r="C696" s="15"/>
      <c r="D696" s="27"/>
      <c r="E696" s="15"/>
      <c r="F696" s="28"/>
      <c r="G696" s="25" t="str">
        <f aca="true">IF(OR(D696="",E696=""),"",IFERROR(D696*INDEX(UnidadesFactor,MATCH(E696,Unidades,0)),""))</f>
        <v/>
      </c>
      <c r="H696" s="17" t="str">
        <f aca="false">IF(I696&lt;&gt;"OK","",IF(G696=0,"",F696/G696))</f>
        <v/>
      </c>
      <c r="I696" s="20" t="str">
        <f aca="true">IF(B696="","",IF(ISNA(MATCH(B696,ListaInsumos,0)),"Insumo no está en Insumos",IF(OR(D696="",E696="",F696=""),"Faltan datos",IF(INDEX(UnidadesBase,MATCH(E696,Unidades,0))&lt;&gt;INDEX(InsBase,MATCH(B696,ListaInsumos,0)),"Unidad incompatible",IF(A696="","Falta fecha","OK")))))</f>
        <v/>
      </c>
      <c r="J696" s="15"/>
    </row>
    <row r="697" customFormat="false" ht="15" hidden="false" customHeight="false" outlineLevel="0" collapsed="false">
      <c r="A697" s="26"/>
      <c r="B697" s="15"/>
      <c r="C697" s="15"/>
      <c r="D697" s="27"/>
      <c r="E697" s="15"/>
      <c r="F697" s="28"/>
      <c r="G697" s="25" t="str">
        <f aca="true">IF(OR(D697="",E697=""),"",IFERROR(D697*INDEX(UnidadesFactor,MATCH(E697,Unidades,0)),""))</f>
        <v/>
      </c>
      <c r="H697" s="17" t="str">
        <f aca="false">IF(I697&lt;&gt;"OK","",IF(G697=0,"",F697/G697))</f>
        <v/>
      </c>
      <c r="I697" s="20" t="str">
        <f aca="true">IF(B697="","",IF(ISNA(MATCH(B697,ListaInsumos,0)),"Insumo no está en Insumos",IF(OR(D697="",E697="",F697=""),"Faltan datos",IF(INDEX(UnidadesBase,MATCH(E697,Unidades,0))&lt;&gt;INDEX(InsBase,MATCH(B697,ListaInsumos,0)),"Unidad incompatible",IF(A697="","Falta fecha","OK")))))</f>
        <v/>
      </c>
      <c r="J697" s="15"/>
    </row>
    <row r="698" customFormat="false" ht="15" hidden="false" customHeight="false" outlineLevel="0" collapsed="false">
      <c r="A698" s="26"/>
      <c r="B698" s="15"/>
      <c r="C698" s="15"/>
      <c r="D698" s="27"/>
      <c r="E698" s="15"/>
      <c r="F698" s="28"/>
      <c r="G698" s="25" t="str">
        <f aca="true">IF(OR(D698="",E698=""),"",IFERROR(D698*INDEX(UnidadesFactor,MATCH(E698,Unidades,0)),""))</f>
        <v/>
      </c>
      <c r="H698" s="17" t="str">
        <f aca="false">IF(I698&lt;&gt;"OK","",IF(G698=0,"",F698/G698))</f>
        <v/>
      </c>
      <c r="I698" s="20" t="str">
        <f aca="true">IF(B698="","",IF(ISNA(MATCH(B698,ListaInsumos,0)),"Insumo no está en Insumos",IF(OR(D698="",E698="",F698=""),"Faltan datos",IF(INDEX(UnidadesBase,MATCH(E698,Unidades,0))&lt;&gt;INDEX(InsBase,MATCH(B698,ListaInsumos,0)),"Unidad incompatible",IF(A698="","Falta fecha","OK")))))</f>
        <v/>
      </c>
      <c r="J698" s="15"/>
    </row>
    <row r="699" customFormat="false" ht="15" hidden="false" customHeight="false" outlineLevel="0" collapsed="false">
      <c r="A699" s="26"/>
      <c r="B699" s="15"/>
      <c r="C699" s="15"/>
      <c r="D699" s="27"/>
      <c r="E699" s="15"/>
      <c r="F699" s="28"/>
      <c r="G699" s="25" t="str">
        <f aca="true">IF(OR(D699="",E699=""),"",IFERROR(D699*INDEX(UnidadesFactor,MATCH(E699,Unidades,0)),""))</f>
        <v/>
      </c>
      <c r="H699" s="17" t="str">
        <f aca="false">IF(I699&lt;&gt;"OK","",IF(G699=0,"",F699/G699))</f>
        <v/>
      </c>
      <c r="I699" s="20" t="str">
        <f aca="true">IF(B699="","",IF(ISNA(MATCH(B699,ListaInsumos,0)),"Insumo no está en Insumos",IF(OR(D699="",E699="",F699=""),"Faltan datos",IF(INDEX(UnidadesBase,MATCH(E699,Unidades,0))&lt;&gt;INDEX(InsBase,MATCH(B699,ListaInsumos,0)),"Unidad incompatible",IF(A699="","Falta fecha","OK")))))</f>
        <v/>
      </c>
      <c r="J699" s="15"/>
    </row>
    <row r="700" customFormat="false" ht="15" hidden="false" customHeight="false" outlineLevel="0" collapsed="false">
      <c r="A700" s="26"/>
      <c r="B700" s="15"/>
      <c r="C700" s="15"/>
      <c r="D700" s="27"/>
      <c r="E700" s="15"/>
      <c r="F700" s="28"/>
      <c r="G700" s="25" t="str">
        <f aca="true">IF(OR(D700="",E700=""),"",IFERROR(D700*INDEX(UnidadesFactor,MATCH(E700,Unidades,0)),""))</f>
        <v/>
      </c>
      <c r="H700" s="17" t="str">
        <f aca="false">IF(I700&lt;&gt;"OK","",IF(G700=0,"",F700/G700))</f>
        <v/>
      </c>
      <c r="I700" s="20" t="str">
        <f aca="true">IF(B700="","",IF(ISNA(MATCH(B700,ListaInsumos,0)),"Insumo no está en Insumos",IF(OR(D700="",E700="",F700=""),"Faltan datos",IF(INDEX(UnidadesBase,MATCH(E700,Unidades,0))&lt;&gt;INDEX(InsBase,MATCH(B700,ListaInsumos,0)),"Unidad incompatible",IF(A700="","Falta fecha","OK")))))</f>
        <v/>
      </c>
      <c r="J700" s="15"/>
    </row>
    <row r="701" customFormat="false" ht="15" hidden="false" customHeight="false" outlineLevel="0" collapsed="false">
      <c r="A701" s="26"/>
      <c r="B701" s="15"/>
      <c r="C701" s="15"/>
      <c r="D701" s="27"/>
      <c r="E701" s="15"/>
      <c r="F701" s="28"/>
      <c r="G701" s="25" t="str">
        <f aca="true">IF(OR(D701="",E701=""),"",IFERROR(D701*INDEX(UnidadesFactor,MATCH(E701,Unidades,0)),""))</f>
        <v/>
      </c>
      <c r="H701" s="17" t="str">
        <f aca="false">IF(I701&lt;&gt;"OK","",IF(G701=0,"",F701/G701))</f>
        <v/>
      </c>
      <c r="I701" s="20" t="str">
        <f aca="true">IF(B701="","",IF(ISNA(MATCH(B701,ListaInsumos,0)),"Insumo no está en Insumos",IF(OR(D701="",E701="",F701=""),"Faltan datos",IF(INDEX(UnidadesBase,MATCH(E701,Unidades,0))&lt;&gt;INDEX(InsBase,MATCH(B701,ListaInsumos,0)),"Unidad incompatible",IF(A701="","Falta fecha","OK")))))</f>
        <v/>
      </c>
      <c r="J701" s="15"/>
    </row>
    <row r="702" customFormat="false" ht="15" hidden="false" customHeight="false" outlineLevel="0" collapsed="false">
      <c r="A702" s="26"/>
      <c r="B702" s="15"/>
      <c r="C702" s="15"/>
      <c r="D702" s="27"/>
      <c r="E702" s="15"/>
      <c r="F702" s="28"/>
      <c r="G702" s="25" t="str">
        <f aca="true">IF(OR(D702="",E702=""),"",IFERROR(D702*INDEX(UnidadesFactor,MATCH(E702,Unidades,0)),""))</f>
        <v/>
      </c>
      <c r="H702" s="17" t="str">
        <f aca="false">IF(I702&lt;&gt;"OK","",IF(G702=0,"",F702/G702))</f>
        <v/>
      </c>
      <c r="I702" s="20" t="str">
        <f aca="true">IF(B702="","",IF(ISNA(MATCH(B702,ListaInsumos,0)),"Insumo no está en Insumos",IF(OR(D702="",E702="",F702=""),"Faltan datos",IF(INDEX(UnidadesBase,MATCH(E702,Unidades,0))&lt;&gt;INDEX(InsBase,MATCH(B702,ListaInsumos,0)),"Unidad incompatible",IF(A702="","Falta fecha","OK")))))</f>
        <v/>
      </c>
      <c r="J702" s="15"/>
    </row>
    <row r="703" customFormat="false" ht="15" hidden="false" customHeight="false" outlineLevel="0" collapsed="false">
      <c r="A703" s="26"/>
      <c r="B703" s="15"/>
      <c r="C703" s="15"/>
      <c r="D703" s="27"/>
      <c r="E703" s="15"/>
      <c r="F703" s="28"/>
      <c r="G703" s="25" t="str">
        <f aca="true">IF(OR(D703="",E703=""),"",IFERROR(D703*INDEX(UnidadesFactor,MATCH(E703,Unidades,0)),""))</f>
        <v/>
      </c>
      <c r="H703" s="17" t="str">
        <f aca="false">IF(I703&lt;&gt;"OK","",IF(G703=0,"",F703/G703))</f>
        <v/>
      </c>
      <c r="I703" s="20" t="str">
        <f aca="true">IF(B703="","",IF(ISNA(MATCH(B703,ListaInsumos,0)),"Insumo no está en Insumos",IF(OR(D703="",E703="",F703=""),"Faltan datos",IF(INDEX(UnidadesBase,MATCH(E703,Unidades,0))&lt;&gt;INDEX(InsBase,MATCH(B703,ListaInsumos,0)),"Unidad incompatible",IF(A703="","Falta fecha","OK")))))</f>
        <v/>
      </c>
      <c r="J703" s="15"/>
    </row>
    <row r="704" customFormat="false" ht="15" hidden="false" customHeight="false" outlineLevel="0" collapsed="false">
      <c r="A704" s="26"/>
      <c r="B704" s="15"/>
      <c r="C704" s="15"/>
      <c r="D704" s="27"/>
      <c r="E704" s="15"/>
      <c r="F704" s="28"/>
      <c r="G704" s="25" t="str">
        <f aca="true">IF(OR(D704="",E704=""),"",IFERROR(D704*INDEX(UnidadesFactor,MATCH(E704,Unidades,0)),""))</f>
        <v/>
      </c>
      <c r="H704" s="17" t="str">
        <f aca="false">IF(I704&lt;&gt;"OK","",IF(G704=0,"",F704/G704))</f>
        <v/>
      </c>
      <c r="I704" s="20" t="str">
        <f aca="true">IF(B704="","",IF(ISNA(MATCH(B704,ListaInsumos,0)),"Insumo no está en Insumos",IF(OR(D704="",E704="",F704=""),"Faltan datos",IF(INDEX(UnidadesBase,MATCH(E704,Unidades,0))&lt;&gt;INDEX(InsBase,MATCH(B704,ListaInsumos,0)),"Unidad incompatible",IF(A704="","Falta fecha","OK")))))</f>
        <v/>
      </c>
      <c r="J704" s="15"/>
    </row>
    <row r="705" customFormat="false" ht="15" hidden="false" customHeight="false" outlineLevel="0" collapsed="false">
      <c r="A705" s="26"/>
      <c r="B705" s="15"/>
      <c r="C705" s="15"/>
      <c r="D705" s="27"/>
      <c r="E705" s="15"/>
      <c r="F705" s="28"/>
      <c r="G705" s="25" t="str">
        <f aca="true">IF(OR(D705="",E705=""),"",IFERROR(D705*INDEX(UnidadesFactor,MATCH(E705,Unidades,0)),""))</f>
        <v/>
      </c>
      <c r="H705" s="17" t="str">
        <f aca="false">IF(I705&lt;&gt;"OK","",IF(G705=0,"",F705/G705))</f>
        <v/>
      </c>
      <c r="I705" s="20" t="str">
        <f aca="true">IF(B705="","",IF(ISNA(MATCH(B705,ListaInsumos,0)),"Insumo no está en Insumos",IF(OR(D705="",E705="",F705=""),"Faltan datos",IF(INDEX(UnidadesBase,MATCH(E705,Unidades,0))&lt;&gt;INDEX(InsBase,MATCH(B705,ListaInsumos,0)),"Unidad incompatible",IF(A705="","Falta fecha","OK")))))</f>
        <v/>
      </c>
      <c r="J705" s="15"/>
    </row>
    <row r="706" customFormat="false" ht="15" hidden="false" customHeight="false" outlineLevel="0" collapsed="false">
      <c r="A706" s="26"/>
      <c r="B706" s="15"/>
      <c r="C706" s="15"/>
      <c r="D706" s="27"/>
      <c r="E706" s="15"/>
      <c r="F706" s="28"/>
      <c r="G706" s="25" t="str">
        <f aca="true">IF(OR(D706="",E706=""),"",IFERROR(D706*INDEX(UnidadesFactor,MATCH(E706,Unidades,0)),""))</f>
        <v/>
      </c>
      <c r="H706" s="17" t="str">
        <f aca="false">IF(I706&lt;&gt;"OK","",IF(G706=0,"",F706/G706))</f>
        <v/>
      </c>
      <c r="I706" s="20" t="str">
        <f aca="true">IF(B706="","",IF(ISNA(MATCH(B706,ListaInsumos,0)),"Insumo no está en Insumos",IF(OR(D706="",E706="",F706=""),"Faltan datos",IF(INDEX(UnidadesBase,MATCH(E706,Unidades,0))&lt;&gt;INDEX(InsBase,MATCH(B706,ListaInsumos,0)),"Unidad incompatible",IF(A706="","Falta fecha","OK")))))</f>
        <v/>
      </c>
      <c r="J706" s="15"/>
    </row>
    <row r="707" customFormat="false" ht="15" hidden="false" customHeight="false" outlineLevel="0" collapsed="false">
      <c r="A707" s="26"/>
      <c r="B707" s="15"/>
      <c r="C707" s="15"/>
      <c r="D707" s="27"/>
      <c r="E707" s="15"/>
      <c r="F707" s="28"/>
      <c r="G707" s="25" t="str">
        <f aca="true">IF(OR(D707="",E707=""),"",IFERROR(D707*INDEX(UnidadesFactor,MATCH(E707,Unidades,0)),""))</f>
        <v/>
      </c>
      <c r="H707" s="17" t="str">
        <f aca="false">IF(I707&lt;&gt;"OK","",IF(G707=0,"",F707/G707))</f>
        <v/>
      </c>
      <c r="I707" s="20" t="str">
        <f aca="true">IF(B707="","",IF(ISNA(MATCH(B707,ListaInsumos,0)),"Insumo no está en Insumos",IF(OR(D707="",E707="",F707=""),"Faltan datos",IF(INDEX(UnidadesBase,MATCH(E707,Unidades,0))&lt;&gt;INDEX(InsBase,MATCH(B707,ListaInsumos,0)),"Unidad incompatible",IF(A707="","Falta fecha","OK")))))</f>
        <v/>
      </c>
      <c r="J707" s="15"/>
    </row>
    <row r="708" customFormat="false" ht="15" hidden="false" customHeight="false" outlineLevel="0" collapsed="false">
      <c r="A708" s="26"/>
      <c r="B708" s="15"/>
      <c r="C708" s="15"/>
      <c r="D708" s="27"/>
      <c r="E708" s="15"/>
      <c r="F708" s="28"/>
      <c r="G708" s="25" t="str">
        <f aca="true">IF(OR(D708="",E708=""),"",IFERROR(D708*INDEX(UnidadesFactor,MATCH(E708,Unidades,0)),""))</f>
        <v/>
      </c>
      <c r="H708" s="17" t="str">
        <f aca="false">IF(I708&lt;&gt;"OK","",IF(G708=0,"",F708/G708))</f>
        <v/>
      </c>
      <c r="I708" s="20" t="str">
        <f aca="true">IF(B708="","",IF(ISNA(MATCH(B708,ListaInsumos,0)),"Insumo no está en Insumos",IF(OR(D708="",E708="",F708=""),"Faltan datos",IF(INDEX(UnidadesBase,MATCH(E708,Unidades,0))&lt;&gt;INDEX(InsBase,MATCH(B708,ListaInsumos,0)),"Unidad incompatible",IF(A708="","Falta fecha","OK")))))</f>
        <v/>
      </c>
      <c r="J708" s="15"/>
    </row>
    <row r="709" customFormat="false" ht="15" hidden="false" customHeight="false" outlineLevel="0" collapsed="false">
      <c r="A709" s="26"/>
      <c r="B709" s="15"/>
      <c r="C709" s="15"/>
      <c r="D709" s="27"/>
      <c r="E709" s="15"/>
      <c r="F709" s="28"/>
      <c r="G709" s="25" t="str">
        <f aca="true">IF(OR(D709="",E709=""),"",IFERROR(D709*INDEX(UnidadesFactor,MATCH(E709,Unidades,0)),""))</f>
        <v/>
      </c>
      <c r="H709" s="17" t="str">
        <f aca="false">IF(I709&lt;&gt;"OK","",IF(G709=0,"",F709/G709))</f>
        <v/>
      </c>
      <c r="I709" s="20" t="str">
        <f aca="true">IF(B709="","",IF(ISNA(MATCH(B709,ListaInsumos,0)),"Insumo no está en Insumos",IF(OR(D709="",E709="",F709=""),"Faltan datos",IF(INDEX(UnidadesBase,MATCH(E709,Unidades,0))&lt;&gt;INDEX(InsBase,MATCH(B709,ListaInsumos,0)),"Unidad incompatible",IF(A709="","Falta fecha","OK")))))</f>
        <v/>
      </c>
      <c r="J709" s="15"/>
    </row>
    <row r="710" customFormat="false" ht="15" hidden="false" customHeight="false" outlineLevel="0" collapsed="false">
      <c r="A710" s="26"/>
      <c r="B710" s="15"/>
      <c r="C710" s="15"/>
      <c r="D710" s="27"/>
      <c r="E710" s="15"/>
      <c r="F710" s="28"/>
      <c r="G710" s="25" t="str">
        <f aca="true">IF(OR(D710="",E710=""),"",IFERROR(D710*INDEX(UnidadesFactor,MATCH(E710,Unidades,0)),""))</f>
        <v/>
      </c>
      <c r="H710" s="17" t="str">
        <f aca="false">IF(I710&lt;&gt;"OK","",IF(G710=0,"",F710/G710))</f>
        <v/>
      </c>
      <c r="I710" s="20" t="str">
        <f aca="true">IF(B710="","",IF(ISNA(MATCH(B710,ListaInsumos,0)),"Insumo no está en Insumos",IF(OR(D710="",E710="",F710=""),"Faltan datos",IF(INDEX(UnidadesBase,MATCH(E710,Unidades,0))&lt;&gt;INDEX(InsBase,MATCH(B710,ListaInsumos,0)),"Unidad incompatible",IF(A710="","Falta fecha","OK")))))</f>
        <v/>
      </c>
      <c r="J710" s="15"/>
    </row>
    <row r="711" customFormat="false" ht="15" hidden="false" customHeight="false" outlineLevel="0" collapsed="false">
      <c r="A711" s="26"/>
      <c r="B711" s="15"/>
      <c r="C711" s="15"/>
      <c r="D711" s="27"/>
      <c r="E711" s="15"/>
      <c r="F711" s="28"/>
      <c r="G711" s="25" t="str">
        <f aca="true">IF(OR(D711="",E711=""),"",IFERROR(D711*INDEX(UnidadesFactor,MATCH(E711,Unidades,0)),""))</f>
        <v/>
      </c>
      <c r="H711" s="17" t="str">
        <f aca="false">IF(I711&lt;&gt;"OK","",IF(G711=0,"",F711/G711))</f>
        <v/>
      </c>
      <c r="I711" s="20" t="str">
        <f aca="true">IF(B711="","",IF(ISNA(MATCH(B711,ListaInsumos,0)),"Insumo no está en Insumos",IF(OR(D711="",E711="",F711=""),"Faltan datos",IF(INDEX(UnidadesBase,MATCH(E711,Unidades,0))&lt;&gt;INDEX(InsBase,MATCH(B711,ListaInsumos,0)),"Unidad incompatible",IF(A711="","Falta fecha","OK")))))</f>
        <v/>
      </c>
      <c r="J711" s="15"/>
    </row>
    <row r="712" customFormat="false" ht="15" hidden="false" customHeight="false" outlineLevel="0" collapsed="false">
      <c r="A712" s="26"/>
      <c r="B712" s="15"/>
      <c r="C712" s="15"/>
      <c r="D712" s="27"/>
      <c r="E712" s="15"/>
      <c r="F712" s="28"/>
      <c r="G712" s="25" t="str">
        <f aca="true">IF(OR(D712="",E712=""),"",IFERROR(D712*INDEX(UnidadesFactor,MATCH(E712,Unidades,0)),""))</f>
        <v/>
      </c>
      <c r="H712" s="17" t="str">
        <f aca="false">IF(I712&lt;&gt;"OK","",IF(G712=0,"",F712/G712))</f>
        <v/>
      </c>
      <c r="I712" s="20" t="str">
        <f aca="true">IF(B712="","",IF(ISNA(MATCH(B712,ListaInsumos,0)),"Insumo no está en Insumos",IF(OR(D712="",E712="",F712=""),"Faltan datos",IF(INDEX(UnidadesBase,MATCH(E712,Unidades,0))&lt;&gt;INDEX(InsBase,MATCH(B712,ListaInsumos,0)),"Unidad incompatible",IF(A712="","Falta fecha","OK")))))</f>
        <v/>
      </c>
      <c r="J712" s="15"/>
    </row>
    <row r="713" customFormat="false" ht="15" hidden="false" customHeight="false" outlineLevel="0" collapsed="false">
      <c r="A713" s="26"/>
      <c r="B713" s="15"/>
      <c r="C713" s="15"/>
      <c r="D713" s="27"/>
      <c r="E713" s="15"/>
      <c r="F713" s="28"/>
      <c r="G713" s="25" t="str">
        <f aca="true">IF(OR(D713="",E713=""),"",IFERROR(D713*INDEX(UnidadesFactor,MATCH(E713,Unidades,0)),""))</f>
        <v/>
      </c>
      <c r="H713" s="17" t="str">
        <f aca="false">IF(I713&lt;&gt;"OK","",IF(G713=0,"",F713/G713))</f>
        <v/>
      </c>
      <c r="I713" s="20" t="str">
        <f aca="true">IF(B713="","",IF(ISNA(MATCH(B713,ListaInsumos,0)),"Insumo no está en Insumos",IF(OR(D713="",E713="",F713=""),"Faltan datos",IF(INDEX(UnidadesBase,MATCH(E713,Unidades,0))&lt;&gt;INDEX(InsBase,MATCH(B713,ListaInsumos,0)),"Unidad incompatible",IF(A713="","Falta fecha","OK")))))</f>
        <v/>
      </c>
      <c r="J713" s="15"/>
    </row>
    <row r="714" customFormat="false" ht="15" hidden="false" customHeight="false" outlineLevel="0" collapsed="false">
      <c r="A714" s="26"/>
      <c r="B714" s="15"/>
      <c r="C714" s="15"/>
      <c r="D714" s="27"/>
      <c r="E714" s="15"/>
      <c r="F714" s="28"/>
      <c r="G714" s="25" t="str">
        <f aca="true">IF(OR(D714="",E714=""),"",IFERROR(D714*INDEX(UnidadesFactor,MATCH(E714,Unidades,0)),""))</f>
        <v/>
      </c>
      <c r="H714" s="17" t="str">
        <f aca="false">IF(I714&lt;&gt;"OK","",IF(G714=0,"",F714/G714))</f>
        <v/>
      </c>
      <c r="I714" s="20" t="str">
        <f aca="true">IF(B714="","",IF(ISNA(MATCH(B714,ListaInsumos,0)),"Insumo no está en Insumos",IF(OR(D714="",E714="",F714=""),"Faltan datos",IF(INDEX(UnidadesBase,MATCH(E714,Unidades,0))&lt;&gt;INDEX(InsBase,MATCH(B714,ListaInsumos,0)),"Unidad incompatible",IF(A714="","Falta fecha","OK")))))</f>
        <v/>
      </c>
      <c r="J714" s="15"/>
    </row>
    <row r="715" customFormat="false" ht="15" hidden="false" customHeight="false" outlineLevel="0" collapsed="false">
      <c r="A715" s="26"/>
      <c r="B715" s="15"/>
      <c r="C715" s="15"/>
      <c r="D715" s="27"/>
      <c r="E715" s="15"/>
      <c r="F715" s="28"/>
      <c r="G715" s="25" t="str">
        <f aca="true">IF(OR(D715="",E715=""),"",IFERROR(D715*INDEX(UnidadesFactor,MATCH(E715,Unidades,0)),""))</f>
        <v/>
      </c>
      <c r="H715" s="17" t="str">
        <f aca="false">IF(I715&lt;&gt;"OK","",IF(G715=0,"",F715/G715))</f>
        <v/>
      </c>
      <c r="I715" s="20" t="str">
        <f aca="true">IF(B715="","",IF(ISNA(MATCH(B715,ListaInsumos,0)),"Insumo no está en Insumos",IF(OR(D715="",E715="",F715=""),"Faltan datos",IF(INDEX(UnidadesBase,MATCH(E715,Unidades,0))&lt;&gt;INDEX(InsBase,MATCH(B715,ListaInsumos,0)),"Unidad incompatible",IF(A715="","Falta fecha","OK")))))</f>
        <v/>
      </c>
      <c r="J715" s="15"/>
    </row>
    <row r="716" customFormat="false" ht="15" hidden="false" customHeight="false" outlineLevel="0" collapsed="false">
      <c r="A716" s="26"/>
      <c r="B716" s="15"/>
      <c r="C716" s="15"/>
      <c r="D716" s="27"/>
      <c r="E716" s="15"/>
      <c r="F716" s="28"/>
      <c r="G716" s="25" t="str">
        <f aca="true">IF(OR(D716="",E716=""),"",IFERROR(D716*INDEX(UnidadesFactor,MATCH(E716,Unidades,0)),""))</f>
        <v/>
      </c>
      <c r="H716" s="17" t="str">
        <f aca="false">IF(I716&lt;&gt;"OK","",IF(G716=0,"",F716/G716))</f>
        <v/>
      </c>
      <c r="I716" s="20" t="str">
        <f aca="true">IF(B716="","",IF(ISNA(MATCH(B716,ListaInsumos,0)),"Insumo no está en Insumos",IF(OR(D716="",E716="",F716=""),"Faltan datos",IF(INDEX(UnidadesBase,MATCH(E716,Unidades,0))&lt;&gt;INDEX(InsBase,MATCH(B716,ListaInsumos,0)),"Unidad incompatible",IF(A716="","Falta fecha","OK")))))</f>
        <v/>
      </c>
      <c r="J716" s="15"/>
    </row>
    <row r="717" customFormat="false" ht="15" hidden="false" customHeight="false" outlineLevel="0" collapsed="false">
      <c r="A717" s="26"/>
      <c r="B717" s="15"/>
      <c r="C717" s="15"/>
      <c r="D717" s="27"/>
      <c r="E717" s="15"/>
      <c r="F717" s="28"/>
      <c r="G717" s="25" t="str">
        <f aca="true">IF(OR(D717="",E717=""),"",IFERROR(D717*INDEX(UnidadesFactor,MATCH(E717,Unidades,0)),""))</f>
        <v/>
      </c>
      <c r="H717" s="17" t="str">
        <f aca="false">IF(I717&lt;&gt;"OK","",IF(G717=0,"",F717/G717))</f>
        <v/>
      </c>
      <c r="I717" s="20" t="str">
        <f aca="true">IF(B717="","",IF(ISNA(MATCH(B717,ListaInsumos,0)),"Insumo no está en Insumos",IF(OR(D717="",E717="",F717=""),"Faltan datos",IF(INDEX(UnidadesBase,MATCH(E717,Unidades,0))&lt;&gt;INDEX(InsBase,MATCH(B717,ListaInsumos,0)),"Unidad incompatible",IF(A717="","Falta fecha","OK")))))</f>
        <v/>
      </c>
      <c r="J717" s="15"/>
    </row>
    <row r="718" customFormat="false" ht="15" hidden="false" customHeight="false" outlineLevel="0" collapsed="false">
      <c r="A718" s="26"/>
      <c r="B718" s="15"/>
      <c r="C718" s="15"/>
      <c r="D718" s="27"/>
      <c r="E718" s="15"/>
      <c r="F718" s="28"/>
      <c r="G718" s="25" t="str">
        <f aca="true">IF(OR(D718="",E718=""),"",IFERROR(D718*INDEX(UnidadesFactor,MATCH(E718,Unidades,0)),""))</f>
        <v/>
      </c>
      <c r="H718" s="17" t="str">
        <f aca="false">IF(I718&lt;&gt;"OK","",IF(G718=0,"",F718/G718))</f>
        <v/>
      </c>
      <c r="I718" s="20" t="str">
        <f aca="true">IF(B718="","",IF(ISNA(MATCH(B718,ListaInsumos,0)),"Insumo no está en Insumos",IF(OR(D718="",E718="",F718=""),"Faltan datos",IF(INDEX(UnidadesBase,MATCH(E718,Unidades,0))&lt;&gt;INDEX(InsBase,MATCH(B718,ListaInsumos,0)),"Unidad incompatible",IF(A718="","Falta fecha","OK")))))</f>
        <v/>
      </c>
      <c r="J718" s="15"/>
    </row>
    <row r="719" customFormat="false" ht="15" hidden="false" customHeight="false" outlineLevel="0" collapsed="false">
      <c r="A719" s="26"/>
      <c r="B719" s="15"/>
      <c r="C719" s="15"/>
      <c r="D719" s="27"/>
      <c r="E719" s="15"/>
      <c r="F719" s="28"/>
      <c r="G719" s="25" t="str">
        <f aca="true">IF(OR(D719="",E719=""),"",IFERROR(D719*INDEX(UnidadesFactor,MATCH(E719,Unidades,0)),""))</f>
        <v/>
      </c>
      <c r="H719" s="17" t="str">
        <f aca="false">IF(I719&lt;&gt;"OK","",IF(G719=0,"",F719/G719))</f>
        <v/>
      </c>
      <c r="I719" s="20" t="str">
        <f aca="true">IF(B719="","",IF(ISNA(MATCH(B719,ListaInsumos,0)),"Insumo no está en Insumos",IF(OR(D719="",E719="",F719=""),"Faltan datos",IF(INDEX(UnidadesBase,MATCH(E719,Unidades,0))&lt;&gt;INDEX(InsBase,MATCH(B719,ListaInsumos,0)),"Unidad incompatible",IF(A719="","Falta fecha","OK")))))</f>
        <v/>
      </c>
      <c r="J719" s="15"/>
    </row>
    <row r="720" customFormat="false" ht="15" hidden="false" customHeight="false" outlineLevel="0" collapsed="false">
      <c r="A720" s="26"/>
      <c r="B720" s="15"/>
      <c r="C720" s="15"/>
      <c r="D720" s="27"/>
      <c r="E720" s="15"/>
      <c r="F720" s="28"/>
      <c r="G720" s="25" t="str">
        <f aca="true">IF(OR(D720="",E720=""),"",IFERROR(D720*INDEX(UnidadesFactor,MATCH(E720,Unidades,0)),""))</f>
        <v/>
      </c>
      <c r="H720" s="17" t="str">
        <f aca="false">IF(I720&lt;&gt;"OK","",IF(G720=0,"",F720/G720))</f>
        <v/>
      </c>
      <c r="I720" s="20" t="str">
        <f aca="true">IF(B720="","",IF(ISNA(MATCH(B720,ListaInsumos,0)),"Insumo no está en Insumos",IF(OR(D720="",E720="",F720=""),"Faltan datos",IF(INDEX(UnidadesBase,MATCH(E720,Unidades,0))&lt;&gt;INDEX(InsBase,MATCH(B720,ListaInsumos,0)),"Unidad incompatible",IF(A720="","Falta fecha","OK")))))</f>
        <v/>
      </c>
      <c r="J720" s="15"/>
    </row>
    <row r="721" customFormat="false" ht="15" hidden="false" customHeight="false" outlineLevel="0" collapsed="false">
      <c r="A721" s="26"/>
      <c r="B721" s="15"/>
      <c r="C721" s="15"/>
      <c r="D721" s="27"/>
      <c r="E721" s="15"/>
      <c r="F721" s="28"/>
      <c r="G721" s="25" t="str">
        <f aca="true">IF(OR(D721="",E721=""),"",IFERROR(D721*INDEX(UnidadesFactor,MATCH(E721,Unidades,0)),""))</f>
        <v/>
      </c>
      <c r="H721" s="17" t="str">
        <f aca="false">IF(I721&lt;&gt;"OK","",IF(G721=0,"",F721/G721))</f>
        <v/>
      </c>
      <c r="I721" s="20" t="str">
        <f aca="true">IF(B721="","",IF(ISNA(MATCH(B721,ListaInsumos,0)),"Insumo no está en Insumos",IF(OR(D721="",E721="",F721=""),"Faltan datos",IF(INDEX(UnidadesBase,MATCH(E721,Unidades,0))&lt;&gt;INDEX(InsBase,MATCH(B721,ListaInsumos,0)),"Unidad incompatible",IF(A721="","Falta fecha","OK")))))</f>
        <v/>
      </c>
      <c r="J721" s="15"/>
    </row>
    <row r="722" customFormat="false" ht="15" hidden="false" customHeight="false" outlineLevel="0" collapsed="false">
      <c r="A722" s="26"/>
      <c r="B722" s="15"/>
      <c r="C722" s="15"/>
      <c r="D722" s="27"/>
      <c r="E722" s="15"/>
      <c r="F722" s="28"/>
      <c r="G722" s="25" t="str">
        <f aca="true">IF(OR(D722="",E722=""),"",IFERROR(D722*INDEX(UnidadesFactor,MATCH(E722,Unidades,0)),""))</f>
        <v/>
      </c>
      <c r="H722" s="17" t="str">
        <f aca="false">IF(I722&lt;&gt;"OK","",IF(G722=0,"",F722/G722))</f>
        <v/>
      </c>
      <c r="I722" s="20" t="str">
        <f aca="true">IF(B722="","",IF(ISNA(MATCH(B722,ListaInsumos,0)),"Insumo no está en Insumos",IF(OR(D722="",E722="",F722=""),"Faltan datos",IF(INDEX(UnidadesBase,MATCH(E722,Unidades,0))&lt;&gt;INDEX(InsBase,MATCH(B722,ListaInsumos,0)),"Unidad incompatible",IF(A722="","Falta fecha","OK")))))</f>
        <v/>
      </c>
      <c r="J722" s="15"/>
    </row>
    <row r="723" customFormat="false" ht="15" hidden="false" customHeight="false" outlineLevel="0" collapsed="false">
      <c r="A723" s="26"/>
      <c r="B723" s="15"/>
      <c r="C723" s="15"/>
      <c r="D723" s="27"/>
      <c r="E723" s="15"/>
      <c r="F723" s="28"/>
      <c r="G723" s="25" t="str">
        <f aca="true">IF(OR(D723="",E723=""),"",IFERROR(D723*INDEX(UnidadesFactor,MATCH(E723,Unidades,0)),""))</f>
        <v/>
      </c>
      <c r="H723" s="17" t="str">
        <f aca="false">IF(I723&lt;&gt;"OK","",IF(G723=0,"",F723/G723))</f>
        <v/>
      </c>
      <c r="I723" s="20" t="str">
        <f aca="true">IF(B723="","",IF(ISNA(MATCH(B723,ListaInsumos,0)),"Insumo no está en Insumos",IF(OR(D723="",E723="",F723=""),"Faltan datos",IF(INDEX(UnidadesBase,MATCH(E723,Unidades,0))&lt;&gt;INDEX(InsBase,MATCH(B723,ListaInsumos,0)),"Unidad incompatible",IF(A723="","Falta fecha","OK")))))</f>
        <v/>
      </c>
      <c r="J723" s="15"/>
    </row>
    <row r="724" customFormat="false" ht="15" hidden="false" customHeight="false" outlineLevel="0" collapsed="false">
      <c r="A724" s="26"/>
      <c r="B724" s="15"/>
      <c r="C724" s="15"/>
      <c r="D724" s="27"/>
      <c r="E724" s="15"/>
      <c r="F724" s="28"/>
      <c r="G724" s="25" t="str">
        <f aca="true">IF(OR(D724="",E724=""),"",IFERROR(D724*INDEX(UnidadesFactor,MATCH(E724,Unidades,0)),""))</f>
        <v/>
      </c>
      <c r="H724" s="17" t="str">
        <f aca="false">IF(I724&lt;&gt;"OK","",IF(G724=0,"",F724/G724))</f>
        <v/>
      </c>
      <c r="I724" s="20" t="str">
        <f aca="true">IF(B724="","",IF(ISNA(MATCH(B724,ListaInsumos,0)),"Insumo no está en Insumos",IF(OR(D724="",E724="",F724=""),"Faltan datos",IF(INDEX(UnidadesBase,MATCH(E724,Unidades,0))&lt;&gt;INDEX(InsBase,MATCH(B724,ListaInsumos,0)),"Unidad incompatible",IF(A724="","Falta fecha","OK")))))</f>
        <v/>
      </c>
      <c r="J724" s="15"/>
    </row>
    <row r="725" customFormat="false" ht="15" hidden="false" customHeight="false" outlineLevel="0" collapsed="false">
      <c r="A725" s="26"/>
      <c r="B725" s="15"/>
      <c r="C725" s="15"/>
      <c r="D725" s="27"/>
      <c r="E725" s="15"/>
      <c r="F725" s="28"/>
      <c r="G725" s="25" t="str">
        <f aca="true">IF(OR(D725="",E725=""),"",IFERROR(D725*INDEX(UnidadesFactor,MATCH(E725,Unidades,0)),""))</f>
        <v/>
      </c>
      <c r="H725" s="17" t="str">
        <f aca="false">IF(I725&lt;&gt;"OK","",IF(G725=0,"",F725/G725))</f>
        <v/>
      </c>
      <c r="I725" s="20" t="str">
        <f aca="true">IF(B725="","",IF(ISNA(MATCH(B725,ListaInsumos,0)),"Insumo no está en Insumos",IF(OR(D725="",E725="",F725=""),"Faltan datos",IF(INDEX(UnidadesBase,MATCH(E725,Unidades,0))&lt;&gt;INDEX(InsBase,MATCH(B725,ListaInsumos,0)),"Unidad incompatible",IF(A725="","Falta fecha","OK")))))</f>
        <v/>
      </c>
      <c r="J725" s="15"/>
    </row>
    <row r="726" customFormat="false" ht="15" hidden="false" customHeight="false" outlineLevel="0" collapsed="false">
      <c r="A726" s="26"/>
      <c r="B726" s="15"/>
      <c r="C726" s="15"/>
      <c r="D726" s="27"/>
      <c r="E726" s="15"/>
      <c r="F726" s="28"/>
      <c r="G726" s="25" t="str">
        <f aca="true">IF(OR(D726="",E726=""),"",IFERROR(D726*INDEX(UnidadesFactor,MATCH(E726,Unidades,0)),""))</f>
        <v/>
      </c>
      <c r="H726" s="17" t="str">
        <f aca="false">IF(I726&lt;&gt;"OK","",IF(G726=0,"",F726/G726))</f>
        <v/>
      </c>
      <c r="I726" s="20" t="str">
        <f aca="true">IF(B726="","",IF(ISNA(MATCH(B726,ListaInsumos,0)),"Insumo no está en Insumos",IF(OR(D726="",E726="",F726=""),"Faltan datos",IF(INDEX(UnidadesBase,MATCH(E726,Unidades,0))&lt;&gt;INDEX(InsBase,MATCH(B726,ListaInsumos,0)),"Unidad incompatible",IF(A726="","Falta fecha","OK")))))</f>
        <v/>
      </c>
      <c r="J726" s="15"/>
    </row>
    <row r="727" customFormat="false" ht="15" hidden="false" customHeight="false" outlineLevel="0" collapsed="false">
      <c r="A727" s="26"/>
      <c r="B727" s="15"/>
      <c r="C727" s="15"/>
      <c r="D727" s="27"/>
      <c r="E727" s="15"/>
      <c r="F727" s="28"/>
      <c r="G727" s="25" t="str">
        <f aca="true">IF(OR(D727="",E727=""),"",IFERROR(D727*INDEX(UnidadesFactor,MATCH(E727,Unidades,0)),""))</f>
        <v/>
      </c>
      <c r="H727" s="17" t="str">
        <f aca="false">IF(I727&lt;&gt;"OK","",IF(G727=0,"",F727/G727))</f>
        <v/>
      </c>
      <c r="I727" s="20" t="str">
        <f aca="true">IF(B727="","",IF(ISNA(MATCH(B727,ListaInsumos,0)),"Insumo no está en Insumos",IF(OR(D727="",E727="",F727=""),"Faltan datos",IF(INDEX(UnidadesBase,MATCH(E727,Unidades,0))&lt;&gt;INDEX(InsBase,MATCH(B727,ListaInsumos,0)),"Unidad incompatible",IF(A727="","Falta fecha","OK")))))</f>
        <v/>
      </c>
      <c r="J727" s="15"/>
    </row>
    <row r="728" customFormat="false" ht="15" hidden="false" customHeight="false" outlineLevel="0" collapsed="false">
      <c r="A728" s="26"/>
      <c r="B728" s="15"/>
      <c r="C728" s="15"/>
      <c r="D728" s="27"/>
      <c r="E728" s="15"/>
      <c r="F728" s="28"/>
      <c r="G728" s="25" t="str">
        <f aca="true">IF(OR(D728="",E728=""),"",IFERROR(D728*INDEX(UnidadesFactor,MATCH(E728,Unidades,0)),""))</f>
        <v/>
      </c>
      <c r="H728" s="17" t="str">
        <f aca="false">IF(I728&lt;&gt;"OK","",IF(G728=0,"",F728/G728))</f>
        <v/>
      </c>
      <c r="I728" s="20" t="str">
        <f aca="true">IF(B728="","",IF(ISNA(MATCH(B728,ListaInsumos,0)),"Insumo no está en Insumos",IF(OR(D728="",E728="",F728=""),"Faltan datos",IF(INDEX(UnidadesBase,MATCH(E728,Unidades,0))&lt;&gt;INDEX(InsBase,MATCH(B728,ListaInsumos,0)),"Unidad incompatible",IF(A728="","Falta fecha","OK")))))</f>
        <v/>
      </c>
      <c r="J728" s="15"/>
    </row>
    <row r="729" customFormat="false" ht="15" hidden="false" customHeight="false" outlineLevel="0" collapsed="false">
      <c r="A729" s="26"/>
      <c r="B729" s="15"/>
      <c r="C729" s="15"/>
      <c r="D729" s="27"/>
      <c r="E729" s="15"/>
      <c r="F729" s="28"/>
      <c r="G729" s="25" t="str">
        <f aca="true">IF(OR(D729="",E729=""),"",IFERROR(D729*INDEX(UnidadesFactor,MATCH(E729,Unidades,0)),""))</f>
        <v/>
      </c>
      <c r="H729" s="17" t="str">
        <f aca="false">IF(I729&lt;&gt;"OK","",IF(G729=0,"",F729/G729))</f>
        <v/>
      </c>
      <c r="I729" s="20" t="str">
        <f aca="true">IF(B729="","",IF(ISNA(MATCH(B729,ListaInsumos,0)),"Insumo no está en Insumos",IF(OR(D729="",E729="",F729=""),"Faltan datos",IF(INDEX(UnidadesBase,MATCH(E729,Unidades,0))&lt;&gt;INDEX(InsBase,MATCH(B729,ListaInsumos,0)),"Unidad incompatible",IF(A729="","Falta fecha","OK")))))</f>
        <v/>
      </c>
      <c r="J729" s="15"/>
    </row>
    <row r="730" customFormat="false" ht="15" hidden="false" customHeight="false" outlineLevel="0" collapsed="false">
      <c r="A730" s="26"/>
      <c r="B730" s="15"/>
      <c r="C730" s="15"/>
      <c r="D730" s="27"/>
      <c r="E730" s="15"/>
      <c r="F730" s="28"/>
      <c r="G730" s="25" t="str">
        <f aca="true">IF(OR(D730="",E730=""),"",IFERROR(D730*INDEX(UnidadesFactor,MATCH(E730,Unidades,0)),""))</f>
        <v/>
      </c>
      <c r="H730" s="17" t="str">
        <f aca="false">IF(I730&lt;&gt;"OK","",IF(G730=0,"",F730/G730))</f>
        <v/>
      </c>
      <c r="I730" s="20" t="str">
        <f aca="true">IF(B730="","",IF(ISNA(MATCH(B730,ListaInsumos,0)),"Insumo no está en Insumos",IF(OR(D730="",E730="",F730=""),"Faltan datos",IF(INDEX(UnidadesBase,MATCH(E730,Unidades,0))&lt;&gt;INDEX(InsBase,MATCH(B730,ListaInsumos,0)),"Unidad incompatible",IF(A730="","Falta fecha","OK")))))</f>
        <v/>
      </c>
      <c r="J730" s="15"/>
    </row>
    <row r="731" customFormat="false" ht="15" hidden="false" customHeight="false" outlineLevel="0" collapsed="false">
      <c r="A731" s="26"/>
      <c r="B731" s="15"/>
      <c r="C731" s="15"/>
      <c r="D731" s="27"/>
      <c r="E731" s="15"/>
      <c r="F731" s="28"/>
      <c r="G731" s="25" t="str">
        <f aca="true">IF(OR(D731="",E731=""),"",IFERROR(D731*INDEX(UnidadesFactor,MATCH(E731,Unidades,0)),""))</f>
        <v/>
      </c>
      <c r="H731" s="17" t="str">
        <f aca="false">IF(I731&lt;&gt;"OK","",IF(G731=0,"",F731/G731))</f>
        <v/>
      </c>
      <c r="I731" s="20" t="str">
        <f aca="true">IF(B731="","",IF(ISNA(MATCH(B731,ListaInsumos,0)),"Insumo no está en Insumos",IF(OR(D731="",E731="",F731=""),"Faltan datos",IF(INDEX(UnidadesBase,MATCH(E731,Unidades,0))&lt;&gt;INDEX(InsBase,MATCH(B731,ListaInsumos,0)),"Unidad incompatible",IF(A731="","Falta fecha","OK")))))</f>
        <v/>
      </c>
      <c r="J731" s="15"/>
    </row>
    <row r="732" customFormat="false" ht="15" hidden="false" customHeight="false" outlineLevel="0" collapsed="false">
      <c r="A732" s="26"/>
      <c r="B732" s="15"/>
      <c r="C732" s="15"/>
      <c r="D732" s="27"/>
      <c r="E732" s="15"/>
      <c r="F732" s="28"/>
      <c r="G732" s="25" t="str">
        <f aca="true">IF(OR(D732="",E732=""),"",IFERROR(D732*INDEX(UnidadesFactor,MATCH(E732,Unidades,0)),""))</f>
        <v/>
      </c>
      <c r="H732" s="17" t="str">
        <f aca="false">IF(I732&lt;&gt;"OK","",IF(G732=0,"",F732/G732))</f>
        <v/>
      </c>
      <c r="I732" s="20" t="str">
        <f aca="true">IF(B732="","",IF(ISNA(MATCH(B732,ListaInsumos,0)),"Insumo no está en Insumos",IF(OR(D732="",E732="",F732=""),"Faltan datos",IF(INDEX(UnidadesBase,MATCH(E732,Unidades,0))&lt;&gt;INDEX(InsBase,MATCH(B732,ListaInsumos,0)),"Unidad incompatible",IF(A732="","Falta fecha","OK")))))</f>
        <v/>
      </c>
      <c r="J732" s="15"/>
    </row>
    <row r="733" customFormat="false" ht="15" hidden="false" customHeight="false" outlineLevel="0" collapsed="false">
      <c r="A733" s="26"/>
      <c r="B733" s="15"/>
      <c r="C733" s="15"/>
      <c r="D733" s="27"/>
      <c r="E733" s="15"/>
      <c r="F733" s="28"/>
      <c r="G733" s="25" t="str">
        <f aca="true">IF(OR(D733="",E733=""),"",IFERROR(D733*INDEX(UnidadesFactor,MATCH(E733,Unidades,0)),""))</f>
        <v/>
      </c>
      <c r="H733" s="17" t="str">
        <f aca="false">IF(I733&lt;&gt;"OK","",IF(G733=0,"",F733/G733))</f>
        <v/>
      </c>
      <c r="I733" s="20" t="str">
        <f aca="true">IF(B733="","",IF(ISNA(MATCH(B733,ListaInsumos,0)),"Insumo no está en Insumos",IF(OR(D733="",E733="",F733=""),"Faltan datos",IF(INDEX(UnidadesBase,MATCH(E733,Unidades,0))&lt;&gt;INDEX(InsBase,MATCH(B733,ListaInsumos,0)),"Unidad incompatible",IF(A733="","Falta fecha","OK")))))</f>
        <v/>
      </c>
      <c r="J733" s="15"/>
    </row>
    <row r="734" customFormat="false" ht="15" hidden="false" customHeight="false" outlineLevel="0" collapsed="false">
      <c r="A734" s="26"/>
      <c r="B734" s="15"/>
      <c r="C734" s="15"/>
      <c r="D734" s="27"/>
      <c r="E734" s="15"/>
      <c r="F734" s="28"/>
      <c r="G734" s="25" t="str">
        <f aca="true">IF(OR(D734="",E734=""),"",IFERROR(D734*INDEX(UnidadesFactor,MATCH(E734,Unidades,0)),""))</f>
        <v/>
      </c>
      <c r="H734" s="17" t="str">
        <f aca="false">IF(I734&lt;&gt;"OK","",IF(G734=0,"",F734/G734))</f>
        <v/>
      </c>
      <c r="I734" s="20" t="str">
        <f aca="true">IF(B734="","",IF(ISNA(MATCH(B734,ListaInsumos,0)),"Insumo no está en Insumos",IF(OR(D734="",E734="",F734=""),"Faltan datos",IF(INDEX(UnidadesBase,MATCH(E734,Unidades,0))&lt;&gt;INDEX(InsBase,MATCH(B734,ListaInsumos,0)),"Unidad incompatible",IF(A734="","Falta fecha","OK")))))</f>
        <v/>
      </c>
      <c r="J734" s="15"/>
    </row>
    <row r="735" customFormat="false" ht="15" hidden="false" customHeight="false" outlineLevel="0" collapsed="false">
      <c r="A735" s="26"/>
      <c r="B735" s="15"/>
      <c r="C735" s="15"/>
      <c r="D735" s="27"/>
      <c r="E735" s="15"/>
      <c r="F735" s="28"/>
      <c r="G735" s="25" t="str">
        <f aca="true">IF(OR(D735="",E735=""),"",IFERROR(D735*INDEX(UnidadesFactor,MATCH(E735,Unidades,0)),""))</f>
        <v/>
      </c>
      <c r="H735" s="17" t="str">
        <f aca="false">IF(I735&lt;&gt;"OK","",IF(G735=0,"",F735/G735))</f>
        <v/>
      </c>
      <c r="I735" s="20" t="str">
        <f aca="true">IF(B735="","",IF(ISNA(MATCH(B735,ListaInsumos,0)),"Insumo no está en Insumos",IF(OR(D735="",E735="",F735=""),"Faltan datos",IF(INDEX(UnidadesBase,MATCH(E735,Unidades,0))&lt;&gt;INDEX(InsBase,MATCH(B735,ListaInsumos,0)),"Unidad incompatible",IF(A735="","Falta fecha","OK")))))</f>
        <v/>
      </c>
      <c r="J735" s="15"/>
    </row>
    <row r="736" customFormat="false" ht="15" hidden="false" customHeight="false" outlineLevel="0" collapsed="false">
      <c r="A736" s="26"/>
      <c r="B736" s="15"/>
      <c r="C736" s="15"/>
      <c r="D736" s="27"/>
      <c r="E736" s="15"/>
      <c r="F736" s="28"/>
      <c r="G736" s="25" t="str">
        <f aca="true">IF(OR(D736="",E736=""),"",IFERROR(D736*INDEX(UnidadesFactor,MATCH(E736,Unidades,0)),""))</f>
        <v/>
      </c>
      <c r="H736" s="17" t="str">
        <f aca="false">IF(I736&lt;&gt;"OK","",IF(G736=0,"",F736/G736))</f>
        <v/>
      </c>
      <c r="I736" s="20" t="str">
        <f aca="true">IF(B736="","",IF(ISNA(MATCH(B736,ListaInsumos,0)),"Insumo no está en Insumos",IF(OR(D736="",E736="",F736=""),"Faltan datos",IF(INDEX(UnidadesBase,MATCH(E736,Unidades,0))&lt;&gt;INDEX(InsBase,MATCH(B736,ListaInsumos,0)),"Unidad incompatible",IF(A736="","Falta fecha","OK")))))</f>
        <v/>
      </c>
      <c r="J736" s="15"/>
    </row>
    <row r="737" customFormat="false" ht="15" hidden="false" customHeight="false" outlineLevel="0" collapsed="false">
      <c r="A737" s="26"/>
      <c r="B737" s="15"/>
      <c r="C737" s="15"/>
      <c r="D737" s="27"/>
      <c r="E737" s="15"/>
      <c r="F737" s="28"/>
      <c r="G737" s="25" t="str">
        <f aca="true">IF(OR(D737="",E737=""),"",IFERROR(D737*INDEX(UnidadesFactor,MATCH(E737,Unidades,0)),""))</f>
        <v/>
      </c>
      <c r="H737" s="17" t="str">
        <f aca="false">IF(I737&lt;&gt;"OK","",IF(G737=0,"",F737/G737))</f>
        <v/>
      </c>
      <c r="I737" s="20" t="str">
        <f aca="true">IF(B737="","",IF(ISNA(MATCH(B737,ListaInsumos,0)),"Insumo no está en Insumos",IF(OR(D737="",E737="",F737=""),"Faltan datos",IF(INDEX(UnidadesBase,MATCH(E737,Unidades,0))&lt;&gt;INDEX(InsBase,MATCH(B737,ListaInsumos,0)),"Unidad incompatible",IF(A737="","Falta fecha","OK")))))</f>
        <v/>
      </c>
      <c r="J737" s="15"/>
    </row>
    <row r="738" customFormat="false" ht="15" hidden="false" customHeight="false" outlineLevel="0" collapsed="false">
      <c r="A738" s="26"/>
      <c r="B738" s="15"/>
      <c r="C738" s="15"/>
      <c r="D738" s="27"/>
      <c r="E738" s="15"/>
      <c r="F738" s="28"/>
      <c r="G738" s="25" t="str">
        <f aca="true">IF(OR(D738="",E738=""),"",IFERROR(D738*INDEX(UnidadesFactor,MATCH(E738,Unidades,0)),""))</f>
        <v/>
      </c>
      <c r="H738" s="17" t="str">
        <f aca="false">IF(I738&lt;&gt;"OK","",IF(G738=0,"",F738/G738))</f>
        <v/>
      </c>
      <c r="I738" s="20" t="str">
        <f aca="true">IF(B738="","",IF(ISNA(MATCH(B738,ListaInsumos,0)),"Insumo no está en Insumos",IF(OR(D738="",E738="",F738=""),"Faltan datos",IF(INDEX(UnidadesBase,MATCH(E738,Unidades,0))&lt;&gt;INDEX(InsBase,MATCH(B738,ListaInsumos,0)),"Unidad incompatible",IF(A738="","Falta fecha","OK")))))</f>
        <v/>
      </c>
      <c r="J738" s="15"/>
    </row>
    <row r="739" customFormat="false" ht="15" hidden="false" customHeight="false" outlineLevel="0" collapsed="false">
      <c r="A739" s="26"/>
      <c r="B739" s="15"/>
      <c r="C739" s="15"/>
      <c r="D739" s="27"/>
      <c r="E739" s="15"/>
      <c r="F739" s="28"/>
      <c r="G739" s="25" t="str">
        <f aca="true">IF(OR(D739="",E739=""),"",IFERROR(D739*INDEX(UnidadesFactor,MATCH(E739,Unidades,0)),""))</f>
        <v/>
      </c>
      <c r="H739" s="17" t="str">
        <f aca="false">IF(I739&lt;&gt;"OK","",IF(G739=0,"",F739/G739))</f>
        <v/>
      </c>
      <c r="I739" s="20" t="str">
        <f aca="true">IF(B739="","",IF(ISNA(MATCH(B739,ListaInsumos,0)),"Insumo no está en Insumos",IF(OR(D739="",E739="",F739=""),"Faltan datos",IF(INDEX(UnidadesBase,MATCH(E739,Unidades,0))&lt;&gt;INDEX(InsBase,MATCH(B739,ListaInsumos,0)),"Unidad incompatible",IF(A739="","Falta fecha","OK")))))</f>
        <v/>
      </c>
      <c r="J739" s="15"/>
    </row>
    <row r="740" customFormat="false" ht="15" hidden="false" customHeight="false" outlineLevel="0" collapsed="false">
      <c r="A740" s="26"/>
      <c r="B740" s="15"/>
      <c r="C740" s="15"/>
      <c r="D740" s="27"/>
      <c r="E740" s="15"/>
      <c r="F740" s="28"/>
      <c r="G740" s="25" t="str">
        <f aca="true">IF(OR(D740="",E740=""),"",IFERROR(D740*INDEX(UnidadesFactor,MATCH(E740,Unidades,0)),""))</f>
        <v/>
      </c>
      <c r="H740" s="17" t="str">
        <f aca="false">IF(I740&lt;&gt;"OK","",IF(G740=0,"",F740/G740))</f>
        <v/>
      </c>
      <c r="I740" s="20" t="str">
        <f aca="true">IF(B740="","",IF(ISNA(MATCH(B740,ListaInsumos,0)),"Insumo no está en Insumos",IF(OR(D740="",E740="",F740=""),"Faltan datos",IF(INDEX(UnidadesBase,MATCH(E740,Unidades,0))&lt;&gt;INDEX(InsBase,MATCH(B740,ListaInsumos,0)),"Unidad incompatible",IF(A740="","Falta fecha","OK")))))</f>
        <v/>
      </c>
      <c r="J740" s="15"/>
    </row>
    <row r="741" customFormat="false" ht="15" hidden="false" customHeight="false" outlineLevel="0" collapsed="false">
      <c r="A741" s="26"/>
      <c r="B741" s="15"/>
      <c r="C741" s="15"/>
      <c r="D741" s="27"/>
      <c r="E741" s="15"/>
      <c r="F741" s="28"/>
      <c r="G741" s="25" t="str">
        <f aca="true">IF(OR(D741="",E741=""),"",IFERROR(D741*INDEX(UnidadesFactor,MATCH(E741,Unidades,0)),""))</f>
        <v/>
      </c>
      <c r="H741" s="17" t="str">
        <f aca="false">IF(I741&lt;&gt;"OK","",IF(G741=0,"",F741/G741))</f>
        <v/>
      </c>
      <c r="I741" s="20" t="str">
        <f aca="true">IF(B741="","",IF(ISNA(MATCH(B741,ListaInsumos,0)),"Insumo no está en Insumos",IF(OR(D741="",E741="",F741=""),"Faltan datos",IF(INDEX(UnidadesBase,MATCH(E741,Unidades,0))&lt;&gt;INDEX(InsBase,MATCH(B741,ListaInsumos,0)),"Unidad incompatible",IF(A741="","Falta fecha","OK")))))</f>
        <v/>
      </c>
      <c r="J741" s="15"/>
    </row>
    <row r="742" customFormat="false" ht="15" hidden="false" customHeight="false" outlineLevel="0" collapsed="false">
      <c r="A742" s="26"/>
      <c r="B742" s="15"/>
      <c r="C742" s="15"/>
      <c r="D742" s="27"/>
      <c r="E742" s="15"/>
      <c r="F742" s="28"/>
      <c r="G742" s="25" t="str">
        <f aca="true">IF(OR(D742="",E742=""),"",IFERROR(D742*INDEX(UnidadesFactor,MATCH(E742,Unidades,0)),""))</f>
        <v/>
      </c>
      <c r="H742" s="17" t="str">
        <f aca="false">IF(I742&lt;&gt;"OK","",IF(G742=0,"",F742/G742))</f>
        <v/>
      </c>
      <c r="I742" s="20" t="str">
        <f aca="true">IF(B742="","",IF(ISNA(MATCH(B742,ListaInsumos,0)),"Insumo no está en Insumos",IF(OR(D742="",E742="",F742=""),"Faltan datos",IF(INDEX(UnidadesBase,MATCH(E742,Unidades,0))&lt;&gt;INDEX(InsBase,MATCH(B742,ListaInsumos,0)),"Unidad incompatible",IF(A742="","Falta fecha","OK")))))</f>
        <v/>
      </c>
      <c r="J742" s="15"/>
    </row>
    <row r="743" customFormat="false" ht="15" hidden="false" customHeight="false" outlineLevel="0" collapsed="false">
      <c r="A743" s="26"/>
      <c r="B743" s="15"/>
      <c r="C743" s="15"/>
      <c r="D743" s="27"/>
      <c r="E743" s="15"/>
      <c r="F743" s="28"/>
      <c r="G743" s="25" t="str">
        <f aca="true">IF(OR(D743="",E743=""),"",IFERROR(D743*INDEX(UnidadesFactor,MATCH(E743,Unidades,0)),""))</f>
        <v/>
      </c>
      <c r="H743" s="17" t="str">
        <f aca="false">IF(I743&lt;&gt;"OK","",IF(G743=0,"",F743/G743))</f>
        <v/>
      </c>
      <c r="I743" s="20" t="str">
        <f aca="true">IF(B743="","",IF(ISNA(MATCH(B743,ListaInsumos,0)),"Insumo no está en Insumos",IF(OR(D743="",E743="",F743=""),"Faltan datos",IF(INDEX(UnidadesBase,MATCH(E743,Unidades,0))&lt;&gt;INDEX(InsBase,MATCH(B743,ListaInsumos,0)),"Unidad incompatible",IF(A743="","Falta fecha","OK")))))</f>
        <v/>
      </c>
      <c r="J743" s="15"/>
    </row>
    <row r="744" customFormat="false" ht="15" hidden="false" customHeight="false" outlineLevel="0" collapsed="false">
      <c r="A744" s="26"/>
      <c r="B744" s="15"/>
      <c r="C744" s="15"/>
      <c r="D744" s="27"/>
      <c r="E744" s="15"/>
      <c r="F744" s="28"/>
      <c r="G744" s="25" t="str">
        <f aca="true">IF(OR(D744="",E744=""),"",IFERROR(D744*INDEX(UnidadesFactor,MATCH(E744,Unidades,0)),""))</f>
        <v/>
      </c>
      <c r="H744" s="17" t="str">
        <f aca="false">IF(I744&lt;&gt;"OK","",IF(G744=0,"",F744/G744))</f>
        <v/>
      </c>
      <c r="I744" s="20" t="str">
        <f aca="true">IF(B744="","",IF(ISNA(MATCH(B744,ListaInsumos,0)),"Insumo no está en Insumos",IF(OR(D744="",E744="",F744=""),"Faltan datos",IF(INDEX(UnidadesBase,MATCH(E744,Unidades,0))&lt;&gt;INDEX(InsBase,MATCH(B744,ListaInsumos,0)),"Unidad incompatible",IF(A744="","Falta fecha","OK")))))</f>
        <v/>
      </c>
      <c r="J744" s="15"/>
    </row>
    <row r="745" customFormat="false" ht="15" hidden="false" customHeight="false" outlineLevel="0" collapsed="false">
      <c r="A745" s="26"/>
      <c r="B745" s="15"/>
      <c r="C745" s="15"/>
      <c r="D745" s="27"/>
      <c r="E745" s="15"/>
      <c r="F745" s="28"/>
      <c r="G745" s="25" t="str">
        <f aca="true">IF(OR(D745="",E745=""),"",IFERROR(D745*INDEX(UnidadesFactor,MATCH(E745,Unidades,0)),""))</f>
        <v/>
      </c>
      <c r="H745" s="17" t="str">
        <f aca="false">IF(I745&lt;&gt;"OK","",IF(G745=0,"",F745/G745))</f>
        <v/>
      </c>
      <c r="I745" s="20" t="str">
        <f aca="true">IF(B745="","",IF(ISNA(MATCH(B745,ListaInsumos,0)),"Insumo no está en Insumos",IF(OR(D745="",E745="",F745=""),"Faltan datos",IF(INDEX(UnidadesBase,MATCH(E745,Unidades,0))&lt;&gt;INDEX(InsBase,MATCH(B745,ListaInsumos,0)),"Unidad incompatible",IF(A745="","Falta fecha","OK")))))</f>
        <v/>
      </c>
      <c r="J745" s="15"/>
    </row>
    <row r="746" customFormat="false" ht="15" hidden="false" customHeight="false" outlineLevel="0" collapsed="false">
      <c r="A746" s="26"/>
      <c r="B746" s="15"/>
      <c r="C746" s="15"/>
      <c r="D746" s="27"/>
      <c r="E746" s="15"/>
      <c r="F746" s="28"/>
      <c r="G746" s="25" t="str">
        <f aca="true">IF(OR(D746="",E746=""),"",IFERROR(D746*INDEX(UnidadesFactor,MATCH(E746,Unidades,0)),""))</f>
        <v/>
      </c>
      <c r="H746" s="17" t="str">
        <f aca="false">IF(I746&lt;&gt;"OK","",IF(G746=0,"",F746/G746))</f>
        <v/>
      </c>
      <c r="I746" s="20" t="str">
        <f aca="true">IF(B746="","",IF(ISNA(MATCH(B746,ListaInsumos,0)),"Insumo no está en Insumos",IF(OR(D746="",E746="",F746=""),"Faltan datos",IF(INDEX(UnidadesBase,MATCH(E746,Unidades,0))&lt;&gt;INDEX(InsBase,MATCH(B746,ListaInsumos,0)),"Unidad incompatible",IF(A746="","Falta fecha","OK")))))</f>
        <v/>
      </c>
      <c r="J746" s="15"/>
    </row>
    <row r="747" customFormat="false" ht="15" hidden="false" customHeight="false" outlineLevel="0" collapsed="false">
      <c r="A747" s="26"/>
      <c r="B747" s="15"/>
      <c r="C747" s="15"/>
      <c r="D747" s="27"/>
      <c r="E747" s="15"/>
      <c r="F747" s="28"/>
      <c r="G747" s="25" t="str">
        <f aca="true">IF(OR(D747="",E747=""),"",IFERROR(D747*INDEX(UnidadesFactor,MATCH(E747,Unidades,0)),""))</f>
        <v/>
      </c>
      <c r="H747" s="17" t="str">
        <f aca="false">IF(I747&lt;&gt;"OK","",IF(G747=0,"",F747/G747))</f>
        <v/>
      </c>
      <c r="I747" s="20" t="str">
        <f aca="true">IF(B747="","",IF(ISNA(MATCH(B747,ListaInsumos,0)),"Insumo no está en Insumos",IF(OR(D747="",E747="",F747=""),"Faltan datos",IF(INDEX(UnidadesBase,MATCH(E747,Unidades,0))&lt;&gt;INDEX(InsBase,MATCH(B747,ListaInsumos,0)),"Unidad incompatible",IF(A747="","Falta fecha","OK")))))</f>
        <v/>
      </c>
      <c r="J747" s="15"/>
    </row>
    <row r="748" customFormat="false" ht="15" hidden="false" customHeight="false" outlineLevel="0" collapsed="false">
      <c r="A748" s="26"/>
      <c r="B748" s="15"/>
      <c r="C748" s="15"/>
      <c r="D748" s="27"/>
      <c r="E748" s="15"/>
      <c r="F748" s="28"/>
      <c r="G748" s="25" t="str">
        <f aca="true">IF(OR(D748="",E748=""),"",IFERROR(D748*INDEX(UnidadesFactor,MATCH(E748,Unidades,0)),""))</f>
        <v/>
      </c>
      <c r="H748" s="17" t="str">
        <f aca="false">IF(I748&lt;&gt;"OK","",IF(G748=0,"",F748/G748))</f>
        <v/>
      </c>
      <c r="I748" s="20" t="str">
        <f aca="true">IF(B748="","",IF(ISNA(MATCH(B748,ListaInsumos,0)),"Insumo no está en Insumos",IF(OR(D748="",E748="",F748=""),"Faltan datos",IF(INDEX(UnidadesBase,MATCH(E748,Unidades,0))&lt;&gt;INDEX(InsBase,MATCH(B748,ListaInsumos,0)),"Unidad incompatible",IF(A748="","Falta fecha","OK")))))</f>
        <v/>
      </c>
      <c r="J748" s="15"/>
    </row>
    <row r="749" customFormat="false" ht="15" hidden="false" customHeight="false" outlineLevel="0" collapsed="false">
      <c r="A749" s="26"/>
      <c r="B749" s="15"/>
      <c r="C749" s="15"/>
      <c r="D749" s="27"/>
      <c r="E749" s="15"/>
      <c r="F749" s="28"/>
      <c r="G749" s="25" t="str">
        <f aca="true">IF(OR(D749="",E749=""),"",IFERROR(D749*INDEX(UnidadesFactor,MATCH(E749,Unidades,0)),""))</f>
        <v/>
      </c>
      <c r="H749" s="17" t="str">
        <f aca="false">IF(I749&lt;&gt;"OK","",IF(G749=0,"",F749/G749))</f>
        <v/>
      </c>
      <c r="I749" s="20" t="str">
        <f aca="true">IF(B749="","",IF(ISNA(MATCH(B749,ListaInsumos,0)),"Insumo no está en Insumos",IF(OR(D749="",E749="",F749=""),"Faltan datos",IF(INDEX(UnidadesBase,MATCH(E749,Unidades,0))&lt;&gt;INDEX(InsBase,MATCH(B749,ListaInsumos,0)),"Unidad incompatible",IF(A749="","Falta fecha","OK")))))</f>
        <v/>
      </c>
      <c r="J749" s="15"/>
    </row>
    <row r="750" customFormat="false" ht="15" hidden="false" customHeight="false" outlineLevel="0" collapsed="false">
      <c r="A750" s="26"/>
      <c r="B750" s="15"/>
      <c r="C750" s="15"/>
      <c r="D750" s="27"/>
      <c r="E750" s="15"/>
      <c r="F750" s="28"/>
      <c r="G750" s="25" t="str">
        <f aca="true">IF(OR(D750="",E750=""),"",IFERROR(D750*INDEX(UnidadesFactor,MATCH(E750,Unidades,0)),""))</f>
        <v/>
      </c>
      <c r="H750" s="17" t="str">
        <f aca="false">IF(I750&lt;&gt;"OK","",IF(G750=0,"",F750/G750))</f>
        <v/>
      </c>
      <c r="I750" s="20" t="str">
        <f aca="true">IF(B750="","",IF(ISNA(MATCH(B750,ListaInsumos,0)),"Insumo no está en Insumos",IF(OR(D750="",E750="",F750=""),"Faltan datos",IF(INDEX(UnidadesBase,MATCH(E750,Unidades,0))&lt;&gt;INDEX(InsBase,MATCH(B750,ListaInsumos,0)),"Unidad incompatible",IF(A750="","Falta fecha","OK")))))</f>
        <v/>
      </c>
      <c r="J750" s="15"/>
    </row>
    <row r="751" customFormat="false" ht="15" hidden="false" customHeight="false" outlineLevel="0" collapsed="false">
      <c r="A751" s="26"/>
      <c r="B751" s="15"/>
      <c r="C751" s="15"/>
      <c r="D751" s="27"/>
      <c r="E751" s="15"/>
      <c r="F751" s="28"/>
      <c r="G751" s="25" t="str">
        <f aca="true">IF(OR(D751="",E751=""),"",IFERROR(D751*INDEX(UnidadesFactor,MATCH(E751,Unidades,0)),""))</f>
        <v/>
      </c>
      <c r="H751" s="17" t="str">
        <f aca="false">IF(I751&lt;&gt;"OK","",IF(G751=0,"",F751/G751))</f>
        <v/>
      </c>
      <c r="I751" s="20" t="str">
        <f aca="true">IF(B751="","",IF(ISNA(MATCH(B751,ListaInsumos,0)),"Insumo no está en Insumos",IF(OR(D751="",E751="",F751=""),"Faltan datos",IF(INDEX(UnidadesBase,MATCH(E751,Unidades,0))&lt;&gt;INDEX(InsBase,MATCH(B751,ListaInsumos,0)),"Unidad incompatible",IF(A751="","Falta fecha","OK")))))</f>
        <v/>
      </c>
      <c r="J751" s="15"/>
    </row>
    <row r="752" customFormat="false" ht="15" hidden="false" customHeight="false" outlineLevel="0" collapsed="false">
      <c r="A752" s="26"/>
      <c r="B752" s="15"/>
      <c r="C752" s="15"/>
      <c r="D752" s="27"/>
      <c r="E752" s="15"/>
      <c r="F752" s="28"/>
      <c r="G752" s="25" t="str">
        <f aca="true">IF(OR(D752="",E752=""),"",IFERROR(D752*INDEX(UnidadesFactor,MATCH(E752,Unidades,0)),""))</f>
        <v/>
      </c>
      <c r="H752" s="17" t="str">
        <f aca="false">IF(I752&lt;&gt;"OK","",IF(G752=0,"",F752/G752))</f>
        <v/>
      </c>
      <c r="I752" s="20" t="str">
        <f aca="true">IF(B752="","",IF(ISNA(MATCH(B752,ListaInsumos,0)),"Insumo no está en Insumos",IF(OR(D752="",E752="",F752=""),"Faltan datos",IF(INDEX(UnidadesBase,MATCH(E752,Unidades,0))&lt;&gt;INDEX(InsBase,MATCH(B752,ListaInsumos,0)),"Unidad incompatible",IF(A752="","Falta fecha","OK")))))</f>
        <v/>
      </c>
      <c r="J752" s="15"/>
    </row>
    <row r="753" customFormat="false" ht="15" hidden="false" customHeight="false" outlineLevel="0" collapsed="false">
      <c r="A753" s="26"/>
      <c r="B753" s="15"/>
      <c r="C753" s="15"/>
      <c r="D753" s="27"/>
      <c r="E753" s="15"/>
      <c r="F753" s="28"/>
      <c r="G753" s="25" t="str">
        <f aca="true">IF(OR(D753="",E753=""),"",IFERROR(D753*INDEX(UnidadesFactor,MATCH(E753,Unidades,0)),""))</f>
        <v/>
      </c>
      <c r="H753" s="17" t="str">
        <f aca="false">IF(I753&lt;&gt;"OK","",IF(G753=0,"",F753/G753))</f>
        <v/>
      </c>
      <c r="I753" s="20" t="str">
        <f aca="true">IF(B753="","",IF(ISNA(MATCH(B753,ListaInsumos,0)),"Insumo no está en Insumos",IF(OR(D753="",E753="",F753=""),"Faltan datos",IF(INDEX(UnidadesBase,MATCH(E753,Unidades,0))&lt;&gt;INDEX(InsBase,MATCH(B753,ListaInsumos,0)),"Unidad incompatible",IF(A753="","Falta fecha","OK")))))</f>
        <v/>
      </c>
      <c r="J753" s="15"/>
    </row>
    <row r="754" customFormat="false" ht="15" hidden="false" customHeight="false" outlineLevel="0" collapsed="false">
      <c r="A754" s="26"/>
      <c r="B754" s="15"/>
      <c r="C754" s="15"/>
      <c r="D754" s="27"/>
      <c r="E754" s="15"/>
      <c r="F754" s="28"/>
      <c r="G754" s="25" t="str">
        <f aca="true">IF(OR(D754="",E754=""),"",IFERROR(D754*INDEX(UnidadesFactor,MATCH(E754,Unidades,0)),""))</f>
        <v/>
      </c>
      <c r="H754" s="17" t="str">
        <f aca="false">IF(I754&lt;&gt;"OK","",IF(G754=0,"",F754/G754))</f>
        <v/>
      </c>
      <c r="I754" s="20" t="str">
        <f aca="true">IF(B754="","",IF(ISNA(MATCH(B754,ListaInsumos,0)),"Insumo no está en Insumos",IF(OR(D754="",E754="",F754=""),"Faltan datos",IF(INDEX(UnidadesBase,MATCH(E754,Unidades,0))&lt;&gt;INDEX(InsBase,MATCH(B754,ListaInsumos,0)),"Unidad incompatible",IF(A754="","Falta fecha","OK")))))</f>
        <v/>
      </c>
      <c r="J754" s="15"/>
    </row>
    <row r="755" customFormat="false" ht="15" hidden="false" customHeight="false" outlineLevel="0" collapsed="false">
      <c r="A755" s="26"/>
      <c r="B755" s="15"/>
      <c r="C755" s="15"/>
      <c r="D755" s="27"/>
      <c r="E755" s="15"/>
      <c r="F755" s="28"/>
      <c r="G755" s="25" t="str">
        <f aca="true">IF(OR(D755="",E755=""),"",IFERROR(D755*INDEX(UnidadesFactor,MATCH(E755,Unidades,0)),""))</f>
        <v/>
      </c>
      <c r="H755" s="17" t="str">
        <f aca="false">IF(I755&lt;&gt;"OK","",IF(G755=0,"",F755/G755))</f>
        <v/>
      </c>
      <c r="I755" s="20" t="str">
        <f aca="true">IF(B755="","",IF(ISNA(MATCH(B755,ListaInsumos,0)),"Insumo no está en Insumos",IF(OR(D755="",E755="",F755=""),"Faltan datos",IF(INDEX(UnidadesBase,MATCH(E755,Unidades,0))&lt;&gt;INDEX(InsBase,MATCH(B755,ListaInsumos,0)),"Unidad incompatible",IF(A755="","Falta fecha","OK")))))</f>
        <v/>
      </c>
      <c r="J755" s="15"/>
    </row>
    <row r="756" customFormat="false" ht="15" hidden="false" customHeight="false" outlineLevel="0" collapsed="false">
      <c r="A756" s="26"/>
      <c r="B756" s="15"/>
      <c r="C756" s="15"/>
      <c r="D756" s="27"/>
      <c r="E756" s="15"/>
      <c r="F756" s="28"/>
      <c r="G756" s="25" t="str">
        <f aca="true">IF(OR(D756="",E756=""),"",IFERROR(D756*INDEX(UnidadesFactor,MATCH(E756,Unidades,0)),""))</f>
        <v/>
      </c>
      <c r="H756" s="17" t="str">
        <f aca="false">IF(I756&lt;&gt;"OK","",IF(G756=0,"",F756/G756))</f>
        <v/>
      </c>
      <c r="I756" s="20" t="str">
        <f aca="true">IF(B756="","",IF(ISNA(MATCH(B756,ListaInsumos,0)),"Insumo no está en Insumos",IF(OR(D756="",E756="",F756=""),"Faltan datos",IF(INDEX(UnidadesBase,MATCH(E756,Unidades,0))&lt;&gt;INDEX(InsBase,MATCH(B756,ListaInsumos,0)),"Unidad incompatible",IF(A756="","Falta fecha","OK")))))</f>
        <v/>
      </c>
      <c r="J756" s="15"/>
    </row>
    <row r="757" customFormat="false" ht="15" hidden="false" customHeight="false" outlineLevel="0" collapsed="false">
      <c r="A757" s="26"/>
      <c r="B757" s="15"/>
      <c r="C757" s="15"/>
      <c r="D757" s="27"/>
      <c r="E757" s="15"/>
      <c r="F757" s="28"/>
      <c r="G757" s="25" t="str">
        <f aca="true">IF(OR(D757="",E757=""),"",IFERROR(D757*INDEX(UnidadesFactor,MATCH(E757,Unidades,0)),""))</f>
        <v/>
      </c>
      <c r="H757" s="17" t="str">
        <f aca="false">IF(I757&lt;&gt;"OK","",IF(G757=0,"",F757/G757))</f>
        <v/>
      </c>
      <c r="I757" s="20" t="str">
        <f aca="true">IF(B757="","",IF(ISNA(MATCH(B757,ListaInsumos,0)),"Insumo no está en Insumos",IF(OR(D757="",E757="",F757=""),"Faltan datos",IF(INDEX(UnidadesBase,MATCH(E757,Unidades,0))&lt;&gt;INDEX(InsBase,MATCH(B757,ListaInsumos,0)),"Unidad incompatible",IF(A757="","Falta fecha","OK")))))</f>
        <v/>
      </c>
      <c r="J757" s="15"/>
    </row>
    <row r="758" customFormat="false" ht="15" hidden="false" customHeight="false" outlineLevel="0" collapsed="false">
      <c r="A758" s="26"/>
      <c r="B758" s="15"/>
      <c r="C758" s="15"/>
      <c r="D758" s="27"/>
      <c r="E758" s="15"/>
      <c r="F758" s="28"/>
      <c r="G758" s="25" t="str">
        <f aca="true">IF(OR(D758="",E758=""),"",IFERROR(D758*INDEX(UnidadesFactor,MATCH(E758,Unidades,0)),""))</f>
        <v/>
      </c>
      <c r="H758" s="17" t="str">
        <f aca="false">IF(I758&lt;&gt;"OK","",IF(G758=0,"",F758/G758))</f>
        <v/>
      </c>
      <c r="I758" s="20" t="str">
        <f aca="true">IF(B758="","",IF(ISNA(MATCH(B758,ListaInsumos,0)),"Insumo no está en Insumos",IF(OR(D758="",E758="",F758=""),"Faltan datos",IF(INDEX(UnidadesBase,MATCH(E758,Unidades,0))&lt;&gt;INDEX(InsBase,MATCH(B758,ListaInsumos,0)),"Unidad incompatible",IF(A758="","Falta fecha","OK")))))</f>
        <v/>
      </c>
      <c r="J758" s="15"/>
    </row>
    <row r="759" customFormat="false" ht="15" hidden="false" customHeight="false" outlineLevel="0" collapsed="false">
      <c r="A759" s="26"/>
      <c r="B759" s="15"/>
      <c r="C759" s="15"/>
      <c r="D759" s="27"/>
      <c r="E759" s="15"/>
      <c r="F759" s="28"/>
      <c r="G759" s="25" t="str">
        <f aca="true">IF(OR(D759="",E759=""),"",IFERROR(D759*INDEX(UnidadesFactor,MATCH(E759,Unidades,0)),""))</f>
        <v/>
      </c>
      <c r="H759" s="17" t="str">
        <f aca="false">IF(I759&lt;&gt;"OK","",IF(G759=0,"",F759/G759))</f>
        <v/>
      </c>
      <c r="I759" s="20" t="str">
        <f aca="true">IF(B759="","",IF(ISNA(MATCH(B759,ListaInsumos,0)),"Insumo no está en Insumos",IF(OR(D759="",E759="",F759=""),"Faltan datos",IF(INDEX(UnidadesBase,MATCH(E759,Unidades,0))&lt;&gt;INDEX(InsBase,MATCH(B759,ListaInsumos,0)),"Unidad incompatible",IF(A759="","Falta fecha","OK")))))</f>
        <v/>
      </c>
      <c r="J759" s="15"/>
    </row>
    <row r="760" customFormat="false" ht="15" hidden="false" customHeight="false" outlineLevel="0" collapsed="false">
      <c r="A760" s="26"/>
      <c r="B760" s="15"/>
      <c r="C760" s="15"/>
      <c r="D760" s="27"/>
      <c r="E760" s="15"/>
      <c r="F760" s="28"/>
      <c r="G760" s="25" t="str">
        <f aca="true">IF(OR(D760="",E760=""),"",IFERROR(D760*INDEX(UnidadesFactor,MATCH(E760,Unidades,0)),""))</f>
        <v/>
      </c>
      <c r="H760" s="17" t="str">
        <f aca="false">IF(I760&lt;&gt;"OK","",IF(G760=0,"",F760/G760))</f>
        <v/>
      </c>
      <c r="I760" s="20" t="str">
        <f aca="true">IF(B760="","",IF(ISNA(MATCH(B760,ListaInsumos,0)),"Insumo no está en Insumos",IF(OR(D760="",E760="",F760=""),"Faltan datos",IF(INDEX(UnidadesBase,MATCH(E760,Unidades,0))&lt;&gt;INDEX(InsBase,MATCH(B760,ListaInsumos,0)),"Unidad incompatible",IF(A760="","Falta fecha","OK")))))</f>
        <v/>
      </c>
      <c r="J760" s="15"/>
    </row>
    <row r="761" customFormat="false" ht="15" hidden="false" customHeight="false" outlineLevel="0" collapsed="false">
      <c r="A761" s="26"/>
      <c r="B761" s="15"/>
      <c r="C761" s="15"/>
      <c r="D761" s="27"/>
      <c r="E761" s="15"/>
      <c r="F761" s="28"/>
      <c r="G761" s="25" t="str">
        <f aca="true">IF(OR(D761="",E761=""),"",IFERROR(D761*INDEX(UnidadesFactor,MATCH(E761,Unidades,0)),""))</f>
        <v/>
      </c>
      <c r="H761" s="17" t="str">
        <f aca="false">IF(I761&lt;&gt;"OK","",IF(G761=0,"",F761/G761))</f>
        <v/>
      </c>
      <c r="I761" s="20" t="str">
        <f aca="true">IF(B761="","",IF(ISNA(MATCH(B761,ListaInsumos,0)),"Insumo no está en Insumos",IF(OR(D761="",E761="",F761=""),"Faltan datos",IF(INDEX(UnidadesBase,MATCH(E761,Unidades,0))&lt;&gt;INDEX(InsBase,MATCH(B761,ListaInsumos,0)),"Unidad incompatible",IF(A761="","Falta fecha","OK")))))</f>
        <v/>
      </c>
      <c r="J761" s="15"/>
    </row>
    <row r="762" customFormat="false" ht="15" hidden="false" customHeight="false" outlineLevel="0" collapsed="false">
      <c r="A762" s="26"/>
      <c r="B762" s="15"/>
      <c r="C762" s="15"/>
      <c r="D762" s="27"/>
      <c r="E762" s="15"/>
      <c r="F762" s="28"/>
      <c r="G762" s="25" t="str">
        <f aca="true">IF(OR(D762="",E762=""),"",IFERROR(D762*INDEX(UnidadesFactor,MATCH(E762,Unidades,0)),""))</f>
        <v/>
      </c>
      <c r="H762" s="17" t="str">
        <f aca="false">IF(I762&lt;&gt;"OK","",IF(G762=0,"",F762/G762))</f>
        <v/>
      </c>
      <c r="I762" s="20" t="str">
        <f aca="true">IF(B762="","",IF(ISNA(MATCH(B762,ListaInsumos,0)),"Insumo no está en Insumos",IF(OR(D762="",E762="",F762=""),"Faltan datos",IF(INDEX(UnidadesBase,MATCH(E762,Unidades,0))&lt;&gt;INDEX(InsBase,MATCH(B762,ListaInsumos,0)),"Unidad incompatible",IF(A762="","Falta fecha","OK")))))</f>
        <v/>
      </c>
      <c r="J762" s="15"/>
    </row>
    <row r="763" customFormat="false" ht="15" hidden="false" customHeight="false" outlineLevel="0" collapsed="false">
      <c r="A763" s="26"/>
      <c r="B763" s="15"/>
      <c r="C763" s="15"/>
      <c r="D763" s="27"/>
      <c r="E763" s="15"/>
      <c r="F763" s="28"/>
      <c r="G763" s="25" t="str">
        <f aca="true">IF(OR(D763="",E763=""),"",IFERROR(D763*INDEX(UnidadesFactor,MATCH(E763,Unidades,0)),""))</f>
        <v/>
      </c>
      <c r="H763" s="17" t="str">
        <f aca="false">IF(I763&lt;&gt;"OK","",IF(G763=0,"",F763/G763))</f>
        <v/>
      </c>
      <c r="I763" s="20" t="str">
        <f aca="true">IF(B763="","",IF(ISNA(MATCH(B763,ListaInsumos,0)),"Insumo no está en Insumos",IF(OR(D763="",E763="",F763=""),"Faltan datos",IF(INDEX(UnidadesBase,MATCH(E763,Unidades,0))&lt;&gt;INDEX(InsBase,MATCH(B763,ListaInsumos,0)),"Unidad incompatible",IF(A763="","Falta fecha","OK")))))</f>
        <v/>
      </c>
      <c r="J763" s="15"/>
    </row>
    <row r="764" customFormat="false" ht="15" hidden="false" customHeight="false" outlineLevel="0" collapsed="false">
      <c r="A764" s="26"/>
      <c r="B764" s="15"/>
      <c r="C764" s="15"/>
      <c r="D764" s="27"/>
      <c r="E764" s="15"/>
      <c r="F764" s="28"/>
      <c r="G764" s="25" t="str">
        <f aca="true">IF(OR(D764="",E764=""),"",IFERROR(D764*INDEX(UnidadesFactor,MATCH(E764,Unidades,0)),""))</f>
        <v/>
      </c>
      <c r="H764" s="17" t="str">
        <f aca="false">IF(I764&lt;&gt;"OK","",IF(G764=0,"",F764/G764))</f>
        <v/>
      </c>
      <c r="I764" s="20" t="str">
        <f aca="true">IF(B764="","",IF(ISNA(MATCH(B764,ListaInsumos,0)),"Insumo no está en Insumos",IF(OR(D764="",E764="",F764=""),"Faltan datos",IF(INDEX(UnidadesBase,MATCH(E764,Unidades,0))&lt;&gt;INDEX(InsBase,MATCH(B764,ListaInsumos,0)),"Unidad incompatible",IF(A764="","Falta fecha","OK")))))</f>
        <v/>
      </c>
      <c r="J764" s="15"/>
    </row>
    <row r="765" customFormat="false" ht="15" hidden="false" customHeight="false" outlineLevel="0" collapsed="false">
      <c r="A765" s="26"/>
      <c r="B765" s="15"/>
      <c r="C765" s="15"/>
      <c r="D765" s="27"/>
      <c r="E765" s="15"/>
      <c r="F765" s="28"/>
      <c r="G765" s="25" t="str">
        <f aca="true">IF(OR(D765="",E765=""),"",IFERROR(D765*INDEX(UnidadesFactor,MATCH(E765,Unidades,0)),""))</f>
        <v/>
      </c>
      <c r="H765" s="17" t="str">
        <f aca="false">IF(I765&lt;&gt;"OK","",IF(G765=0,"",F765/G765))</f>
        <v/>
      </c>
      <c r="I765" s="20" t="str">
        <f aca="true">IF(B765="","",IF(ISNA(MATCH(B765,ListaInsumos,0)),"Insumo no está en Insumos",IF(OR(D765="",E765="",F765=""),"Faltan datos",IF(INDEX(UnidadesBase,MATCH(E765,Unidades,0))&lt;&gt;INDEX(InsBase,MATCH(B765,ListaInsumos,0)),"Unidad incompatible",IF(A765="","Falta fecha","OK")))))</f>
        <v/>
      </c>
      <c r="J765" s="15"/>
    </row>
    <row r="766" customFormat="false" ht="15" hidden="false" customHeight="false" outlineLevel="0" collapsed="false">
      <c r="A766" s="26"/>
      <c r="B766" s="15"/>
      <c r="C766" s="15"/>
      <c r="D766" s="27"/>
      <c r="E766" s="15"/>
      <c r="F766" s="28"/>
      <c r="G766" s="25" t="str">
        <f aca="true">IF(OR(D766="",E766=""),"",IFERROR(D766*INDEX(UnidadesFactor,MATCH(E766,Unidades,0)),""))</f>
        <v/>
      </c>
      <c r="H766" s="17" t="str">
        <f aca="false">IF(I766&lt;&gt;"OK","",IF(G766=0,"",F766/G766))</f>
        <v/>
      </c>
      <c r="I766" s="20" t="str">
        <f aca="true">IF(B766="","",IF(ISNA(MATCH(B766,ListaInsumos,0)),"Insumo no está en Insumos",IF(OR(D766="",E766="",F766=""),"Faltan datos",IF(INDEX(UnidadesBase,MATCH(E766,Unidades,0))&lt;&gt;INDEX(InsBase,MATCH(B766,ListaInsumos,0)),"Unidad incompatible",IF(A766="","Falta fecha","OK")))))</f>
        <v/>
      </c>
      <c r="J766" s="15"/>
    </row>
    <row r="767" customFormat="false" ht="15" hidden="false" customHeight="false" outlineLevel="0" collapsed="false">
      <c r="A767" s="26"/>
      <c r="B767" s="15"/>
      <c r="C767" s="15"/>
      <c r="D767" s="27"/>
      <c r="E767" s="15"/>
      <c r="F767" s="28"/>
      <c r="G767" s="25" t="str">
        <f aca="true">IF(OR(D767="",E767=""),"",IFERROR(D767*INDEX(UnidadesFactor,MATCH(E767,Unidades,0)),""))</f>
        <v/>
      </c>
      <c r="H767" s="17" t="str">
        <f aca="false">IF(I767&lt;&gt;"OK","",IF(G767=0,"",F767/G767))</f>
        <v/>
      </c>
      <c r="I767" s="20" t="str">
        <f aca="true">IF(B767="","",IF(ISNA(MATCH(B767,ListaInsumos,0)),"Insumo no está en Insumos",IF(OR(D767="",E767="",F767=""),"Faltan datos",IF(INDEX(UnidadesBase,MATCH(E767,Unidades,0))&lt;&gt;INDEX(InsBase,MATCH(B767,ListaInsumos,0)),"Unidad incompatible",IF(A767="","Falta fecha","OK")))))</f>
        <v/>
      </c>
      <c r="J767" s="15"/>
    </row>
    <row r="768" customFormat="false" ht="15" hidden="false" customHeight="false" outlineLevel="0" collapsed="false">
      <c r="A768" s="26"/>
      <c r="B768" s="15"/>
      <c r="C768" s="15"/>
      <c r="D768" s="27"/>
      <c r="E768" s="15"/>
      <c r="F768" s="28"/>
      <c r="G768" s="25" t="str">
        <f aca="true">IF(OR(D768="",E768=""),"",IFERROR(D768*INDEX(UnidadesFactor,MATCH(E768,Unidades,0)),""))</f>
        <v/>
      </c>
      <c r="H768" s="17" t="str">
        <f aca="false">IF(I768&lt;&gt;"OK","",IF(G768=0,"",F768/G768))</f>
        <v/>
      </c>
      <c r="I768" s="20" t="str">
        <f aca="true">IF(B768="","",IF(ISNA(MATCH(B768,ListaInsumos,0)),"Insumo no está en Insumos",IF(OR(D768="",E768="",F768=""),"Faltan datos",IF(INDEX(UnidadesBase,MATCH(E768,Unidades,0))&lt;&gt;INDEX(InsBase,MATCH(B768,ListaInsumos,0)),"Unidad incompatible",IF(A768="","Falta fecha","OK")))))</f>
        <v/>
      </c>
      <c r="J768" s="15"/>
    </row>
    <row r="769" customFormat="false" ht="15" hidden="false" customHeight="false" outlineLevel="0" collapsed="false">
      <c r="A769" s="26"/>
      <c r="B769" s="15"/>
      <c r="C769" s="15"/>
      <c r="D769" s="27"/>
      <c r="E769" s="15"/>
      <c r="F769" s="28"/>
      <c r="G769" s="25" t="str">
        <f aca="true">IF(OR(D769="",E769=""),"",IFERROR(D769*INDEX(UnidadesFactor,MATCH(E769,Unidades,0)),""))</f>
        <v/>
      </c>
      <c r="H769" s="17" t="str">
        <f aca="false">IF(I769&lt;&gt;"OK","",IF(G769=0,"",F769/G769))</f>
        <v/>
      </c>
      <c r="I769" s="20" t="str">
        <f aca="true">IF(B769="","",IF(ISNA(MATCH(B769,ListaInsumos,0)),"Insumo no está en Insumos",IF(OR(D769="",E769="",F769=""),"Faltan datos",IF(INDEX(UnidadesBase,MATCH(E769,Unidades,0))&lt;&gt;INDEX(InsBase,MATCH(B769,ListaInsumos,0)),"Unidad incompatible",IF(A769="","Falta fecha","OK")))))</f>
        <v/>
      </c>
      <c r="J769" s="15"/>
    </row>
    <row r="770" customFormat="false" ht="15" hidden="false" customHeight="false" outlineLevel="0" collapsed="false">
      <c r="A770" s="26"/>
      <c r="B770" s="15"/>
      <c r="C770" s="15"/>
      <c r="D770" s="27"/>
      <c r="E770" s="15"/>
      <c r="F770" s="28"/>
      <c r="G770" s="25" t="str">
        <f aca="true">IF(OR(D770="",E770=""),"",IFERROR(D770*INDEX(UnidadesFactor,MATCH(E770,Unidades,0)),""))</f>
        <v/>
      </c>
      <c r="H770" s="17" t="str">
        <f aca="false">IF(I770&lt;&gt;"OK","",IF(G770=0,"",F770/G770))</f>
        <v/>
      </c>
      <c r="I770" s="20" t="str">
        <f aca="true">IF(B770="","",IF(ISNA(MATCH(B770,ListaInsumos,0)),"Insumo no está en Insumos",IF(OR(D770="",E770="",F770=""),"Faltan datos",IF(INDEX(UnidadesBase,MATCH(E770,Unidades,0))&lt;&gt;INDEX(InsBase,MATCH(B770,ListaInsumos,0)),"Unidad incompatible",IF(A770="","Falta fecha","OK")))))</f>
        <v/>
      </c>
      <c r="J770" s="15"/>
    </row>
    <row r="771" customFormat="false" ht="15" hidden="false" customHeight="false" outlineLevel="0" collapsed="false">
      <c r="A771" s="26"/>
      <c r="B771" s="15"/>
      <c r="C771" s="15"/>
      <c r="D771" s="27"/>
      <c r="E771" s="15"/>
      <c r="F771" s="28"/>
      <c r="G771" s="25" t="str">
        <f aca="true">IF(OR(D771="",E771=""),"",IFERROR(D771*INDEX(UnidadesFactor,MATCH(E771,Unidades,0)),""))</f>
        <v/>
      </c>
      <c r="H771" s="17" t="str">
        <f aca="false">IF(I771&lt;&gt;"OK","",IF(G771=0,"",F771/G771))</f>
        <v/>
      </c>
      <c r="I771" s="20" t="str">
        <f aca="true">IF(B771="","",IF(ISNA(MATCH(B771,ListaInsumos,0)),"Insumo no está en Insumos",IF(OR(D771="",E771="",F771=""),"Faltan datos",IF(INDEX(UnidadesBase,MATCH(E771,Unidades,0))&lt;&gt;INDEX(InsBase,MATCH(B771,ListaInsumos,0)),"Unidad incompatible",IF(A771="","Falta fecha","OK")))))</f>
        <v/>
      </c>
      <c r="J771" s="15"/>
    </row>
    <row r="772" customFormat="false" ht="15" hidden="false" customHeight="false" outlineLevel="0" collapsed="false">
      <c r="A772" s="26"/>
      <c r="B772" s="15"/>
      <c r="C772" s="15"/>
      <c r="D772" s="27"/>
      <c r="E772" s="15"/>
      <c r="F772" s="28"/>
      <c r="G772" s="25" t="str">
        <f aca="true">IF(OR(D772="",E772=""),"",IFERROR(D772*INDEX(UnidadesFactor,MATCH(E772,Unidades,0)),""))</f>
        <v/>
      </c>
      <c r="H772" s="17" t="str">
        <f aca="false">IF(I772&lt;&gt;"OK","",IF(G772=0,"",F772/G772))</f>
        <v/>
      </c>
      <c r="I772" s="20" t="str">
        <f aca="true">IF(B772="","",IF(ISNA(MATCH(B772,ListaInsumos,0)),"Insumo no está en Insumos",IF(OR(D772="",E772="",F772=""),"Faltan datos",IF(INDEX(UnidadesBase,MATCH(E772,Unidades,0))&lt;&gt;INDEX(InsBase,MATCH(B772,ListaInsumos,0)),"Unidad incompatible",IF(A772="","Falta fecha","OK")))))</f>
        <v/>
      </c>
      <c r="J772" s="15"/>
    </row>
    <row r="773" customFormat="false" ht="15" hidden="false" customHeight="false" outlineLevel="0" collapsed="false">
      <c r="A773" s="26"/>
      <c r="B773" s="15"/>
      <c r="C773" s="15"/>
      <c r="D773" s="27"/>
      <c r="E773" s="15"/>
      <c r="F773" s="28"/>
      <c r="G773" s="25" t="str">
        <f aca="true">IF(OR(D773="",E773=""),"",IFERROR(D773*INDEX(UnidadesFactor,MATCH(E773,Unidades,0)),""))</f>
        <v/>
      </c>
      <c r="H773" s="17" t="str">
        <f aca="false">IF(I773&lt;&gt;"OK","",IF(G773=0,"",F773/G773))</f>
        <v/>
      </c>
      <c r="I773" s="20" t="str">
        <f aca="true">IF(B773="","",IF(ISNA(MATCH(B773,ListaInsumos,0)),"Insumo no está en Insumos",IF(OR(D773="",E773="",F773=""),"Faltan datos",IF(INDEX(UnidadesBase,MATCH(E773,Unidades,0))&lt;&gt;INDEX(InsBase,MATCH(B773,ListaInsumos,0)),"Unidad incompatible",IF(A773="","Falta fecha","OK")))))</f>
        <v/>
      </c>
      <c r="J773" s="15"/>
    </row>
    <row r="774" customFormat="false" ht="15" hidden="false" customHeight="false" outlineLevel="0" collapsed="false">
      <c r="A774" s="26"/>
      <c r="B774" s="15"/>
      <c r="C774" s="15"/>
      <c r="D774" s="27"/>
      <c r="E774" s="15"/>
      <c r="F774" s="28"/>
      <c r="G774" s="25" t="str">
        <f aca="true">IF(OR(D774="",E774=""),"",IFERROR(D774*INDEX(UnidadesFactor,MATCH(E774,Unidades,0)),""))</f>
        <v/>
      </c>
      <c r="H774" s="17" t="str">
        <f aca="false">IF(I774&lt;&gt;"OK","",IF(G774=0,"",F774/G774))</f>
        <v/>
      </c>
      <c r="I774" s="20" t="str">
        <f aca="true">IF(B774="","",IF(ISNA(MATCH(B774,ListaInsumos,0)),"Insumo no está en Insumos",IF(OR(D774="",E774="",F774=""),"Faltan datos",IF(INDEX(UnidadesBase,MATCH(E774,Unidades,0))&lt;&gt;INDEX(InsBase,MATCH(B774,ListaInsumos,0)),"Unidad incompatible",IF(A774="","Falta fecha","OK")))))</f>
        <v/>
      </c>
      <c r="J774" s="15"/>
    </row>
    <row r="775" customFormat="false" ht="15" hidden="false" customHeight="false" outlineLevel="0" collapsed="false">
      <c r="A775" s="26"/>
      <c r="B775" s="15"/>
      <c r="C775" s="15"/>
      <c r="D775" s="27"/>
      <c r="E775" s="15"/>
      <c r="F775" s="28"/>
      <c r="G775" s="25" t="str">
        <f aca="true">IF(OR(D775="",E775=""),"",IFERROR(D775*INDEX(UnidadesFactor,MATCH(E775,Unidades,0)),""))</f>
        <v/>
      </c>
      <c r="H775" s="17" t="str">
        <f aca="false">IF(I775&lt;&gt;"OK","",IF(G775=0,"",F775/G775))</f>
        <v/>
      </c>
      <c r="I775" s="20" t="str">
        <f aca="true">IF(B775="","",IF(ISNA(MATCH(B775,ListaInsumos,0)),"Insumo no está en Insumos",IF(OR(D775="",E775="",F775=""),"Faltan datos",IF(INDEX(UnidadesBase,MATCH(E775,Unidades,0))&lt;&gt;INDEX(InsBase,MATCH(B775,ListaInsumos,0)),"Unidad incompatible",IF(A775="","Falta fecha","OK")))))</f>
        <v/>
      </c>
      <c r="J775" s="15"/>
    </row>
    <row r="776" customFormat="false" ht="15" hidden="false" customHeight="false" outlineLevel="0" collapsed="false">
      <c r="A776" s="26"/>
      <c r="B776" s="15"/>
      <c r="C776" s="15"/>
      <c r="D776" s="27"/>
      <c r="E776" s="15"/>
      <c r="F776" s="28"/>
      <c r="G776" s="25" t="str">
        <f aca="true">IF(OR(D776="",E776=""),"",IFERROR(D776*INDEX(UnidadesFactor,MATCH(E776,Unidades,0)),""))</f>
        <v/>
      </c>
      <c r="H776" s="17" t="str">
        <f aca="false">IF(I776&lt;&gt;"OK","",IF(G776=0,"",F776/G776))</f>
        <v/>
      </c>
      <c r="I776" s="20" t="str">
        <f aca="true">IF(B776="","",IF(ISNA(MATCH(B776,ListaInsumos,0)),"Insumo no está en Insumos",IF(OR(D776="",E776="",F776=""),"Faltan datos",IF(INDEX(UnidadesBase,MATCH(E776,Unidades,0))&lt;&gt;INDEX(InsBase,MATCH(B776,ListaInsumos,0)),"Unidad incompatible",IF(A776="","Falta fecha","OK")))))</f>
        <v/>
      </c>
      <c r="J776" s="15"/>
    </row>
    <row r="777" customFormat="false" ht="15" hidden="false" customHeight="false" outlineLevel="0" collapsed="false">
      <c r="A777" s="26"/>
      <c r="B777" s="15"/>
      <c r="C777" s="15"/>
      <c r="D777" s="27"/>
      <c r="E777" s="15"/>
      <c r="F777" s="28"/>
      <c r="G777" s="25" t="str">
        <f aca="true">IF(OR(D777="",E777=""),"",IFERROR(D777*INDEX(UnidadesFactor,MATCH(E777,Unidades,0)),""))</f>
        <v/>
      </c>
      <c r="H777" s="17" t="str">
        <f aca="false">IF(I777&lt;&gt;"OK","",IF(G777=0,"",F777/G777))</f>
        <v/>
      </c>
      <c r="I777" s="20" t="str">
        <f aca="true">IF(B777="","",IF(ISNA(MATCH(B777,ListaInsumos,0)),"Insumo no está en Insumos",IF(OR(D777="",E777="",F777=""),"Faltan datos",IF(INDEX(UnidadesBase,MATCH(E777,Unidades,0))&lt;&gt;INDEX(InsBase,MATCH(B777,ListaInsumos,0)),"Unidad incompatible",IF(A777="","Falta fecha","OK")))))</f>
        <v/>
      </c>
      <c r="J777" s="15"/>
    </row>
    <row r="778" customFormat="false" ht="15" hidden="false" customHeight="false" outlineLevel="0" collapsed="false">
      <c r="A778" s="26"/>
      <c r="B778" s="15"/>
      <c r="C778" s="15"/>
      <c r="D778" s="27"/>
      <c r="E778" s="15"/>
      <c r="F778" s="28"/>
      <c r="G778" s="25" t="str">
        <f aca="true">IF(OR(D778="",E778=""),"",IFERROR(D778*INDEX(UnidadesFactor,MATCH(E778,Unidades,0)),""))</f>
        <v/>
      </c>
      <c r="H778" s="17" t="str">
        <f aca="false">IF(I778&lt;&gt;"OK","",IF(G778=0,"",F778/G778))</f>
        <v/>
      </c>
      <c r="I778" s="20" t="str">
        <f aca="true">IF(B778="","",IF(ISNA(MATCH(B778,ListaInsumos,0)),"Insumo no está en Insumos",IF(OR(D778="",E778="",F778=""),"Faltan datos",IF(INDEX(UnidadesBase,MATCH(E778,Unidades,0))&lt;&gt;INDEX(InsBase,MATCH(B778,ListaInsumos,0)),"Unidad incompatible",IF(A778="","Falta fecha","OK")))))</f>
        <v/>
      </c>
      <c r="J778" s="15"/>
    </row>
    <row r="779" customFormat="false" ht="15" hidden="false" customHeight="false" outlineLevel="0" collapsed="false">
      <c r="A779" s="26"/>
      <c r="B779" s="15"/>
      <c r="C779" s="15"/>
      <c r="D779" s="27"/>
      <c r="E779" s="15"/>
      <c r="F779" s="28"/>
      <c r="G779" s="25" t="str">
        <f aca="true">IF(OR(D779="",E779=""),"",IFERROR(D779*INDEX(UnidadesFactor,MATCH(E779,Unidades,0)),""))</f>
        <v/>
      </c>
      <c r="H779" s="17" t="str">
        <f aca="false">IF(I779&lt;&gt;"OK","",IF(G779=0,"",F779/G779))</f>
        <v/>
      </c>
      <c r="I779" s="20" t="str">
        <f aca="true">IF(B779="","",IF(ISNA(MATCH(B779,ListaInsumos,0)),"Insumo no está en Insumos",IF(OR(D779="",E779="",F779=""),"Faltan datos",IF(INDEX(UnidadesBase,MATCH(E779,Unidades,0))&lt;&gt;INDEX(InsBase,MATCH(B779,ListaInsumos,0)),"Unidad incompatible",IF(A779="","Falta fecha","OK")))))</f>
        <v/>
      </c>
      <c r="J779" s="15"/>
    </row>
    <row r="780" customFormat="false" ht="15" hidden="false" customHeight="false" outlineLevel="0" collapsed="false">
      <c r="A780" s="26"/>
      <c r="B780" s="15"/>
      <c r="C780" s="15"/>
      <c r="D780" s="27"/>
      <c r="E780" s="15"/>
      <c r="F780" s="28"/>
      <c r="G780" s="25" t="str">
        <f aca="true">IF(OR(D780="",E780=""),"",IFERROR(D780*INDEX(UnidadesFactor,MATCH(E780,Unidades,0)),""))</f>
        <v/>
      </c>
      <c r="H780" s="17" t="str">
        <f aca="false">IF(I780&lt;&gt;"OK","",IF(G780=0,"",F780/G780))</f>
        <v/>
      </c>
      <c r="I780" s="20" t="str">
        <f aca="true">IF(B780="","",IF(ISNA(MATCH(B780,ListaInsumos,0)),"Insumo no está en Insumos",IF(OR(D780="",E780="",F780=""),"Faltan datos",IF(INDEX(UnidadesBase,MATCH(E780,Unidades,0))&lt;&gt;INDEX(InsBase,MATCH(B780,ListaInsumos,0)),"Unidad incompatible",IF(A780="","Falta fecha","OK")))))</f>
        <v/>
      </c>
      <c r="J780" s="15"/>
    </row>
    <row r="781" customFormat="false" ht="15" hidden="false" customHeight="false" outlineLevel="0" collapsed="false">
      <c r="A781" s="26"/>
      <c r="B781" s="15"/>
      <c r="C781" s="15"/>
      <c r="D781" s="27"/>
      <c r="E781" s="15"/>
      <c r="F781" s="28"/>
      <c r="G781" s="25" t="str">
        <f aca="true">IF(OR(D781="",E781=""),"",IFERROR(D781*INDEX(UnidadesFactor,MATCH(E781,Unidades,0)),""))</f>
        <v/>
      </c>
      <c r="H781" s="17" t="str">
        <f aca="false">IF(I781&lt;&gt;"OK","",IF(G781=0,"",F781/G781))</f>
        <v/>
      </c>
      <c r="I781" s="20" t="str">
        <f aca="true">IF(B781="","",IF(ISNA(MATCH(B781,ListaInsumos,0)),"Insumo no está en Insumos",IF(OR(D781="",E781="",F781=""),"Faltan datos",IF(INDEX(UnidadesBase,MATCH(E781,Unidades,0))&lt;&gt;INDEX(InsBase,MATCH(B781,ListaInsumos,0)),"Unidad incompatible",IF(A781="","Falta fecha","OK")))))</f>
        <v/>
      </c>
      <c r="J781" s="15"/>
    </row>
    <row r="782" customFormat="false" ht="15" hidden="false" customHeight="false" outlineLevel="0" collapsed="false">
      <c r="A782" s="26"/>
      <c r="B782" s="15"/>
      <c r="C782" s="15"/>
      <c r="D782" s="27"/>
      <c r="E782" s="15"/>
      <c r="F782" s="28"/>
      <c r="G782" s="25" t="str">
        <f aca="true">IF(OR(D782="",E782=""),"",IFERROR(D782*INDEX(UnidadesFactor,MATCH(E782,Unidades,0)),""))</f>
        <v/>
      </c>
      <c r="H782" s="17" t="str">
        <f aca="false">IF(I782&lt;&gt;"OK","",IF(G782=0,"",F782/G782))</f>
        <v/>
      </c>
      <c r="I782" s="20" t="str">
        <f aca="true">IF(B782="","",IF(ISNA(MATCH(B782,ListaInsumos,0)),"Insumo no está en Insumos",IF(OR(D782="",E782="",F782=""),"Faltan datos",IF(INDEX(UnidadesBase,MATCH(E782,Unidades,0))&lt;&gt;INDEX(InsBase,MATCH(B782,ListaInsumos,0)),"Unidad incompatible",IF(A782="","Falta fecha","OK")))))</f>
        <v/>
      </c>
      <c r="J782" s="15"/>
    </row>
    <row r="783" customFormat="false" ht="15" hidden="false" customHeight="false" outlineLevel="0" collapsed="false">
      <c r="A783" s="26"/>
      <c r="B783" s="15"/>
      <c r="C783" s="15"/>
      <c r="D783" s="27"/>
      <c r="E783" s="15"/>
      <c r="F783" s="28"/>
      <c r="G783" s="25" t="str">
        <f aca="true">IF(OR(D783="",E783=""),"",IFERROR(D783*INDEX(UnidadesFactor,MATCH(E783,Unidades,0)),""))</f>
        <v/>
      </c>
      <c r="H783" s="17" t="str">
        <f aca="false">IF(I783&lt;&gt;"OK","",IF(G783=0,"",F783/G783))</f>
        <v/>
      </c>
      <c r="I783" s="20" t="str">
        <f aca="true">IF(B783="","",IF(ISNA(MATCH(B783,ListaInsumos,0)),"Insumo no está en Insumos",IF(OR(D783="",E783="",F783=""),"Faltan datos",IF(INDEX(UnidadesBase,MATCH(E783,Unidades,0))&lt;&gt;INDEX(InsBase,MATCH(B783,ListaInsumos,0)),"Unidad incompatible",IF(A783="","Falta fecha","OK")))))</f>
        <v/>
      </c>
      <c r="J783" s="15"/>
    </row>
    <row r="784" customFormat="false" ht="15" hidden="false" customHeight="false" outlineLevel="0" collapsed="false">
      <c r="A784" s="26"/>
      <c r="B784" s="15"/>
      <c r="C784" s="15"/>
      <c r="D784" s="27"/>
      <c r="E784" s="15"/>
      <c r="F784" s="28"/>
      <c r="G784" s="25" t="str">
        <f aca="true">IF(OR(D784="",E784=""),"",IFERROR(D784*INDEX(UnidadesFactor,MATCH(E784,Unidades,0)),""))</f>
        <v/>
      </c>
      <c r="H784" s="17" t="str">
        <f aca="false">IF(I784&lt;&gt;"OK","",IF(G784=0,"",F784/G784))</f>
        <v/>
      </c>
      <c r="I784" s="20" t="str">
        <f aca="true">IF(B784="","",IF(ISNA(MATCH(B784,ListaInsumos,0)),"Insumo no está en Insumos",IF(OR(D784="",E784="",F784=""),"Faltan datos",IF(INDEX(UnidadesBase,MATCH(E784,Unidades,0))&lt;&gt;INDEX(InsBase,MATCH(B784,ListaInsumos,0)),"Unidad incompatible",IF(A784="","Falta fecha","OK")))))</f>
        <v/>
      </c>
      <c r="J784" s="15"/>
    </row>
    <row r="785" customFormat="false" ht="15" hidden="false" customHeight="false" outlineLevel="0" collapsed="false">
      <c r="A785" s="26"/>
      <c r="B785" s="15"/>
      <c r="C785" s="15"/>
      <c r="D785" s="27"/>
      <c r="E785" s="15"/>
      <c r="F785" s="28"/>
      <c r="G785" s="25" t="str">
        <f aca="true">IF(OR(D785="",E785=""),"",IFERROR(D785*INDEX(UnidadesFactor,MATCH(E785,Unidades,0)),""))</f>
        <v/>
      </c>
      <c r="H785" s="17" t="str">
        <f aca="false">IF(I785&lt;&gt;"OK","",IF(G785=0,"",F785/G785))</f>
        <v/>
      </c>
      <c r="I785" s="20" t="str">
        <f aca="true">IF(B785="","",IF(ISNA(MATCH(B785,ListaInsumos,0)),"Insumo no está en Insumos",IF(OR(D785="",E785="",F785=""),"Faltan datos",IF(INDEX(UnidadesBase,MATCH(E785,Unidades,0))&lt;&gt;INDEX(InsBase,MATCH(B785,ListaInsumos,0)),"Unidad incompatible",IF(A785="","Falta fecha","OK")))))</f>
        <v/>
      </c>
      <c r="J785" s="15"/>
    </row>
    <row r="786" customFormat="false" ht="15" hidden="false" customHeight="false" outlineLevel="0" collapsed="false">
      <c r="A786" s="26"/>
      <c r="B786" s="15"/>
      <c r="C786" s="15"/>
      <c r="D786" s="27"/>
      <c r="E786" s="15"/>
      <c r="F786" s="28"/>
      <c r="G786" s="25" t="str">
        <f aca="true">IF(OR(D786="",E786=""),"",IFERROR(D786*INDEX(UnidadesFactor,MATCH(E786,Unidades,0)),""))</f>
        <v/>
      </c>
      <c r="H786" s="17" t="str">
        <f aca="false">IF(I786&lt;&gt;"OK","",IF(G786=0,"",F786/G786))</f>
        <v/>
      </c>
      <c r="I786" s="20" t="str">
        <f aca="true">IF(B786="","",IF(ISNA(MATCH(B786,ListaInsumos,0)),"Insumo no está en Insumos",IF(OR(D786="",E786="",F786=""),"Faltan datos",IF(INDEX(UnidadesBase,MATCH(E786,Unidades,0))&lt;&gt;INDEX(InsBase,MATCH(B786,ListaInsumos,0)),"Unidad incompatible",IF(A786="","Falta fecha","OK")))))</f>
        <v/>
      </c>
      <c r="J786" s="15"/>
    </row>
    <row r="787" customFormat="false" ht="15" hidden="false" customHeight="false" outlineLevel="0" collapsed="false">
      <c r="A787" s="26"/>
      <c r="B787" s="15"/>
      <c r="C787" s="15"/>
      <c r="D787" s="27"/>
      <c r="E787" s="15"/>
      <c r="F787" s="28"/>
      <c r="G787" s="25" t="str">
        <f aca="true">IF(OR(D787="",E787=""),"",IFERROR(D787*INDEX(UnidadesFactor,MATCH(E787,Unidades,0)),""))</f>
        <v/>
      </c>
      <c r="H787" s="17" t="str">
        <f aca="false">IF(I787&lt;&gt;"OK","",IF(G787=0,"",F787/G787))</f>
        <v/>
      </c>
      <c r="I787" s="20" t="str">
        <f aca="true">IF(B787="","",IF(ISNA(MATCH(B787,ListaInsumos,0)),"Insumo no está en Insumos",IF(OR(D787="",E787="",F787=""),"Faltan datos",IF(INDEX(UnidadesBase,MATCH(E787,Unidades,0))&lt;&gt;INDEX(InsBase,MATCH(B787,ListaInsumos,0)),"Unidad incompatible",IF(A787="","Falta fecha","OK")))))</f>
        <v/>
      </c>
      <c r="J787" s="15"/>
    </row>
    <row r="788" customFormat="false" ht="15" hidden="false" customHeight="false" outlineLevel="0" collapsed="false">
      <c r="A788" s="26"/>
      <c r="B788" s="15"/>
      <c r="C788" s="15"/>
      <c r="D788" s="27"/>
      <c r="E788" s="15"/>
      <c r="F788" s="28"/>
      <c r="G788" s="25" t="str">
        <f aca="true">IF(OR(D788="",E788=""),"",IFERROR(D788*INDEX(UnidadesFactor,MATCH(E788,Unidades,0)),""))</f>
        <v/>
      </c>
      <c r="H788" s="17" t="str">
        <f aca="false">IF(I788&lt;&gt;"OK","",IF(G788=0,"",F788/G788))</f>
        <v/>
      </c>
      <c r="I788" s="20" t="str">
        <f aca="true">IF(B788="","",IF(ISNA(MATCH(B788,ListaInsumos,0)),"Insumo no está en Insumos",IF(OR(D788="",E788="",F788=""),"Faltan datos",IF(INDEX(UnidadesBase,MATCH(E788,Unidades,0))&lt;&gt;INDEX(InsBase,MATCH(B788,ListaInsumos,0)),"Unidad incompatible",IF(A788="","Falta fecha","OK")))))</f>
        <v/>
      </c>
      <c r="J788" s="15"/>
    </row>
    <row r="789" customFormat="false" ht="15" hidden="false" customHeight="false" outlineLevel="0" collapsed="false">
      <c r="A789" s="26"/>
      <c r="B789" s="15"/>
      <c r="C789" s="15"/>
      <c r="D789" s="27"/>
      <c r="E789" s="15"/>
      <c r="F789" s="28"/>
      <c r="G789" s="25" t="str">
        <f aca="true">IF(OR(D789="",E789=""),"",IFERROR(D789*INDEX(UnidadesFactor,MATCH(E789,Unidades,0)),""))</f>
        <v/>
      </c>
      <c r="H789" s="17" t="str">
        <f aca="false">IF(I789&lt;&gt;"OK","",IF(G789=0,"",F789/G789))</f>
        <v/>
      </c>
      <c r="I789" s="20" t="str">
        <f aca="true">IF(B789="","",IF(ISNA(MATCH(B789,ListaInsumos,0)),"Insumo no está en Insumos",IF(OR(D789="",E789="",F789=""),"Faltan datos",IF(INDEX(UnidadesBase,MATCH(E789,Unidades,0))&lt;&gt;INDEX(InsBase,MATCH(B789,ListaInsumos,0)),"Unidad incompatible",IF(A789="","Falta fecha","OK")))))</f>
        <v/>
      </c>
      <c r="J789" s="15"/>
    </row>
    <row r="790" customFormat="false" ht="15" hidden="false" customHeight="false" outlineLevel="0" collapsed="false">
      <c r="A790" s="26"/>
      <c r="B790" s="15"/>
      <c r="C790" s="15"/>
      <c r="D790" s="27"/>
      <c r="E790" s="15"/>
      <c r="F790" s="28"/>
      <c r="G790" s="25" t="str">
        <f aca="true">IF(OR(D790="",E790=""),"",IFERROR(D790*INDEX(UnidadesFactor,MATCH(E790,Unidades,0)),""))</f>
        <v/>
      </c>
      <c r="H790" s="17" t="str">
        <f aca="false">IF(I790&lt;&gt;"OK","",IF(G790=0,"",F790/G790))</f>
        <v/>
      </c>
      <c r="I790" s="20" t="str">
        <f aca="true">IF(B790="","",IF(ISNA(MATCH(B790,ListaInsumos,0)),"Insumo no está en Insumos",IF(OR(D790="",E790="",F790=""),"Faltan datos",IF(INDEX(UnidadesBase,MATCH(E790,Unidades,0))&lt;&gt;INDEX(InsBase,MATCH(B790,ListaInsumos,0)),"Unidad incompatible",IF(A790="","Falta fecha","OK")))))</f>
        <v/>
      </c>
      <c r="J790" s="15"/>
    </row>
    <row r="791" customFormat="false" ht="15" hidden="false" customHeight="false" outlineLevel="0" collapsed="false">
      <c r="A791" s="26"/>
      <c r="B791" s="15"/>
      <c r="C791" s="15"/>
      <c r="D791" s="27"/>
      <c r="E791" s="15"/>
      <c r="F791" s="28"/>
      <c r="G791" s="25" t="str">
        <f aca="true">IF(OR(D791="",E791=""),"",IFERROR(D791*INDEX(UnidadesFactor,MATCH(E791,Unidades,0)),""))</f>
        <v/>
      </c>
      <c r="H791" s="17" t="str">
        <f aca="false">IF(I791&lt;&gt;"OK","",IF(G791=0,"",F791/G791))</f>
        <v/>
      </c>
      <c r="I791" s="20" t="str">
        <f aca="true">IF(B791="","",IF(ISNA(MATCH(B791,ListaInsumos,0)),"Insumo no está en Insumos",IF(OR(D791="",E791="",F791=""),"Faltan datos",IF(INDEX(UnidadesBase,MATCH(E791,Unidades,0))&lt;&gt;INDEX(InsBase,MATCH(B791,ListaInsumos,0)),"Unidad incompatible",IF(A791="","Falta fecha","OK")))))</f>
        <v/>
      </c>
      <c r="J791" s="15"/>
    </row>
    <row r="792" customFormat="false" ht="15" hidden="false" customHeight="false" outlineLevel="0" collapsed="false">
      <c r="A792" s="26"/>
      <c r="B792" s="15"/>
      <c r="C792" s="15"/>
      <c r="D792" s="27"/>
      <c r="E792" s="15"/>
      <c r="F792" s="28"/>
      <c r="G792" s="25" t="str">
        <f aca="true">IF(OR(D792="",E792=""),"",IFERROR(D792*INDEX(UnidadesFactor,MATCH(E792,Unidades,0)),""))</f>
        <v/>
      </c>
      <c r="H792" s="17" t="str">
        <f aca="false">IF(I792&lt;&gt;"OK","",IF(G792=0,"",F792/G792))</f>
        <v/>
      </c>
      <c r="I792" s="20" t="str">
        <f aca="true">IF(B792="","",IF(ISNA(MATCH(B792,ListaInsumos,0)),"Insumo no está en Insumos",IF(OR(D792="",E792="",F792=""),"Faltan datos",IF(INDEX(UnidadesBase,MATCH(E792,Unidades,0))&lt;&gt;INDEX(InsBase,MATCH(B792,ListaInsumos,0)),"Unidad incompatible",IF(A792="","Falta fecha","OK")))))</f>
        <v/>
      </c>
      <c r="J792" s="15"/>
    </row>
    <row r="793" customFormat="false" ht="15" hidden="false" customHeight="false" outlineLevel="0" collapsed="false">
      <c r="A793" s="26"/>
      <c r="B793" s="15"/>
      <c r="C793" s="15"/>
      <c r="D793" s="27"/>
      <c r="E793" s="15"/>
      <c r="F793" s="28"/>
      <c r="G793" s="25" t="str">
        <f aca="true">IF(OR(D793="",E793=""),"",IFERROR(D793*INDEX(UnidadesFactor,MATCH(E793,Unidades,0)),""))</f>
        <v/>
      </c>
      <c r="H793" s="17" t="str">
        <f aca="false">IF(I793&lt;&gt;"OK","",IF(G793=0,"",F793/G793))</f>
        <v/>
      </c>
      <c r="I793" s="20" t="str">
        <f aca="true">IF(B793="","",IF(ISNA(MATCH(B793,ListaInsumos,0)),"Insumo no está en Insumos",IF(OR(D793="",E793="",F793=""),"Faltan datos",IF(INDEX(UnidadesBase,MATCH(E793,Unidades,0))&lt;&gt;INDEX(InsBase,MATCH(B793,ListaInsumos,0)),"Unidad incompatible",IF(A793="","Falta fecha","OK")))))</f>
        <v/>
      </c>
      <c r="J793" s="15"/>
    </row>
    <row r="794" customFormat="false" ht="15" hidden="false" customHeight="false" outlineLevel="0" collapsed="false">
      <c r="A794" s="26"/>
      <c r="B794" s="15"/>
      <c r="C794" s="15"/>
      <c r="D794" s="27"/>
      <c r="E794" s="15"/>
      <c r="F794" s="28"/>
      <c r="G794" s="25" t="str">
        <f aca="true">IF(OR(D794="",E794=""),"",IFERROR(D794*INDEX(UnidadesFactor,MATCH(E794,Unidades,0)),""))</f>
        <v/>
      </c>
      <c r="H794" s="17" t="str">
        <f aca="false">IF(I794&lt;&gt;"OK","",IF(G794=0,"",F794/G794))</f>
        <v/>
      </c>
      <c r="I794" s="20" t="str">
        <f aca="true">IF(B794="","",IF(ISNA(MATCH(B794,ListaInsumos,0)),"Insumo no está en Insumos",IF(OR(D794="",E794="",F794=""),"Faltan datos",IF(INDEX(UnidadesBase,MATCH(E794,Unidades,0))&lt;&gt;INDEX(InsBase,MATCH(B794,ListaInsumos,0)),"Unidad incompatible",IF(A794="","Falta fecha","OK")))))</f>
        <v/>
      </c>
      <c r="J794" s="15"/>
    </row>
    <row r="795" customFormat="false" ht="15" hidden="false" customHeight="false" outlineLevel="0" collapsed="false">
      <c r="A795" s="26"/>
      <c r="B795" s="15"/>
      <c r="C795" s="15"/>
      <c r="D795" s="27"/>
      <c r="E795" s="15"/>
      <c r="F795" s="28"/>
      <c r="G795" s="25" t="str">
        <f aca="true">IF(OR(D795="",E795=""),"",IFERROR(D795*INDEX(UnidadesFactor,MATCH(E795,Unidades,0)),""))</f>
        <v/>
      </c>
      <c r="H795" s="17" t="str">
        <f aca="false">IF(I795&lt;&gt;"OK","",IF(G795=0,"",F795/G795))</f>
        <v/>
      </c>
      <c r="I795" s="20" t="str">
        <f aca="true">IF(B795="","",IF(ISNA(MATCH(B795,ListaInsumos,0)),"Insumo no está en Insumos",IF(OR(D795="",E795="",F795=""),"Faltan datos",IF(INDEX(UnidadesBase,MATCH(E795,Unidades,0))&lt;&gt;INDEX(InsBase,MATCH(B795,ListaInsumos,0)),"Unidad incompatible",IF(A795="","Falta fecha","OK")))))</f>
        <v/>
      </c>
      <c r="J795" s="15"/>
    </row>
    <row r="796" customFormat="false" ht="15" hidden="false" customHeight="false" outlineLevel="0" collapsed="false">
      <c r="A796" s="26"/>
      <c r="B796" s="15"/>
      <c r="C796" s="15"/>
      <c r="D796" s="27"/>
      <c r="E796" s="15"/>
      <c r="F796" s="28"/>
      <c r="G796" s="25" t="str">
        <f aca="true">IF(OR(D796="",E796=""),"",IFERROR(D796*INDEX(UnidadesFactor,MATCH(E796,Unidades,0)),""))</f>
        <v/>
      </c>
      <c r="H796" s="17" t="str">
        <f aca="false">IF(I796&lt;&gt;"OK","",IF(G796=0,"",F796/G796))</f>
        <v/>
      </c>
      <c r="I796" s="20" t="str">
        <f aca="true">IF(B796="","",IF(ISNA(MATCH(B796,ListaInsumos,0)),"Insumo no está en Insumos",IF(OR(D796="",E796="",F796=""),"Faltan datos",IF(INDEX(UnidadesBase,MATCH(E796,Unidades,0))&lt;&gt;INDEX(InsBase,MATCH(B796,ListaInsumos,0)),"Unidad incompatible",IF(A796="","Falta fecha","OK")))))</f>
        <v/>
      </c>
      <c r="J796" s="15"/>
    </row>
    <row r="797" customFormat="false" ht="15" hidden="false" customHeight="false" outlineLevel="0" collapsed="false">
      <c r="A797" s="26"/>
      <c r="B797" s="15"/>
      <c r="C797" s="15"/>
      <c r="D797" s="27"/>
      <c r="E797" s="15"/>
      <c r="F797" s="28"/>
      <c r="G797" s="25" t="str">
        <f aca="true">IF(OR(D797="",E797=""),"",IFERROR(D797*INDEX(UnidadesFactor,MATCH(E797,Unidades,0)),""))</f>
        <v/>
      </c>
      <c r="H797" s="17" t="str">
        <f aca="false">IF(I797&lt;&gt;"OK","",IF(G797=0,"",F797/G797))</f>
        <v/>
      </c>
      <c r="I797" s="20" t="str">
        <f aca="true">IF(B797="","",IF(ISNA(MATCH(B797,ListaInsumos,0)),"Insumo no está en Insumos",IF(OR(D797="",E797="",F797=""),"Faltan datos",IF(INDEX(UnidadesBase,MATCH(E797,Unidades,0))&lt;&gt;INDEX(InsBase,MATCH(B797,ListaInsumos,0)),"Unidad incompatible",IF(A797="","Falta fecha","OK")))))</f>
        <v/>
      </c>
      <c r="J797" s="15"/>
    </row>
    <row r="798" customFormat="false" ht="15" hidden="false" customHeight="false" outlineLevel="0" collapsed="false">
      <c r="A798" s="26"/>
      <c r="B798" s="15"/>
      <c r="C798" s="15"/>
      <c r="D798" s="27"/>
      <c r="E798" s="15"/>
      <c r="F798" s="28"/>
      <c r="G798" s="25" t="str">
        <f aca="true">IF(OR(D798="",E798=""),"",IFERROR(D798*INDEX(UnidadesFactor,MATCH(E798,Unidades,0)),""))</f>
        <v/>
      </c>
      <c r="H798" s="17" t="str">
        <f aca="false">IF(I798&lt;&gt;"OK","",IF(G798=0,"",F798/G798))</f>
        <v/>
      </c>
      <c r="I798" s="20" t="str">
        <f aca="true">IF(B798="","",IF(ISNA(MATCH(B798,ListaInsumos,0)),"Insumo no está en Insumos",IF(OR(D798="",E798="",F798=""),"Faltan datos",IF(INDEX(UnidadesBase,MATCH(E798,Unidades,0))&lt;&gt;INDEX(InsBase,MATCH(B798,ListaInsumos,0)),"Unidad incompatible",IF(A798="","Falta fecha","OK")))))</f>
        <v/>
      </c>
      <c r="J798" s="15"/>
    </row>
    <row r="799" customFormat="false" ht="15" hidden="false" customHeight="false" outlineLevel="0" collapsed="false">
      <c r="A799" s="26"/>
      <c r="B799" s="15"/>
      <c r="C799" s="15"/>
      <c r="D799" s="27"/>
      <c r="E799" s="15"/>
      <c r="F799" s="28"/>
      <c r="G799" s="25" t="str">
        <f aca="true">IF(OR(D799="",E799=""),"",IFERROR(D799*INDEX(UnidadesFactor,MATCH(E799,Unidades,0)),""))</f>
        <v/>
      </c>
      <c r="H799" s="17" t="str">
        <f aca="false">IF(I799&lt;&gt;"OK","",IF(G799=0,"",F799/G799))</f>
        <v/>
      </c>
      <c r="I799" s="20" t="str">
        <f aca="true">IF(B799="","",IF(ISNA(MATCH(B799,ListaInsumos,0)),"Insumo no está en Insumos",IF(OR(D799="",E799="",F799=""),"Faltan datos",IF(INDEX(UnidadesBase,MATCH(E799,Unidades,0))&lt;&gt;INDEX(InsBase,MATCH(B799,ListaInsumos,0)),"Unidad incompatible",IF(A799="","Falta fecha","OK")))))</f>
        <v/>
      </c>
      <c r="J799" s="15"/>
    </row>
    <row r="800" customFormat="false" ht="15" hidden="false" customHeight="false" outlineLevel="0" collapsed="false">
      <c r="A800" s="26"/>
      <c r="B800" s="15"/>
      <c r="C800" s="15"/>
      <c r="D800" s="27"/>
      <c r="E800" s="15"/>
      <c r="F800" s="28"/>
      <c r="G800" s="25" t="str">
        <f aca="true">IF(OR(D800="",E800=""),"",IFERROR(D800*INDEX(UnidadesFactor,MATCH(E800,Unidades,0)),""))</f>
        <v/>
      </c>
      <c r="H800" s="17" t="str">
        <f aca="false">IF(I800&lt;&gt;"OK","",IF(G800=0,"",F800/G800))</f>
        <v/>
      </c>
      <c r="I800" s="20" t="str">
        <f aca="true">IF(B800="","",IF(ISNA(MATCH(B800,ListaInsumos,0)),"Insumo no está en Insumos",IF(OR(D800="",E800="",F800=""),"Faltan datos",IF(INDEX(UnidadesBase,MATCH(E800,Unidades,0))&lt;&gt;INDEX(InsBase,MATCH(B800,ListaInsumos,0)),"Unidad incompatible",IF(A800="","Falta fecha","OK")))))</f>
        <v/>
      </c>
      <c r="J800" s="15"/>
    </row>
    <row r="801" customFormat="false" ht="15" hidden="false" customHeight="false" outlineLevel="0" collapsed="false">
      <c r="A801" s="26"/>
      <c r="B801" s="15"/>
      <c r="C801" s="15"/>
      <c r="D801" s="27"/>
      <c r="E801" s="15"/>
      <c r="F801" s="28"/>
      <c r="G801" s="25" t="str">
        <f aca="true">IF(OR(D801="",E801=""),"",IFERROR(D801*INDEX(UnidadesFactor,MATCH(E801,Unidades,0)),""))</f>
        <v/>
      </c>
      <c r="H801" s="17" t="str">
        <f aca="false">IF(I801&lt;&gt;"OK","",IF(G801=0,"",F801/G801))</f>
        <v/>
      </c>
      <c r="I801" s="20" t="str">
        <f aca="true">IF(B801="","",IF(ISNA(MATCH(B801,ListaInsumos,0)),"Insumo no está en Insumos",IF(OR(D801="",E801="",F801=""),"Faltan datos",IF(INDEX(UnidadesBase,MATCH(E801,Unidades,0))&lt;&gt;INDEX(InsBase,MATCH(B801,ListaInsumos,0)),"Unidad incompatible",IF(A801="","Falta fecha","OK")))))</f>
        <v/>
      </c>
      <c r="J801" s="15"/>
    </row>
    <row r="802" customFormat="false" ht="15" hidden="false" customHeight="false" outlineLevel="0" collapsed="false">
      <c r="A802" s="26"/>
      <c r="B802" s="15"/>
      <c r="C802" s="15"/>
      <c r="D802" s="27"/>
      <c r="E802" s="15"/>
      <c r="F802" s="28"/>
      <c r="G802" s="25" t="str">
        <f aca="true">IF(OR(D802="",E802=""),"",IFERROR(D802*INDEX(UnidadesFactor,MATCH(E802,Unidades,0)),""))</f>
        <v/>
      </c>
      <c r="H802" s="17" t="str">
        <f aca="false">IF(I802&lt;&gt;"OK","",IF(G802=0,"",F802/G802))</f>
        <v/>
      </c>
      <c r="I802" s="20" t="str">
        <f aca="true">IF(B802="","",IF(ISNA(MATCH(B802,ListaInsumos,0)),"Insumo no está en Insumos",IF(OR(D802="",E802="",F802=""),"Faltan datos",IF(INDEX(UnidadesBase,MATCH(E802,Unidades,0))&lt;&gt;INDEX(InsBase,MATCH(B802,ListaInsumos,0)),"Unidad incompatible",IF(A802="","Falta fecha","OK")))))</f>
        <v/>
      </c>
      <c r="J802" s="15"/>
    </row>
    <row r="803" customFormat="false" ht="15" hidden="false" customHeight="false" outlineLevel="0" collapsed="false">
      <c r="A803" s="26"/>
      <c r="B803" s="15"/>
      <c r="C803" s="15"/>
      <c r="D803" s="27"/>
      <c r="E803" s="15"/>
      <c r="F803" s="28"/>
      <c r="G803" s="25" t="str">
        <f aca="true">IF(OR(D803="",E803=""),"",IFERROR(D803*INDEX(UnidadesFactor,MATCH(E803,Unidades,0)),""))</f>
        <v/>
      </c>
      <c r="H803" s="17" t="str">
        <f aca="false">IF(I803&lt;&gt;"OK","",IF(G803=0,"",F803/G803))</f>
        <v/>
      </c>
      <c r="I803" s="20" t="str">
        <f aca="true">IF(B803="","",IF(ISNA(MATCH(B803,ListaInsumos,0)),"Insumo no está en Insumos",IF(OR(D803="",E803="",F803=""),"Faltan datos",IF(INDEX(UnidadesBase,MATCH(E803,Unidades,0))&lt;&gt;INDEX(InsBase,MATCH(B803,ListaInsumos,0)),"Unidad incompatible",IF(A803="","Falta fecha","OK")))))</f>
        <v/>
      </c>
      <c r="J803" s="15"/>
    </row>
    <row r="804" customFormat="false" ht="15" hidden="false" customHeight="false" outlineLevel="0" collapsed="false">
      <c r="A804" s="26"/>
      <c r="B804" s="15"/>
      <c r="C804" s="15"/>
      <c r="D804" s="27"/>
      <c r="E804" s="15"/>
      <c r="F804" s="28"/>
      <c r="G804" s="25" t="str">
        <f aca="true">IF(OR(D804="",E804=""),"",IFERROR(D804*INDEX(UnidadesFactor,MATCH(E804,Unidades,0)),""))</f>
        <v/>
      </c>
      <c r="H804" s="17" t="str">
        <f aca="false">IF(I804&lt;&gt;"OK","",IF(G804=0,"",F804/G804))</f>
        <v/>
      </c>
      <c r="I804" s="20" t="str">
        <f aca="true">IF(B804="","",IF(ISNA(MATCH(B804,ListaInsumos,0)),"Insumo no está en Insumos",IF(OR(D804="",E804="",F804=""),"Faltan datos",IF(INDEX(UnidadesBase,MATCH(E804,Unidades,0))&lt;&gt;INDEX(InsBase,MATCH(B804,ListaInsumos,0)),"Unidad incompatible",IF(A804="","Falta fecha","OK")))))</f>
        <v/>
      </c>
      <c r="J804" s="15"/>
    </row>
    <row r="805" customFormat="false" ht="15" hidden="false" customHeight="false" outlineLevel="0" collapsed="false">
      <c r="A805" s="26"/>
      <c r="B805" s="15"/>
      <c r="C805" s="15"/>
      <c r="D805" s="27"/>
      <c r="E805" s="15"/>
      <c r="F805" s="28"/>
      <c r="G805" s="25" t="str">
        <f aca="true">IF(OR(D805="",E805=""),"",IFERROR(D805*INDEX(UnidadesFactor,MATCH(E805,Unidades,0)),""))</f>
        <v/>
      </c>
      <c r="H805" s="17" t="str">
        <f aca="false">IF(I805&lt;&gt;"OK","",IF(G805=0,"",F805/G805))</f>
        <v/>
      </c>
      <c r="I805" s="20" t="str">
        <f aca="true">IF(B805="","",IF(ISNA(MATCH(B805,ListaInsumos,0)),"Insumo no está en Insumos",IF(OR(D805="",E805="",F805=""),"Faltan datos",IF(INDEX(UnidadesBase,MATCH(E805,Unidades,0))&lt;&gt;INDEX(InsBase,MATCH(B805,ListaInsumos,0)),"Unidad incompatible",IF(A805="","Falta fecha","OK")))))</f>
        <v/>
      </c>
      <c r="J805" s="15"/>
    </row>
    <row r="806" customFormat="false" ht="15" hidden="false" customHeight="false" outlineLevel="0" collapsed="false">
      <c r="A806" s="26"/>
      <c r="B806" s="15"/>
      <c r="C806" s="15"/>
      <c r="D806" s="27"/>
      <c r="E806" s="15"/>
      <c r="F806" s="28"/>
      <c r="G806" s="25" t="str">
        <f aca="true">IF(OR(D806="",E806=""),"",IFERROR(D806*INDEX(UnidadesFactor,MATCH(E806,Unidades,0)),""))</f>
        <v/>
      </c>
      <c r="H806" s="17" t="str">
        <f aca="false">IF(I806&lt;&gt;"OK","",IF(G806=0,"",F806/G806))</f>
        <v/>
      </c>
      <c r="I806" s="20" t="str">
        <f aca="true">IF(B806="","",IF(ISNA(MATCH(B806,ListaInsumos,0)),"Insumo no está en Insumos",IF(OR(D806="",E806="",F806=""),"Faltan datos",IF(INDEX(UnidadesBase,MATCH(E806,Unidades,0))&lt;&gt;INDEX(InsBase,MATCH(B806,ListaInsumos,0)),"Unidad incompatible",IF(A806="","Falta fecha","OK")))))</f>
        <v/>
      </c>
      <c r="J806" s="15"/>
    </row>
    <row r="807" customFormat="false" ht="15" hidden="false" customHeight="false" outlineLevel="0" collapsed="false">
      <c r="A807" s="26"/>
      <c r="B807" s="15"/>
      <c r="C807" s="15"/>
      <c r="D807" s="27"/>
      <c r="E807" s="15"/>
      <c r="F807" s="28"/>
      <c r="G807" s="25" t="str">
        <f aca="true">IF(OR(D807="",E807=""),"",IFERROR(D807*INDEX(UnidadesFactor,MATCH(E807,Unidades,0)),""))</f>
        <v/>
      </c>
      <c r="H807" s="17" t="str">
        <f aca="false">IF(I807&lt;&gt;"OK","",IF(G807=0,"",F807/G807))</f>
        <v/>
      </c>
      <c r="I807" s="20" t="str">
        <f aca="true">IF(B807="","",IF(ISNA(MATCH(B807,ListaInsumos,0)),"Insumo no está en Insumos",IF(OR(D807="",E807="",F807=""),"Faltan datos",IF(INDEX(UnidadesBase,MATCH(E807,Unidades,0))&lt;&gt;INDEX(InsBase,MATCH(B807,ListaInsumos,0)),"Unidad incompatible",IF(A807="","Falta fecha","OK")))))</f>
        <v/>
      </c>
      <c r="J807" s="15"/>
    </row>
    <row r="808" customFormat="false" ht="15" hidden="false" customHeight="false" outlineLevel="0" collapsed="false">
      <c r="A808" s="26"/>
      <c r="B808" s="15"/>
      <c r="C808" s="15"/>
      <c r="D808" s="27"/>
      <c r="E808" s="15"/>
      <c r="F808" s="28"/>
      <c r="G808" s="25" t="str">
        <f aca="true">IF(OR(D808="",E808=""),"",IFERROR(D808*INDEX(UnidadesFactor,MATCH(E808,Unidades,0)),""))</f>
        <v/>
      </c>
      <c r="H808" s="17" t="str">
        <f aca="false">IF(I808&lt;&gt;"OK","",IF(G808=0,"",F808/G808))</f>
        <v/>
      </c>
      <c r="I808" s="20" t="str">
        <f aca="true">IF(B808="","",IF(ISNA(MATCH(B808,ListaInsumos,0)),"Insumo no está en Insumos",IF(OR(D808="",E808="",F808=""),"Faltan datos",IF(INDEX(UnidadesBase,MATCH(E808,Unidades,0))&lt;&gt;INDEX(InsBase,MATCH(B808,ListaInsumos,0)),"Unidad incompatible",IF(A808="","Falta fecha","OK")))))</f>
        <v/>
      </c>
      <c r="J808" s="15"/>
    </row>
    <row r="809" customFormat="false" ht="15" hidden="false" customHeight="false" outlineLevel="0" collapsed="false">
      <c r="A809" s="26"/>
      <c r="B809" s="15"/>
      <c r="C809" s="15"/>
      <c r="D809" s="27"/>
      <c r="E809" s="15"/>
      <c r="F809" s="28"/>
      <c r="G809" s="25" t="str">
        <f aca="true">IF(OR(D809="",E809=""),"",IFERROR(D809*INDEX(UnidadesFactor,MATCH(E809,Unidades,0)),""))</f>
        <v/>
      </c>
      <c r="H809" s="17" t="str">
        <f aca="false">IF(I809&lt;&gt;"OK","",IF(G809=0,"",F809/G809))</f>
        <v/>
      </c>
      <c r="I809" s="20" t="str">
        <f aca="true">IF(B809="","",IF(ISNA(MATCH(B809,ListaInsumos,0)),"Insumo no está en Insumos",IF(OR(D809="",E809="",F809=""),"Faltan datos",IF(INDEX(UnidadesBase,MATCH(E809,Unidades,0))&lt;&gt;INDEX(InsBase,MATCH(B809,ListaInsumos,0)),"Unidad incompatible",IF(A809="","Falta fecha","OK")))))</f>
        <v/>
      </c>
      <c r="J809" s="15"/>
    </row>
    <row r="810" customFormat="false" ht="15" hidden="false" customHeight="false" outlineLevel="0" collapsed="false">
      <c r="A810" s="26"/>
      <c r="B810" s="15"/>
      <c r="C810" s="15"/>
      <c r="D810" s="27"/>
      <c r="E810" s="15"/>
      <c r="F810" s="28"/>
      <c r="G810" s="25" t="str">
        <f aca="true">IF(OR(D810="",E810=""),"",IFERROR(D810*INDEX(UnidadesFactor,MATCH(E810,Unidades,0)),""))</f>
        <v/>
      </c>
      <c r="H810" s="17" t="str">
        <f aca="false">IF(I810&lt;&gt;"OK","",IF(G810=0,"",F810/G810))</f>
        <v/>
      </c>
      <c r="I810" s="20" t="str">
        <f aca="true">IF(B810="","",IF(ISNA(MATCH(B810,ListaInsumos,0)),"Insumo no está en Insumos",IF(OR(D810="",E810="",F810=""),"Faltan datos",IF(INDEX(UnidadesBase,MATCH(E810,Unidades,0))&lt;&gt;INDEX(InsBase,MATCH(B810,ListaInsumos,0)),"Unidad incompatible",IF(A810="","Falta fecha","OK")))))</f>
        <v/>
      </c>
      <c r="J810" s="15"/>
    </row>
    <row r="811" customFormat="false" ht="15" hidden="false" customHeight="false" outlineLevel="0" collapsed="false">
      <c r="A811" s="26"/>
      <c r="B811" s="15"/>
      <c r="C811" s="15"/>
      <c r="D811" s="27"/>
      <c r="E811" s="15"/>
      <c r="F811" s="28"/>
      <c r="G811" s="25" t="str">
        <f aca="true">IF(OR(D811="",E811=""),"",IFERROR(D811*INDEX(UnidadesFactor,MATCH(E811,Unidades,0)),""))</f>
        <v/>
      </c>
      <c r="H811" s="17" t="str">
        <f aca="false">IF(I811&lt;&gt;"OK","",IF(G811=0,"",F811/G811))</f>
        <v/>
      </c>
      <c r="I811" s="20" t="str">
        <f aca="true">IF(B811="","",IF(ISNA(MATCH(B811,ListaInsumos,0)),"Insumo no está en Insumos",IF(OR(D811="",E811="",F811=""),"Faltan datos",IF(INDEX(UnidadesBase,MATCH(E811,Unidades,0))&lt;&gt;INDEX(InsBase,MATCH(B811,ListaInsumos,0)),"Unidad incompatible",IF(A811="","Falta fecha","OK")))))</f>
        <v/>
      </c>
      <c r="J811" s="15"/>
    </row>
    <row r="812" customFormat="false" ht="15" hidden="false" customHeight="false" outlineLevel="0" collapsed="false">
      <c r="A812" s="26"/>
      <c r="B812" s="15"/>
      <c r="C812" s="15"/>
      <c r="D812" s="27"/>
      <c r="E812" s="15"/>
      <c r="F812" s="28"/>
      <c r="G812" s="25" t="str">
        <f aca="true">IF(OR(D812="",E812=""),"",IFERROR(D812*INDEX(UnidadesFactor,MATCH(E812,Unidades,0)),""))</f>
        <v/>
      </c>
      <c r="H812" s="17" t="str">
        <f aca="false">IF(I812&lt;&gt;"OK","",IF(G812=0,"",F812/G812))</f>
        <v/>
      </c>
      <c r="I812" s="20" t="str">
        <f aca="true">IF(B812="","",IF(ISNA(MATCH(B812,ListaInsumos,0)),"Insumo no está en Insumos",IF(OR(D812="",E812="",F812=""),"Faltan datos",IF(INDEX(UnidadesBase,MATCH(E812,Unidades,0))&lt;&gt;INDEX(InsBase,MATCH(B812,ListaInsumos,0)),"Unidad incompatible",IF(A812="","Falta fecha","OK")))))</f>
        <v/>
      </c>
      <c r="J812" s="15"/>
    </row>
    <row r="813" customFormat="false" ht="15" hidden="false" customHeight="false" outlineLevel="0" collapsed="false">
      <c r="A813" s="26"/>
      <c r="B813" s="15"/>
      <c r="C813" s="15"/>
      <c r="D813" s="27"/>
      <c r="E813" s="15"/>
      <c r="F813" s="28"/>
      <c r="G813" s="25" t="str">
        <f aca="true">IF(OR(D813="",E813=""),"",IFERROR(D813*INDEX(UnidadesFactor,MATCH(E813,Unidades,0)),""))</f>
        <v/>
      </c>
      <c r="H813" s="17" t="str">
        <f aca="false">IF(I813&lt;&gt;"OK","",IF(G813=0,"",F813/G813))</f>
        <v/>
      </c>
      <c r="I813" s="20" t="str">
        <f aca="true">IF(B813="","",IF(ISNA(MATCH(B813,ListaInsumos,0)),"Insumo no está en Insumos",IF(OR(D813="",E813="",F813=""),"Faltan datos",IF(INDEX(UnidadesBase,MATCH(E813,Unidades,0))&lt;&gt;INDEX(InsBase,MATCH(B813,ListaInsumos,0)),"Unidad incompatible",IF(A813="","Falta fecha","OK")))))</f>
        <v/>
      </c>
      <c r="J813" s="15"/>
    </row>
    <row r="814" customFormat="false" ht="15" hidden="false" customHeight="false" outlineLevel="0" collapsed="false">
      <c r="A814" s="26"/>
      <c r="B814" s="15"/>
      <c r="C814" s="15"/>
      <c r="D814" s="27"/>
      <c r="E814" s="15"/>
      <c r="F814" s="28"/>
      <c r="G814" s="25" t="str">
        <f aca="true">IF(OR(D814="",E814=""),"",IFERROR(D814*INDEX(UnidadesFactor,MATCH(E814,Unidades,0)),""))</f>
        <v/>
      </c>
      <c r="H814" s="17" t="str">
        <f aca="false">IF(I814&lt;&gt;"OK","",IF(G814=0,"",F814/G814))</f>
        <v/>
      </c>
      <c r="I814" s="20" t="str">
        <f aca="true">IF(B814="","",IF(ISNA(MATCH(B814,ListaInsumos,0)),"Insumo no está en Insumos",IF(OR(D814="",E814="",F814=""),"Faltan datos",IF(INDEX(UnidadesBase,MATCH(E814,Unidades,0))&lt;&gt;INDEX(InsBase,MATCH(B814,ListaInsumos,0)),"Unidad incompatible",IF(A814="","Falta fecha","OK")))))</f>
        <v/>
      </c>
      <c r="J814" s="15"/>
    </row>
    <row r="815" customFormat="false" ht="15" hidden="false" customHeight="false" outlineLevel="0" collapsed="false">
      <c r="A815" s="26"/>
      <c r="B815" s="15"/>
      <c r="C815" s="15"/>
      <c r="D815" s="27"/>
      <c r="E815" s="15"/>
      <c r="F815" s="28"/>
      <c r="G815" s="25" t="str">
        <f aca="true">IF(OR(D815="",E815=""),"",IFERROR(D815*INDEX(UnidadesFactor,MATCH(E815,Unidades,0)),""))</f>
        <v/>
      </c>
      <c r="H815" s="17" t="str">
        <f aca="false">IF(I815&lt;&gt;"OK","",IF(G815=0,"",F815/G815))</f>
        <v/>
      </c>
      <c r="I815" s="20" t="str">
        <f aca="true">IF(B815="","",IF(ISNA(MATCH(B815,ListaInsumos,0)),"Insumo no está en Insumos",IF(OR(D815="",E815="",F815=""),"Faltan datos",IF(INDEX(UnidadesBase,MATCH(E815,Unidades,0))&lt;&gt;INDEX(InsBase,MATCH(B815,ListaInsumos,0)),"Unidad incompatible",IF(A815="","Falta fecha","OK")))))</f>
        <v/>
      </c>
      <c r="J815" s="15"/>
    </row>
    <row r="816" customFormat="false" ht="15" hidden="false" customHeight="false" outlineLevel="0" collapsed="false">
      <c r="A816" s="26"/>
      <c r="B816" s="15"/>
      <c r="C816" s="15"/>
      <c r="D816" s="27"/>
      <c r="E816" s="15"/>
      <c r="F816" s="28"/>
      <c r="G816" s="25" t="str">
        <f aca="true">IF(OR(D816="",E816=""),"",IFERROR(D816*INDEX(UnidadesFactor,MATCH(E816,Unidades,0)),""))</f>
        <v/>
      </c>
      <c r="H816" s="17" t="str">
        <f aca="false">IF(I816&lt;&gt;"OK","",IF(G816=0,"",F816/G816))</f>
        <v/>
      </c>
      <c r="I816" s="20" t="str">
        <f aca="true">IF(B816="","",IF(ISNA(MATCH(B816,ListaInsumos,0)),"Insumo no está en Insumos",IF(OR(D816="",E816="",F816=""),"Faltan datos",IF(INDEX(UnidadesBase,MATCH(E816,Unidades,0))&lt;&gt;INDEX(InsBase,MATCH(B816,ListaInsumos,0)),"Unidad incompatible",IF(A816="","Falta fecha","OK")))))</f>
        <v/>
      </c>
      <c r="J816" s="15"/>
    </row>
    <row r="817" customFormat="false" ht="15" hidden="false" customHeight="false" outlineLevel="0" collapsed="false">
      <c r="A817" s="26"/>
      <c r="B817" s="15"/>
      <c r="C817" s="15"/>
      <c r="D817" s="27"/>
      <c r="E817" s="15"/>
      <c r="F817" s="28"/>
      <c r="G817" s="25" t="str">
        <f aca="true">IF(OR(D817="",E817=""),"",IFERROR(D817*INDEX(UnidadesFactor,MATCH(E817,Unidades,0)),""))</f>
        <v/>
      </c>
      <c r="H817" s="17" t="str">
        <f aca="false">IF(I817&lt;&gt;"OK","",IF(G817=0,"",F817/G817))</f>
        <v/>
      </c>
      <c r="I817" s="20" t="str">
        <f aca="true">IF(B817="","",IF(ISNA(MATCH(B817,ListaInsumos,0)),"Insumo no está en Insumos",IF(OR(D817="",E817="",F817=""),"Faltan datos",IF(INDEX(UnidadesBase,MATCH(E817,Unidades,0))&lt;&gt;INDEX(InsBase,MATCH(B817,ListaInsumos,0)),"Unidad incompatible",IF(A817="","Falta fecha","OK")))))</f>
        <v/>
      </c>
      <c r="J817" s="15"/>
    </row>
    <row r="818" customFormat="false" ht="15" hidden="false" customHeight="false" outlineLevel="0" collapsed="false">
      <c r="A818" s="26"/>
      <c r="B818" s="15"/>
      <c r="C818" s="15"/>
      <c r="D818" s="27"/>
      <c r="E818" s="15"/>
      <c r="F818" s="28"/>
      <c r="G818" s="25" t="str">
        <f aca="true">IF(OR(D818="",E818=""),"",IFERROR(D818*INDEX(UnidadesFactor,MATCH(E818,Unidades,0)),""))</f>
        <v/>
      </c>
      <c r="H818" s="17" t="str">
        <f aca="false">IF(I818&lt;&gt;"OK","",IF(G818=0,"",F818/G818))</f>
        <v/>
      </c>
      <c r="I818" s="20" t="str">
        <f aca="true">IF(B818="","",IF(ISNA(MATCH(B818,ListaInsumos,0)),"Insumo no está en Insumos",IF(OR(D818="",E818="",F818=""),"Faltan datos",IF(INDEX(UnidadesBase,MATCH(E818,Unidades,0))&lt;&gt;INDEX(InsBase,MATCH(B818,ListaInsumos,0)),"Unidad incompatible",IF(A818="","Falta fecha","OK")))))</f>
        <v/>
      </c>
      <c r="J818" s="15"/>
    </row>
    <row r="819" customFormat="false" ht="15" hidden="false" customHeight="false" outlineLevel="0" collapsed="false">
      <c r="A819" s="26"/>
      <c r="B819" s="15"/>
      <c r="C819" s="15"/>
      <c r="D819" s="27"/>
      <c r="E819" s="15"/>
      <c r="F819" s="28"/>
      <c r="G819" s="25" t="str">
        <f aca="true">IF(OR(D819="",E819=""),"",IFERROR(D819*INDEX(UnidadesFactor,MATCH(E819,Unidades,0)),""))</f>
        <v/>
      </c>
      <c r="H819" s="17" t="str">
        <f aca="false">IF(I819&lt;&gt;"OK","",IF(G819=0,"",F819/G819))</f>
        <v/>
      </c>
      <c r="I819" s="20" t="str">
        <f aca="true">IF(B819="","",IF(ISNA(MATCH(B819,ListaInsumos,0)),"Insumo no está en Insumos",IF(OR(D819="",E819="",F819=""),"Faltan datos",IF(INDEX(UnidadesBase,MATCH(E819,Unidades,0))&lt;&gt;INDEX(InsBase,MATCH(B819,ListaInsumos,0)),"Unidad incompatible",IF(A819="","Falta fecha","OK")))))</f>
        <v/>
      </c>
      <c r="J819" s="15"/>
    </row>
    <row r="820" customFormat="false" ht="15" hidden="false" customHeight="false" outlineLevel="0" collapsed="false">
      <c r="A820" s="26"/>
      <c r="B820" s="15"/>
      <c r="C820" s="15"/>
      <c r="D820" s="27"/>
      <c r="E820" s="15"/>
      <c r="F820" s="28"/>
      <c r="G820" s="25" t="str">
        <f aca="true">IF(OR(D820="",E820=""),"",IFERROR(D820*INDEX(UnidadesFactor,MATCH(E820,Unidades,0)),""))</f>
        <v/>
      </c>
      <c r="H820" s="17" t="str">
        <f aca="false">IF(I820&lt;&gt;"OK","",IF(G820=0,"",F820/G820))</f>
        <v/>
      </c>
      <c r="I820" s="20" t="str">
        <f aca="true">IF(B820="","",IF(ISNA(MATCH(B820,ListaInsumos,0)),"Insumo no está en Insumos",IF(OR(D820="",E820="",F820=""),"Faltan datos",IF(INDEX(UnidadesBase,MATCH(E820,Unidades,0))&lt;&gt;INDEX(InsBase,MATCH(B820,ListaInsumos,0)),"Unidad incompatible",IF(A820="","Falta fecha","OK")))))</f>
        <v/>
      </c>
      <c r="J820" s="15"/>
    </row>
    <row r="821" customFormat="false" ht="15" hidden="false" customHeight="false" outlineLevel="0" collapsed="false">
      <c r="A821" s="26"/>
      <c r="B821" s="15"/>
      <c r="C821" s="15"/>
      <c r="D821" s="27"/>
      <c r="E821" s="15"/>
      <c r="F821" s="28"/>
      <c r="G821" s="25" t="str">
        <f aca="true">IF(OR(D821="",E821=""),"",IFERROR(D821*INDEX(UnidadesFactor,MATCH(E821,Unidades,0)),""))</f>
        <v/>
      </c>
      <c r="H821" s="17" t="str">
        <f aca="false">IF(I821&lt;&gt;"OK","",IF(G821=0,"",F821/G821))</f>
        <v/>
      </c>
      <c r="I821" s="20" t="str">
        <f aca="true">IF(B821="","",IF(ISNA(MATCH(B821,ListaInsumos,0)),"Insumo no está en Insumos",IF(OR(D821="",E821="",F821=""),"Faltan datos",IF(INDEX(UnidadesBase,MATCH(E821,Unidades,0))&lt;&gt;INDEX(InsBase,MATCH(B821,ListaInsumos,0)),"Unidad incompatible",IF(A821="","Falta fecha","OK")))))</f>
        <v/>
      </c>
      <c r="J821" s="15"/>
    </row>
    <row r="822" customFormat="false" ht="15" hidden="false" customHeight="false" outlineLevel="0" collapsed="false">
      <c r="A822" s="26"/>
      <c r="B822" s="15"/>
      <c r="C822" s="15"/>
      <c r="D822" s="27"/>
      <c r="E822" s="15"/>
      <c r="F822" s="28"/>
      <c r="G822" s="25" t="str">
        <f aca="true">IF(OR(D822="",E822=""),"",IFERROR(D822*INDEX(UnidadesFactor,MATCH(E822,Unidades,0)),""))</f>
        <v/>
      </c>
      <c r="H822" s="17" t="str">
        <f aca="false">IF(I822&lt;&gt;"OK","",IF(G822=0,"",F822/G822))</f>
        <v/>
      </c>
      <c r="I822" s="20" t="str">
        <f aca="true">IF(B822="","",IF(ISNA(MATCH(B822,ListaInsumos,0)),"Insumo no está en Insumos",IF(OR(D822="",E822="",F822=""),"Faltan datos",IF(INDEX(UnidadesBase,MATCH(E822,Unidades,0))&lt;&gt;INDEX(InsBase,MATCH(B822,ListaInsumos,0)),"Unidad incompatible",IF(A822="","Falta fecha","OK")))))</f>
        <v/>
      </c>
      <c r="J822" s="15"/>
    </row>
    <row r="823" customFormat="false" ht="15" hidden="false" customHeight="false" outlineLevel="0" collapsed="false">
      <c r="A823" s="26"/>
      <c r="B823" s="15"/>
      <c r="C823" s="15"/>
      <c r="D823" s="27"/>
      <c r="E823" s="15"/>
      <c r="F823" s="28"/>
      <c r="G823" s="25" t="str">
        <f aca="true">IF(OR(D823="",E823=""),"",IFERROR(D823*INDEX(UnidadesFactor,MATCH(E823,Unidades,0)),""))</f>
        <v/>
      </c>
      <c r="H823" s="17" t="str">
        <f aca="false">IF(I823&lt;&gt;"OK","",IF(G823=0,"",F823/G823))</f>
        <v/>
      </c>
      <c r="I823" s="20" t="str">
        <f aca="true">IF(B823="","",IF(ISNA(MATCH(B823,ListaInsumos,0)),"Insumo no está en Insumos",IF(OR(D823="",E823="",F823=""),"Faltan datos",IF(INDEX(UnidadesBase,MATCH(E823,Unidades,0))&lt;&gt;INDEX(InsBase,MATCH(B823,ListaInsumos,0)),"Unidad incompatible",IF(A823="","Falta fecha","OK")))))</f>
        <v/>
      </c>
      <c r="J823" s="15"/>
    </row>
    <row r="824" customFormat="false" ht="15" hidden="false" customHeight="false" outlineLevel="0" collapsed="false">
      <c r="A824" s="26"/>
      <c r="B824" s="15"/>
      <c r="C824" s="15"/>
      <c r="D824" s="27"/>
      <c r="E824" s="15"/>
      <c r="F824" s="28"/>
      <c r="G824" s="25" t="str">
        <f aca="true">IF(OR(D824="",E824=""),"",IFERROR(D824*INDEX(UnidadesFactor,MATCH(E824,Unidades,0)),""))</f>
        <v/>
      </c>
      <c r="H824" s="17" t="str">
        <f aca="false">IF(I824&lt;&gt;"OK","",IF(G824=0,"",F824/G824))</f>
        <v/>
      </c>
      <c r="I824" s="20" t="str">
        <f aca="true">IF(B824="","",IF(ISNA(MATCH(B824,ListaInsumos,0)),"Insumo no está en Insumos",IF(OR(D824="",E824="",F824=""),"Faltan datos",IF(INDEX(UnidadesBase,MATCH(E824,Unidades,0))&lt;&gt;INDEX(InsBase,MATCH(B824,ListaInsumos,0)),"Unidad incompatible",IF(A824="","Falta fecha","OK")))))</f>
        <v/>
      </c>
      <c r="J824" s="15"/>
    </row>
    <row r="825" customFormat="false" ht="15" hidden="false" customHeight="false" outlineLevel="0" collapsed="false">
      <c r="A825" s="26"/>
      <c r="B825" s="15"/>
      <c r="C825" s="15"/>
      <c r="D825" s="27"/>
      <c r="E825" s="15"/>
      <c r="F825" s="28"/>
      <c r="G825" s="25" t="str">
        <f aca="true">IF(OR(D825="",E825=""),"",IFERROR(D825*INDEX(UnidadesFactor,MATCH(E825,Unidades,0)),""))</f>
        <v/>
      </c>
      <c r="H825" s="17" t="str">
        <f aca="false">IF(I825&lt;&gt;"OK","",IF(G825=0,"",F825/G825))</f>
        <v/>
      </c>
      <c r="I825" s="20" t="str">
        <f aca="true">IF(B825="","",IF(ISNA(MATCH(B825,ListaInsumos,0)),"Insumo no está en Insumos",IF(OR(D825="",E825="",F825=""),"Faltan datos",IF(INDEX(UnidadesBase,MATCH(E825,Unidades,0))&lt;&gt;INDEX(InsBase,MATCH(B825,ListaInsumos,0)),"Unidad incompatible",IF(A825="","Falta fecha","OK")))))</f>
        <v/>
      </c>
      <c r="J825" s="15"/>
    </row>
    <row r="826" customFormat="false" ht="15" hidden="false" customHeight="false" outlineLevel="0" collapsed="false">
      <c r="A826" s="26"/>
      <c r="B826" s="15"/>
      <c r="C826" s="15"/>
      <c r="D826" s="27"/>
      <c r="E826" s="15"/>
      <c r="F826" s="28"/>
      <c r="G826" s="25" t="str">
        <f aca="true">IF(OR(D826="",E826=""),"",IFERROR(D826*INDEX(UnidadesFactor,MATCH(E826,Unidades,0)),""))</f>
        <v/>
      </c>
      <c r="H826" s="17" t="str">
        <f aca="false">IF(I826&lt;&gt;"OK","",IF(G826=0,"",F826/G826))</f>
        <v/>
      </c>
      <c r="I826" s="20" t="str">
        <f aca="true">IF(B826="","",IF(ISNA(MATCH(B826,ListaInsumos,0)),"Insumo no está en Insumos",IF(OR(D826="",E826="",F826=""),"Faltan datos",IF(INDEX(UnidadesBase,MATCH(E826,Unidades,0))&lt;&gt;INDEX(InsBase,MATCH(B826,ListaInsumos,0)),"Unidad incompatible",IF(A826="","Falta fecha","OK")))))</f>
        <v/>
      </c>
      <c r="J826" s="15"/>
    </row>
    <row r="827" customFormat="false" ht="15" hidden="false" customHeight="false" outlineLevel="0" collapsed="false">
      <c r="A827" s="26"/>
      <c r="B827" s="15"/>
      <c r="C827" s="15"/>
      <c r="D827" s="27"/>
      <c r="E827" s="15"/>
      <c r="F827" s="28"/>
      <c r="G827" s="25" t="str">
        <f aca="true">IF(OR(D827="",E827=""),"",IFERROR(D827*INDEX(UnidadesFactor,MATCH(E827,Unidades,0)),""))</f>
        <v/>
      </c>
      <c r="H827" s="17" t="str">
        <f aca="false">IF(I827&lt;&gt;"OK","",IF(G827=0,"",F827/G827))</f>
        <v/>
      </c>
      <c r="I827" s="20" t="str">
        <f aca="true">IF(B827="","",IF(ISNA(MATCH(B827,ListaInsumos,0)),"Insumo no está en Insumos",IF(OR(D827="",E827="",F827=""),"Faltan datos",IF(INDEX(UnidadesBase,MATCH(E827,Unidades,0))&lt;&gt;INDEX(InsBase,MATCH(B827,ListaInsumos,0)),"Unidad incompatible",IF(A827="","Falta fecha","OK")))))</f>
        <v/>
      </c>
      <c r="J827" s="15"/>
    </row>
    <row r="828" customFormat="false" ht="15" hidden="false" customHeight="false" outlineLevel="0" collapsed="false">
      <c r="A828" s="26"/>
      <c r="B828" s="15"/>
      <c r="C828" s="15"/>
      <c r="D828" s="27"/>
      <c r="E828" s="15"/>
      <c r="F828" s="28"/>
      <c r="G828" s="25" t="str">
        <f aca="true">IF(OR(D828="",E828=""),"",IFERROR(D828*INDEX(UnidadesFactor,MATCH(E828,Unidades,0)),""))</f>
        <v/>
      </c>
      <c r="H828" s="17" t="str">
        <f aca="false">IF(I828&lt;&gt;"OK","",IF(G828=0,"",F828/G828))</f>
        <v/>
      </c>
      <c r="I828" s="20" t="str">
        <f aca="true">IF(B828="","",IF(ISNA(MATCH(B828,ListaInsumos,0)),"Insumo no está en Insumos",IF(OR(D828="",E828="",F828=""),"Faltan datos",IF(INDEX(UnidadesBase,MATCH(E828,Unidades,0))&lt;&gt;INDEX(InsBase,MATCH(B828,ListaInsumos,0)),"Unidad incompatible",IF(A828="","Falta fecha","OK")))))</f>
        <v/>
      </c>
      <c r="J828" s="15"/>
    </row>
    <row r="829" customFormat="false" ht="15" hidden="false" customHeight="false" outlineLevel="0" collapsed="false">
      <c r="A829" s="26"/>
      <c r="B829" s="15"/>
      <c r="C829" s="15"/>
      <c r="D829" s="27"/>
      <c r="E829" s="15"/>
      <c r="F829" s="28"/>
      <c r="G829" s="25" t="str">
        <f aca="true">IF(OR(D829="",E829=""),"",IFERROR(D829*INDEX(UnidadesFactor,MATCH(E829,Unidades,0)),""))</f>
        <v/>
      </c>
      <c r="H829" s="17" t="str">
        <f aca="false">IF(I829&lt;&gt;"OK","",IF(G829=0,"",F829/G829))</f>
        <v/>
      </c>
      <c r="I829" s="20" t="str">
        <f aca="true">IF(B829="","",IF(ISNA(MATCH(B829,ListaInsumos,0)),"Insumo no está en Insumos",IF(OR(D829="",E829="",F829=""),"Faltan datos",IF(INDEX(UnidadesBase,MATCH(E829,Unidades,0))&lt;&gt;INDEX(InsBase,MATCH(B829,ListaInsumos,0)),"Unidad incompatible",IF(A829="","Falta fecha","OK")))))</f>
        <v/>
      </c>
      <c r="J829" s="15"/>
    </row>
    <row r="830" customFormat="false" ht="15" hidden="false" customHeight="false" outlineLevel="0" collapsed="false">
      <c r="A830" s="26"/>
      <c r="B830" s="15"/>
      <c r="C830" s="15"/>
      <c r="D830" s="27"/>
      <c r="E830" s="15"/>
      <c r="F830" s="28"/>
      <c r="G830" s="25" t="str">
        <f aca="true">IF(OR(D830="",E830=""),"",IFERROR(D830*INDEX(UnidadesFactor,MATCH(E830,Unidades,0)),""))</f>
        <v/>
      </c>
      <c r="H830" s="17" t="str">
        <f aca="false">IF(I830&lt;&gt;"OK","",IF(G830=0,"",F830/G830))</f>
        <v/>
      </c>
      <c r="I830" s="20" t="str">
        <f aca="true">IF(B830="","",IF(ISNA(MATCH(B830,ListaInsumos,0)),"Insumo no está en Insumos",IF(OR(D830="",E830="",F830=""),"Faltan datos",IF(INDEX(UnidadesBase,MATCH(E830,Unidades,0))&lt;&gt;INDEX(InsBase,MATCH(B830,ListaInsumos,0)),"Unidad incompatible",IF(A830="","Falta fecha","OK")))))</f>
        <v/>
      </c>
      <c r="J830" s="15"/>
    </row>
    <row r="831" customFormat="false" ht="15" hidden="false" customHeight="false" outlineLevel="0" collapsed="false">
      <c r="A831" s="26"/>
      <c r="B831" s="15"/>
      <c r="C831" s="15"/>
      <c r="D831" s="27"/>
      <c r="E831" s="15"/>
      <c r="F831" s="28"/>
      <c r="G831" s="25" t="str">
        <f aca="true">IF(OR(D831="",E831=""),"",IFERROR(D831*INDEX(UnidadesFactor,MATCH(E831,Unidades,0)),""))</f>
        <v/>
      </c>
      <c r="H831" s="17" t="str">
        <f aca="false">IF(I831&lt;&gt;"OK","",IF(G831=0,"",F831/G831))</f>
        <v/>
      </c>
      <c r="I831" s="20" t="str">
        <f aca="true">IF(B831="","",IF(ISNA(MATCH(B831,ListaInsumos,0)),"Insumo no está en Insumos",IF(OR(D831="",E831="",F831=""),"Faltan datos",IF(INDEX(UnidadesBase,MATCH(E831,Unidades,0))&lt;&gt;INDEX(InsBase,MATCH(B831,ListaInsumos,0)),"Unidad incompatible",IF(A831="","Falta fecha","OK")))))</f>
        <v/>
      </c>
      <c r="J831" s="15"/>
    </row>
    <row r="832" customFormat="false" ht="15" hidden="false" customHeight="false" outlineLevel="0" collapsed="false">
      <c r="A832" s="26"/>
      <c r="B832" s="15"/>
      <c r="C832" s="15"/>
      <c r="D832" s="27"/>
      <c r="E832" s="15"/>
      <c r="F832" s="28"/>
      <c r="G832" s="25" t="str">
        <f aca="true">IF(OR(D832="",E832=""),"",IFERROR(D832*INDEX(UnidadesFactor,MATCH(E832,Unidades,0)),""))</f>
        <v/>
      </c>
      <c r="H832" s="17" t="str">
        <f aca="false">IF(I832&lt;&gt;"OK","",IF(G832=0,"",F832/G832))</f>
        <v/>
      </c>
      <c r="I832" s="20" t="str">
        <f aca="true">IF(B832="","",IF(ISNA(MATCH(B832,ListaInsumos,0)),"Insumo no está en Insumos",IF(OR(D832="",E832="",F832=""),"Faltan datos",IF(INDEX(UnidadesBase,MATCH(E832,Unidades,0))&lt;&gt;INDEX(InsBase,MATCH(B832,ListaInsumos,0)),"Unidad incompatible",IF(A832="","Falta fecha","OK")))))</f>
        <v/>
      </c>
      <c r="J832" s="15"/>
    </row>
    <row r="833" customFormat="false" ht="15" hidden="false" customHeight="false" outlineLevel="0" collapsed="false">
      <c r="A833" s="26"/>
      <c r="B833" s="15"/>
      <c r="C833" s="15"/>
      <c r="D833" s="27"/>
      <c r="E833" s="15"/>
      <c r="F833" s="28"/>
      <c r="G833" s="25" t="str">
        <f aca="true">IF(OR(D833="",E833=""),"",IFERROR(D833*INDEX(UnidadesFactor,MATCH(E833,Unidades,0)),""))</f>
        <v/>
      </c>
      <c r="H833" s="17" t="str">
        <f aca="false">IF(I833&lt;&gt;"OK","",IF(G833=0,"",F833/G833))</f>
        <v/>
      </c>
      <c r="I833" s="20" t="str">
        <f aca="true">IF(B833="","",IF(ISNA(MATCH(B833,ListaInsumos,0)),"Insumo no está en Insumos",IF(OR(D833="",E833="",F833=""),"Faltan datos",IF(INDEX(UnidadesBase,MATCH(E833,Unidades,0))&lt;&gt;INDEX(InsBase,MATCH(B833,ListaInsumos,0)),"Unidad incompatible",IF(A833="","Falta fecha","OK")))))</f>
        <v/>
      </c>
      <c r="J833" s="15"/>
    </row>
    <row r="834" customFormat="false" ht="15" hidden="false" customHeight="false" outlineLevel="0" collapsed="false">
      <c r="A834" s="26"/>
      <c r="B834" s="15"/>
      <c r="C834" s="15"/>
      <c r="D834" s="27"/>
      <c r="E834" s="15"/>
      <c r="F834" s="28"/>
      <c r="G834" s="25" t="str">
        <f aca="true">IF(OR(D834="",E834=""),"",IFERROR(D834*INDEX(UnidadesFactor,MATCH(E834,Unidades,0)),""))</f>
        <v/>
      </c>
      <c r="H834" s="17" t="str">
        <f aca="false">IF(I834&lt;&gt;"OK","",IF(G834=0,"",F834/G834))</f>
        <v/>
      </c>
      <c r="I834" s="20" t="str">
        <f aca="true">IF(B834="","",IF(ISNA(MATCH(B834,ListaInsumos,0)),"Insumo no está en Insumos",IF(OR(D834="",E834="",F834=""),"Faltan datos",IF(INDEX(UnidadesBase,MATCH(E834,Unidades,0))&lt;&gt;INDEX(InsBase,MATCH(B834,ListaInsumos,0)),"Unidad incompatible",IF(A834="","Falta fecha","OK")))))</f>
        <v/>
      </c>
      <c r="J834" s="15"/>
    </row>
    <row r="835" customFormat="false" ht="15" hidden="false" customHeight="false" outlineLevel="0" collapsed="false">
      <c r="A835" s="26"/>
      <c r="B835" s="15"/>
      <c r="C835" s="15"/>
      <c r="D835" s="27"/>
      <c r="E835" s="15"/>
      <c r="F835" s="28"/>
      <c r="G835" s="25" t="str">
        <f aca="true">IF(OR(D835="",E835=""),"",IFERROR(D835*INDEX(UnidadesFactor,MATCH(E835,Unidades,0)),""))</f>
        <v/>
      </c>
      <c r="H835" s="17" t="str">
        <f aca="false">IF(I835&lt;&gt;"OK","",IF(G835=0,"",F835/G835))</f>
        <v/>
      </c>
      <c r="I835" s="20" t="str">
        <f aca="true">IF(B835="","",IF(ISNA(MATCH(B835,ListaInsumos,0)),"Insumo no está en Insumos",IF(OR(D835="",E835="",F835=""),"Faltan datos",IF(INDEX(UnidadesBase,MATCH(E835,Unidades,0))&lt;&gt;INDEX(InsBase,MATCH(B835,ListaInsumos,0)),"Unidad incompatible",IF(A835="","Falta fecha","OK")))))</f>
        <v/>
      </c>
      <c r="J835" s="15"/>
    </row>
    <row r="836" customFormat="false" ht="15" hidden="false" customHeight="false" outlineLevel="0" collapsed="false">
      <c r="A836" s="26"/>
      <c r="B836" s="15"/>
      <c r="C836" s="15"/>
      <c r="D836" s="27"/>
      <c r="E836" s="15"/>
      <c r="F836" s="28"/>
      <c r="G836" s="25" t="str">
        <f aca="true">IF(OR(D836="",E836=""),"",IFERROR(D836*INDEX(UnidadesFactor,MATCH(E836,Unidades,0)),""))</f>
        <v/>
      </c>
      <c r="H836" s="17" t="str">
        <f aca="false">IF(I836&lt;&gt;"OK","",IF(G836=0,"",F836/G836))</f>
        <v/>
      </c>
      <c r="I836" s="20" t="str">
        <f aca="true">IF(B836="","",IF(ISNA(MATCH(B836,ListaInsumos,0)),"Insumo no está en Insumos",IF(OR(D836="",E836="",F836=""),"Faltan datos",IF(INDEX(UnidadesBase,MATCH(E836,Unidades,0))&lt;&gt;INDEX(InsBase,MATCH(B836,ListaInsumos,0)),"Unidad incompatible",IF(A836="","Falta fecha","OK")))))</f>
        <v/>
      </c>
      <c r="J836" s="15"/>
    </row>
    <row r="837" customFormat="false" ht="15" hidden="false" customHeight="false" outlineLevel="0" collapsed="false">
      <c r="A837" s="26"/>
      <c r="B837" s="15"/>
      <c r="C837" s="15"/>
      <c r="D837" s="27"/>
      <c r="E837" s="15"/>
      <c r="F837" s="28"/>
      <c r="G837" s="25" t="str">
        <f aca="true">IF(OR(D837="",E837=""),"",IFERROR(D837*INDEX(UnidadesFactor,MATCH(E837,Unidades,0)),""))</f>
        <v/>
      </c>
      <c r="H837" s="17" t="str">
        <f aca="false">IF(I837&lt;&gt;"OK","",IF(G837=0,"",F837/G837))</f>
        <v/>
      </c>
      <c r="I837" s="20" t="str">
        <f aca="true">IF(B837="","",IF(ISNA(MATCH(B837,ListaInsumos,0)),"Insumo no está en Insumos",IF(OR(D837="",E837="",F837=""),"Faltan datos",IF(INDEX(UnidadesBase,MATCH(E837,Unidades,0))&lt;&gt;INDEX(InsBase,MATCH(B837,ListaInsumos,0)),"Unidad incompatible",IF(A837="","Falta fecha","OK")))))</f>
        <v/>
      </c>
      <c r="J837" s="15"/>
    </row>
    <row r="838" customFormat="false" ht="15" hidden="false" customHeight="false" outlineLevel="0" collapsed="false">
      <c r="A838" s="26"/>
      <c r="B838" s="15"/>
      <c r="C838" s="15"/>
      <c r="D838" s="27"/>
      <c r="E838" s="15"/>
      <c r="F838" s="28"/>
      <c r="G838" s="25" t="str">
        <f aca="true">IF(OR(D838="",E838=""),"",IFERROR(D838*INDEX(UnidadesFactor,MATCH(E838,Unidades,0)),""))</f>
        <v/>
      </c>
      <c r="H838" s="17" t="str">
        <f aca="false">IF(I838&lt;&gt;"OK","",IF(G838=0,"",F838/G838))</f>
        <v/>
      </c>
      <c r="I838" s="20" t="str">
        <f aca="true">IF(B838="","",IF(ISNA(MATCH(B838,ListaInsumos,0)),"Insumo no está en Insumos",IF(OR(D838="",E838="",F838=""),"Faltan datos",IF(INDEX(UnidadesBase,MATCH(E838,Unidades,0))&lt;&gt;INDEX(InsBase,MATCH(B838,ListaInsumos,0)),"Unidad incompatible",IF(A838="","Falta fecha","OK")))))</f>
        <v/>
      </c>
      <c r="J838" s="15"/>
    </row>
    <row r="839" customFormat="false" ht="15" hidden="false" customHeight="false" outlineLevel="0" collapsed="false">
      <c r="A839" s="26"/>
      <c r="B839" s="15"/>
      <c r="C839" s="15"/>
      <c r="D839" s="27"/>
      <c r="E839" s="15"/>
      <c r="F839" s="28"/>
      <c r="G839" s="25" t="str">
        <f aca="true">IF(OR(D839="",E839=""),"",IFERROR(D839*INDEX(UnidadesFactor,MATCH(E839,Unidades,0)),""))</f>
        <v/>
      </c>
      <c r="H839" s="17" t="str">
        <f aca="false">IF(I839&lt;&gt;"OK","",IF(G839=0,"",F839/G839))</f>
        <v/>
      </c>
      <c r="I839" s="20" t="str">
        <f aca="true">IF(B839="","",IF(ISNA(MATCH(B839,ListaInsumos,0)),"Insumo no está en Insumos",IF(OR(D839="",E839="",F839=""),"Faltan datos",IF(INDEX(UnidadesBase,MATCH(E839,Unidades,0))&lt;&gt;INDEX(InsBase,MATCH(B839,ListaInsumos,0)),"Unidad incompatible",IF(A839="","Falta fecha","OK")))))</f>
        <v/>
      </c>
      <c r="J839" s="15"/>
    </row>
    <row r="840" customFormat="false" ht="15" hidden="false" customHeight="false" outlineLevel="0" collapsed="false">
      <c r="A840" s="26"/>
      <c r="B840" s="15"/>
      <c r="C840" s="15"/>
      <c r="D840" s="27"/>
      <c r="E840" s="15"/>
      <c r="F840" s="28"/>
      <c r="G840" s="25" t="str">
        <f aca="true">IF(OR(D840="",E840=""),"",IFERROR(D840*INDEX(UnidadesFactor,MATCH(E840,Unidades,0)),""))</f>
        <v/>
      </c>
      <c r="H840" s="17" t="str">
        <f aca="false">IF(I840&lt;&gt;"OK","",IF(G840=0,"",F840/G840))</f>
        <v/>
      </c>
      <c r="I840" s="20" t="str">
        <f aca="true">IF(B840="","",IF(ISNA(MATCH(B840,ListaInsumos,0)),"Insumo no está en Insumos",IF(OR(D840="",E840="",F840=""),"Faltan datos",IF(INDEX(UnidadesBase,MATCH(E840,Unidades,0))&lt;&gt;INDEX(InsBase,MATCH(B840,ListaInsumos,0)),"Unidad incompatible",IF(A840="","Falta fecha","OK")))))</f>
        <v/>
      </c>
      <c r="J840" s="15"/>
    </row>
    <row r="841" customFormat="false" ht="15" hidden="false" customHeight="false" outlineLevel="0" collapsed="false">
      <c r="A841" s="26"/>
      <c r="B841" s="15"/>
      <c r="C841" s="15"/>
      <c r="D841" s="27"/>
      <c r="E841" s="15"/>
      <c r="F841" s="28"/>
      <c r="G841" s="25" t="str">
        <f aca="true">IF(OR(D841="",E841=""),"",IFERROR(D841*INDEX(UnidadesFactor,MATCH(E841,Unidades,0)),""))</f>
        <v/>
      </c>
      <c r="H841" s="17" t="str">
        <f aca="false">IF(I841&lt;&gt;"OK","",IF(G841=0,"",F841/G841))</f>
        <v/>
      </c>
      <c r="I841" s="20" t="str">
        <f aca="true">IF(B841="","",IF(ISNA(MATCH(B841,ListaInsumos,0)),"Insumo no está en Insumos",IF(OR(D841="",E841="",F841=""),"Faltan datos",IF(INDEX(UnidadesBase,MATCH(E841,Unidades,0))&lt;&gt;INDEX(InsBase,MATCH(B841,ListaInsumos,0)),"Unidad incompatible",IF(A841="","Falta fecha","OK")))))</f>
        <v/>
      </c>
      <c r="J841" s="15"/>
    </row>
    <row r="842" customFormat="false" ht="15" hidden="false" customHeight="false" outlineLevel="0" collapsed="false">
      <c r="A842" s="26"/>
      <c r="B842" s="15"/>
      <c r="C842" s="15"/>
      <c r="D842" s="27"/>
      <c r="E842" s="15"/>
      <c r="F842" s="28"/>
      <c r="G842" s="25" t="str">
        <f aca="true">IF(OR(D842="",E842=""),"",IFERROR(D842*INDEX(UnidadesFactor,MATCH(E842,Unidades,0)),""))</f>
        <v/>
      </c>
      <c r="H842" s="17" t="str">
        <f aca="false">IF(I842&lt;&gt;"OK","",IF(G842=0,"",F842/G842))</f>
        <v/>
      </c>
      <c r="I842" s="20" t="str">
        <f aca="true">IF(B842="","",IF(ISNA(MATCH(B842,ListaInsumos,0)),"Insumo no está en Insumos",IF(OR(D842="",E842="",F842=""),"Faltan datos",IF(INDEX(UnidadesBase,MATCH(E842,Unidades,0))&lt;&gt;INDEX(InsBase,MATCH(B842,ListaInsumos,0)),"Unidad incompatible",IF(A842="","Falta fecha","OK")))))</f>
        <v/>
      </c>
      <c r="J842" s="15"/>
    </row>
    <row r="843" customFormat="false" ht="15" hidden="false" customHeight="false" outlineLevel="0" collapsed="false">
      <c r="A843" s="26"/>
      <c r="B843" s="15"/>
      <c r="C843" s="15"/>
      <c r="D843" s="27"/>
      <c r="E843" s="15"/>
      <c r="F843" s="28"/>
      <c r="G843" s="25" t="str">
        <f aca="true">IF(OR(D843="",E843=""),"",IFERROR(D843*INDEX(UnidadesFactor,MATCH(E843,Unidades,0)),""))</f>
        <v/>
      </c>
      <c r="H843" s="17" t="str">
        <f aca="false">IF(I843&lt;&gt;"OK","",IF(G843=0,"",F843/G843))</f>
        <v/>
      </c>
      <c r="I843" s="20" t="str">
        <f aca="true">IF(B843="","",IF(ISNA(MATCH(B843,ListaInsumos,0)),"Insumo no está en Insumos",IF(OR(D843="",E843="",F843=""),"Faltan datos",IF(INDEX(UnidadesBase,MATCH(E843,Unidades,0))&lt;&gt;INDEX(InsBase,MATCH(B843,ListaInsumos,0)),"Unidad incompatible",IF(A843="","Falta fecha","OK")))))</f>
        <v/>
      </c>
      <c r="J843" s="15"/>
    </row>
    <row r="844" customFormat="false" ht="15" hidden="false" customHeight="false" outlineLevel="0" collapsed="false">
      <c r="A844" s="26"/>
      <c r="B844" s="15"/>
      <c r="C844" s="15"/>
      <c r="D844" s="27"/>
      <c r="E844" s="15"/>
      <c r="F844" s="28"/>
      <c r="G844" s="25" t="str">
        <f aca="true">IF(OR(D844="",E844=""),"",IFERROR(D844*INDEX(UnidadesFactor,MATCH(E844,Unidades,0)),""))</f>
        <v/>
      </c>
      <c r="H844" s="17" t="str">
        <f aca="false">IF(I844&lt;&gt;"OK","",IF(G844=0,"",F844/G844))</f>
        <v/>
      </c>
      <c r="I844" s="20" t="str">
        <f aca="true">IF(B844="","",IF(ISNA(MATCH(B844,ListaInsumos,0)),"Insumo no está en Insumos",IF(OR(D844="",E844="",F844=""),"Faltan datos",IF(INDEX(UnidadesBase,MATCH(E844,Unidades,0))&lt;&gt;INDEX(InsBase,MATCH(B844,ListaInsumos,0)),"Unidad incompatible",IF(A844="","Falta fecha","OK")))))</f>
        <v/>
      </c>
      <c r="J844" s="15"/>
    </row>
    <row r="845" customFormat="false" ht="15" hidden="false" customHeight="false" outlineLevel="0" collapsed="false">
      <c r="A845" s="26"/>
      <c r="B845" s="15"/>
      <c r="C845" s="15"/>
      <c r="D845" s="27"/>
      <c r="E845" s="15"/>
      <c r="F845" s="28"/>
      <c r="G845" s="25" t="str">
        <f aca="true">IF(OR(D845="",E845=""),"",IFERROR(D845*INDEX(UnidadesFactor,MATCH(E845,Unidades,0)),""))</f>
        <v/>
      </c>
      <c r="H845" s="17" t="str">
        <f aca="false">IF(I845&lt;&gt;"OK","",IF(G845=0,"",F845/G845))</f>
        <v/>
      </c>
      <c r="I845" s="20" t="str">
        <f aca="true">IF(B845="","",IF(ISNA(MATCH(B845,ListaInsumos,0)),"Insumo no está en Insumos",IF(OR(D845="",E845="",F845=""),"Faltan datos",IF(INDEX(UnidadesBase,MATCH(E845,Unidades,0))&lt;&gt;INDEX(InsBase,MATCH(B845,ListaInsumos,0)),"Unidad incompatible",IF(A845="","Falta fecha","OK")))))</f>
        <v/>
      </c>
      <c r="J845" s="15"/>
    </row>
    <row r="846" customFormat="false" ht="15" hidden="false" customHeight="false" outlineLevel="0" collapsed="false">
      <c r="A846" s="26"/>
      <c r="B846" s="15"/>
      <c r="C846" s="15"/>
      <c r="D846" s="27"/>
      <c r="E846" s="15"/>
      <c r="F846" s="28"/>
      <c r="G846" s="25" t="str">
        <f aca="true">IF(OR(D846="",E846=""),"",IFERROR(D846*INDEX(UnidadesFactor,MATCH(E846,Unidades,0)),""))</f>
        <v/>
      </c>
      <c r="H846" s="17" t="str">
        <f aca="false">IF(I846&lt;&gt;"OK","",IF(G846=0,"",F846/G846))</f>
        <v/>
      </c>
      <c r="I846" s="20" t="str">
        <f aca="true">IF(B846="","",IF(ISNA(MATCH(B846,ListaInsumos,0)),"Insumo no está en Insumos",IF(OR(D846="",E846="",F846=""),"Faltan datos",IF(INDEX(UnidadesBase,MATCH(E846,Unidades,0))&lt;&gt;INDEX(InsBase,MATCH(B846,ListaInsumos,0)),"Unidad incompatible",IF(A846="","Falta fecha","OK")))))</f>
        <v/>
      </c>
      <c r="J846" s="15"/>
    </row>
    <row r="847" customFormat="false" ht="15" hidden="false" customHeight="false" outlineLevel="0" collapsed="false">
      <c r="A847" s="26"/>
      <c r="B847" s="15"/>
      <c r="C847" s="15"/>
      <c r="D847" s="27"/>
      <c r="E847" s="15"/>
      <c r="F847" s="28"/>
      <c r="G847" s="25" t="str">
        <f aca="true">IF(OR(D847="",E847=""),"",IFERROR(D847*INDEX(UnidadesFactor,MATCH(E847,Unidades,0)),""))</f>
        <v/>
      </c>
      <c r="H847" s="17" t="str">
        <f aca="false">IF(I847&lt;&gt;"OK","",IF(G847=0,"",F847/G847))</f>
        <v/>
      </c>
      <c r="I847" s="20" t="str">
        <f aca="true">IF(B847="","",IF(ISNA(MATCH(B847,ListaInsumos,0)),"Insumo no está en Insumos",IF(OR(D847="",E847="",F847=""),"Faltan datos",IF(INDEX(UnidadesBase,MATCH(E847,Unidades,0))&lt;&gt;INDEX(InsBase,MATCH(B847,ListaInsumos,0)),"Unidad incompatible",IF(A847="","Falta fecha","OK")))))</f>
        <v/>
      </c>
      <c r="J847" s="15"/>
    </row>
    <row r="848" customFormat="false" ht="15" hidden="false" customHeight="false" outlineLevel="0" collapsed="false">
      <c r="A848" s="26"/>
      <c r="B848" s="15"/>
      <c r="C848" s="15"/>
      <c r="D848" s="27"/>
      <c r="E848" s="15"/>
      <c r="F848" s="28"/>
      <c r="G848" s="25" t="str">
        <f aca="true">IF(OR(D848="",E848=""),"",IFERROR(D848*INDEX(UnidadesFactor,MATCH(E848,Unidades,0)),""))</f>
        <v/>
      </c>
      <c r="H848" s="17" t="str">
        <f aca="false">IF(I848&lt;&gt;"OK","",IF(G848=0,"",F848/G848))</f>
        <v/>
      </c>
      <c r="I848" s="20" t="str">
        <f aca="true">IF(B848="","",IF(ISNA(MATCH(B848,ListaInsumos,0)),"Insumo no está en Insumos",IF(OR(D848="",E848="",F848=""),"Faltan datos",IF(INDEX(UnidadesBase,MATCH(E848,Unidades,0))&lt;&gt;INDEX(InsBase,MATCH(B848,ListaInsumos,0)),"Unidad incompatible",IF(A848="","Falta fecha","OK")))))</f>
        <v/>
      </c>
      <c r="J848" s="15"/>
    </row>
    <row r="849" customFormat="false" ht="15" hidden="false" customHeight="false" outlineLevel="0" collapsed="false">
      <c r="A849" s="26"/>
      <c r="B849" s="15"/>
      <c r="C849" s="15"/>
      <c r="D849" s="27"/>
      <c r="E849" s="15"/>
      <c r="F849" s="28"/>
      <c r="G849" s="25" t="str">
        <f aca="true">IF(OR(D849="",E849=""),"",IFERROR(D849*INDEX(UnidadesFactor,MATCH(E849,Unidades,0)),""))</f>
        <v/>
      </c>
      <c r="H849" s="17" t="str">
        <f aca="false">IF(I849&lt;&gt;"OK","",IF(G849=0,"",F849/G849))</f>
        <v/>
      </c>
      <c r="I849" s="20" t="str">
        <f aca="true">IF(B849="","",IF(ISNA(MATCH(B849,ListaInsumos,0)),"Insumo no está en Insumos",IF(OR(D849="",E849="",F849=""),"Faltan datos",IF(INDEX(UnidadesBase,MATCH(E849,Unidades,0))&lt;&gt;INDEX(InsBase,MATCH(B849,ListaInsumos,0)),"Unidad incompatible",IF(A849="","Falta fecha","OK")))))</f>
        <v/>
      </c>
      <c r="J849" s="15"/>
    </row>
    <row r="850" customFormat="false" ht="15" hidden="false" customHeight="false" outlineLevel="0" collapsed="false">
      <c r="A850" s="26"/>
      <c r="B850" s="15"/>
      <c r="C850" s="15"/>
      <c r="D850" s="27"/>
      <c r="E850" s="15"/>
      <c r="F850" s="28"/>
      <c r="G850" s="25" t="str">
        <f aca="true">IF(OR(D850="",E850=""),"",IFERROR(D850*INDEX(UnidadesFactor,MATCH(E850,Unidades,0)),""))</f>
        <v/>
      </c>
      <c r="H850" s="17" t="str">
        <f aca="false">IF(I850&lt;&gt;"OK","",IF(G850=0,"",F850/G850))</f>
        <v/>
      </c>
      <c r="I850" s="20" t="str">
        <f aca="true">IF(B850="","",IF(ISNA(MATCH(B850,ListaInsumos,0)),"Insumo no está en Insumos",IF(OR(D850="",E850="",F850=""),"Faltan datos",IF(INDEX(UnidadesBase,MATCH(E850,Unidades,0))&lt;&gt;INDEX(InsBase,MATCH(B850,ListaInsumos,0)),"Unidad incompatible",IF(A850="","Falta fecha","OK")))))</f>
        <v/>
      </c>
      <c r="J850" s="15"/>
    </row>
    <row r="851" customFormat="false" ht="15" hidden="false" customHeight="false" outlineLevel="0" collapsed="false">
      <c r="A851" s="26"/>
      <c r="B851" s="15"/>
      <c r="C851" s="15"/>
      <c r="D851" s="27"/>
      <c r="E851" s="15"/>
      <c r="F851" s="28"/>
      <c r="G851" s="25" t="str">
        <f aca="true">IF(OR(D851="",E851=""),"",IFERROR(D851*INDEX(UnidadesFactor,MATCH(E851,Unidades,0)),""))</f>
        <v/>
      </c>
      <c r="H851" s="17" t="str">
        <f aca="false">IF(I851&lt;&gt;"OK","",IF(G851=0,"",F851/G851))</f>
        <v/>
      </c>
      <c r="I851" s="20" t="str">
        <f aca="true">IF(B851="","",IF(ISNA(MATCH(B851,ListaInsumos,0)),"Insumo no está en Insumos",IF(OR(D851="",E851="",F851=""),"Faltan datos",IF(INDEX(UnidadesBase,MATCH(E851,Unidades,0))&lt;&gt;INDEX(InsBase,MATCH(B851,ListaInsumos,0)),"Unidad incompatible",IF(A851="","Falta fecha","OK")))))</f>
        <v/>
      </c>
      <c r="J851" s="15"/>
    </row>
    <row r="852" customFormat="false" ht="15" hidden="false" customHeight="false" outlineLevel="0" collapsed="false">
      <c r="A852" s="26"/>
      <c r="B852" s="15"/>
      <c r="C852" s="15"/>
      <c r="D852" s="27"/>
      <c r="E852" s="15"/>
      <c r="F852" s="28"/>
      <c r="G852" s="25" t="str">
        <f aca="true">IF(OR(D852="",E852=""),"",IFERROR(D852*INDEX(UnidadesFactor,MATCH(E852,Unidades,0)),""))</f>
        <v/>
      </c>
      <c r="H852" s="17" t="str">
        <f aca="false">IF(I852&lt;&gt;"OK","",IF(G852=0,"",F852/G852))</f>
        <v/>
      </c>
      <c r="I852" s="20" t="str">
        <f aca="true">IF(B852="","",IF(ISNA(MATCH(B852,ListaInsumos,0)),"Insumo no está en Insumos",IF(OR(D852="",E852="",F852=""),"Faltan datos",IF(INDEX(UnidadesBase,MATCH(E852,Unidades,0))&lt;&gt;INDEX(InsBase,MATCH(B852,ListaInsumos,0)),"Unidad incompatible",IF(A852="","Falta fecha","OK")))))</f>
        <v/>
      </c>
      <c r="J852" s="15"/>
    </row>
    <row r="853" customFormat="false" ht="15" hidden="false" customHeight="false" outlineLevel="0" collapsed="false">
      <c r="A853" s="26"/>
      <c r="B853" s="15"/>
      <c r="C853" s="15"/>
      <c r="D853" s="27"/>
      <c r="E853" s="15"/>
      <c r="F853" s="28"/>
      <c r="G853" s="25" t="str">
        <f aca="true">IF(OR(D853="",E853=""),"",IFERROR(D853*INDEX(UnidadesFactor,MATCH(E853,Unidades,0)),""))</f>
        <v/>
      </c>
      <c r="H853" s="17" t="str">
        <f aca="false">IF(I853&lt;&gt;"OK","",IF(G853=0,"",F853/G853))</f>
        <v/>
      </c>
      <c r="I853" s="20" t="str">
        <f aca="true">IF(B853="","",IF(ISNA(MATCH(B853,ListaInsumos,0)),"Insumo no está en Insumos",IF(OR(D853="",E853="",F853=""),"Faltan datos",IF(INDEX(UnidadesBase,MATCH(E853,Unidades,0))&lt;&gt;INDEX(InsBase,MATCH(B853,ListaInsumos,0)),"Unidad incompatible",IF(A853="","Falta fecha","OK")))))</f>
        <v/>
      </c>
      <c r="J853" s="15"/>
    </row>
    <row r="854" customFormat="false" ht="15" hidden="false" customHeight="false" outlineLevel="0" collapsed="false">
      <c r="A854" s="26"/>
      <c r="B854" s="15"/>
      <c r="C854" s="15"/>
      <c r="D854" s="27"/>
      <c r="E854" s="15"/>
      <c r="F854" s="28"/>
      <c r="G854" s="25" t="str">
        <f aca="true">IF(OR(D854="",E854=""),"",IFERROR(D854*INDEX(UnidadesFactor,MATCH(E854,Unidades,0)),""))</f>
        <v/>
      </c>
      <c r="H854" s="17" t="str">
        <f aca="false">IF(I854&lt;&gt;"OK","",IF(G854=0,"",F854/G854))</f>
        <v/>
      </c>
      <c r="I854" s="20" t="str">
        <f aca="true">IF(B854="","",IF(ISNA(MATCH(B854,ListaInsumos,0)),"Insumo no está en Insumos",IF(OR(D854="",E854="",F854=""),"Faltan datos",IF(INDEX(UnidadesBase,MATCH(E854,Unidades,0))&lt;&gt;INDEX(InsBase,MATCH(B854,ListaInsumos,0)),"Unidad incompatible",IF(A854="","Falta fecha","OK")))))</f>
        <v/>
      </c>
      <c r="J854" s="15"/>
    </row>
    <row r="855" customFormat="false" ht="15" hidden="false" customHeight="false" outlineLevel="0" collapsed="false">
      <c r="A855" s="26"/>
      <c r="B855" s="15"/>
      <c r="C855" s="15"/>
      <c r="D855" s="27"/>
      <c r="E855" s="15"/>
      <c r="F855" s="28"/>
      <c r="G855" s="25" t="str">
        <f aca="true">IF(OR(D855="",E855=""),"",IFERROR(D855*INDEX(UnidadesFactor,MATCH(E855,Unidades,0)),""))</f>
        <v/>
      </c>
      <c r="H855" s="17" t="str">
        <f aca="false">IF(I855&lt;&gt;"OK","",IF(G855=0,"",F855/G855))</f>
        <v/>
      </c>
      <c r="I855" s="20" t="str">
        <f aca="true">IF(B855="","",IF(ISNA(MATCH(B855,ListaInsumos,0)),"Insumo no está en Insumos",IF(OR(D855="",E855="",F855=""),"Faltan datos",IF(INDEX(UnidadesBase,MATCH(E855,Unidades,0))&lt;&gt;INDEX(InsBase,MATCH(B855,ListaInsumos,0)),"Unidad incompatible",IF(A855="","Falta fecha","OK")))))</f>
        <v/>
      </c>
      <c r="J855" s="15"/>
    </row>
    <row r="856" customFormat="false" ht="15" hidden="false" customHeight="false" outlineLevel="0" collapsed="false">
      <c r="A856" s="26"/>
      <c r="B856" s="15"/>
      <c r="C856" s="15"/>
      <c r="D856" s="27"/>
      <c r="E856" s="15"/>
      <c r="F856" s="28"/>
      <c r="G856" s="25" t="str">
        <f aca="true">IF(OR(D856="",E856=""),"",IFERROR(D856*INDEX(UnidadesFactor,MATCH(E856,Unidades,0)),""))</f>
        <v/>
      </c>
      <c r="H856" s="17" t="str">
        <f aca="false">IF(I856&lt;&gt;"OK","",IF(G856=0,"",F856/G856))</f>
        <v/>
      </c>
      <c r="I856" s="20" t="str">
        <f aca="true">IF(B856="","",IF(ISNA(MATCH(B856,ListaInsumos,0)),"Insumo no está en Insumos",IF(OR(D856="",E856="",F856=""),"Faltan datos",IF(INDEX(UnidadesBase,MATCH(E856,Unidades,0))&lt;&gt;INDEX(InsBase,MATCH(B856,ListaInsumos,0)),"Unidad incompatible",IF(A856="","Falta fecha","OK")))))</f>
        <v/>
      </c>
      <c r="J856" s="15"/>
    </row>
    <row r="857" customFormat="false" ht="15" hidden="false" customHeight="false" outlineLevel="0" collapsed="false">
      <c r="A857" s="26"/>
      <c r="B857" s="15"/>
      <c r="C857" s="15"/>
      <c r="D857" s="27"/>
      <c r="E857" s="15"/>
      <c r="F857" s="28"/>
      <c r="G857" s="25" t="str">
        <f aca="true">IF(OR(D857="",E857=""),"",IFERROR(D857*INDEX(UnidadesFactor,MATCH(E857,Unidades,0)),""))</f>
        <v/>
      </c>
      <c r="H857" s="17" t="str">
        <f aca="false">IF(I857&lt;&gt;"OK","",IF(G857=0,"",F857/G857))</f>
        <v/>
      </c>
      <c r="I857" s="20" t="str">
        <f aca="true">IF(B857="","",IF(ISNA(MATCH(B857,ListaInsumos,0)),"Insumo no está en Insumos",IF(OR(D857="",E857="",F857=""),"Faltan datos",IF(INDEX(UnidadesBase,MATCH(E857,Unidades,0))&lt;&gt;INDEX(InsBase,MATCH(B857,ListaInsumos,0)),"Unidad incompatible",IF(A857="","Falta fecha","OK")))))</f>
        <v/>
      </c>
      <c r="J857" s="15"/>
    </row>
    <row r="858" customFormat="false" ht="15" hidden="false" customHeight="false" outlineLevel="0" collapsed="false">
      <c r="A858" s="26"/>
      <c r="B858" s="15"/>
      <c r="C858" s="15"/>
      <c r="D858" s="27"/>
      <c r="E858" s="15"/>
      <c r="F858" s="28"/>
      <c r="G858" s="25" t="str">
        <f aca="true">IF(OR(D858="",E858=""),"",IFERROR(D858*INDEX(UnidadesFactor,MATCH(E858,Unidades,0)),""))</f>
        <v/>
      </c>
      <c r="H858" s="17" t="str">
        <f aca="false">IF(I858&lt;&gt;"OK","",IF(G858=0,"",F858/G858))</f>
        <v/>
      </c>
      <c r="I858" s="20" t="str">
        <f aca="true">IF(B858="","",IF(ISNA(MATCH(B858,ListaInsumos,0)),"Insumo no está en Insumos",IF(OR(D858="",E858="",F858=""),"Faltan datos",IF(INDEX(UnidadesBase,MATCH(E858,Unidades,0))&lt;&gt;INDEX(InsBase,MATCH(B858,ListaInsumos,0)),"Unidad incompatible",IF(A858="","Falta fecha","OK")))))</f>
        <v/>
      </c>
      <c r="J858" s="15"/>
    </row>
    <row r="859" customFormat="false" ht="15" hidden="false" customHeight="false" outlineLevel="0" collapsed="false">
      <c r="A859" s="26"/>
      <c r="B859" s="15"/>
      <c r="C859" s="15"/>
      <c r="D859" s="27"/>
      <c r="E859" s="15"/>
      <c r="F859" s="28"/>
      <c r="G859" s="25" t="str">
        <f aca="true">IF(OR(D859="",E859=""),"",IFERROR(D859*INDEX(UnidadesFactor,MATCH(E859,Unidades,0)),""))</f>
        <v/>
      </c>
      <c r="H859" s="17" t="str">
        <f aca="false">IF(I859&lt;&gt;"OK","",IF(G859=0,"",F859/G859))</f>
        <v/>
      </c>
      <c r="I859" s="20" t="str">
        <f aca="true">IF(B859="","",IF(ISNA(MATCH(B859,ListaInsumos,0)),"Insumo no está en Insumos",IF(OR(D859="",E859="",F859=""),"Faltan datos",IF(INDEX(UnidadesBase,MATCH(E859,Unidades,0))&lt;&gt;INDEX(InsBase,MATCH(B859,ListaInsumos,0)),"Unidad incompatible",IF(A859="","Falta fecha","OK")))))</f>
        <v/>
      </c>
      <c r="J859" s="15"/>
    </row>
    <row r="860" customFormat="false" ht="15" hidden="false" customHeight="false" outlineLevel="0" collapsed="false">
      <c r="A860" s="26"/>
      <c r="B860" s="15"/>
      <c r="C860" s="15"/>
      <c r="D860" s="27"/>
      <c r="E860" s="15"/>
      <c r="F860" s="28"/>
      <c r="G860" s="25" t="str">
        <f aca="true">IF(OR(D860="",E860=""),"",IFERROR(D860*INDEX(UnidadesFactor,MATCH(E860,Unidades,0)),""))</f>
        <v/>
      </c>
      <c r="H860" s="17" t="str">
        <f aca="false">IF(I860&lt;&gt;"OK","",IF(G860=0,"",F860/G860))</f>
        <v/>
      </c>
      <c r="I860" s="20" t="str">
        <f aca="true">IF(B860="","",IF(ISNA(MATCH(B860,ListaInsumos,0)),"Insumo no está en Insumos",IF(OR(D860="",E860="",F860=""),"Faltan datos",IF(INDEX(UnidadesBase,MATCH(E860,Unidades,0))&lt;&gt;INDEX(InsBase,MATCH(B860,ListaInsumos,0)),"Unidad incompatible",IF(A860="","Falta fecha","OK")))))</f>
        <v/>
      </c>
      <c r="J860" s="15"/>
    </row>
    <row r="861" customFormat="false" ht="15" hidden="false" customHeight="false" outlineLevel="0" collapsed="false">
      <c r="A861" s="26"/>
      <c r="B861" s="15"/>
      <c r="C861" s="15"/>
      <c r="D861" s="27"/>
      <c r="E861" s="15"/>
      <c r="F861" s="28"/>
      <c r="G861" s="25" t="str">
        <f aca="true">IF(OR(D861="",E861=""),"",IFERROR(D861*INDEX(UnidadesFactor,MATCH(E861,Unidades,0)),""))</f>
        <v/>
      </c>
      <c r="H861" s="17" t="str">
        <f aca="false">IF(I861&lt;&gt;"OK","",IF(G861=0,"",F861/G861))</f>
        <v/>
      </c>
      <c r="I861" s="20" t="str">
        <f aca="true">IF(B861="","",IF(ISNA(MATCH(B861,ListaInsumos,0)),"Insumo no está en Insumos",IF(OR(D861="",E861="",F861=""),"Faltan datos",IF(INDEX(UnidadesBase,MATCH(E861,Unidades,0))&lt;&gt;INDEX(InsBase,MATCH(B861,ListaInsumos,0)),"Unidad incompatible",IF(A861="","Falta fecha","OK")))))</f>
        <v/>
      </c>
      <c r="J861" s="15"/>
    </row>
    <row r="862" customFormat="false" ht="15" hidden="false" customHeight="false" outlineLevel="0" collapsed="false">
      <c r="A862" s="26"/>
      <c r="B862" s="15"/>
      <c r="C862" s="15"/>
      <c r="D862" s="27"/>
      <c r="E862" s="15"/>
      <c r="F862" s="28"/>
      <c r="G862" s="25" t="str">
        <f aca="true">IF(OR(D862="",E862=""),"",IFERROR(D862*INDEX(UnidadesFactor,MATCH(E862,Unidades,0)),""))</f>
        <v/>
      </c>
      <c r="H862" s="17" t="str">
        <f aca="false">IF(I862&lt;&gt;"OK","",IF(G862=0,"",F862/G862))</f>
        <v/>
      </c>
      <c r="I862" s="20" t="str">
        <f aca="true">IF(B862="","",IF(ISNA(MATCH(B862,ListaInsumos,0)),"Insumo no está en Insumos",IF(OR(D862="",E862="",F862=""),"Faltan datos",IF(INDEX(UnidadesBase,MATCH(E862,Unidades,0))&lt;&gt;INDEX(InsBase,MATCH(B862,ListaInsumos,0)),"Unidad incompatible",IF(A862="","Falta fecha","OK")))))</f>
        <v/>
      </c>
      <c r="J862" s="15"/>
    </row>
    <row r="863" customFormat="false" ht="15" hidden="false" customHeight="false" outlineLevel="0" collapsed="false">
      <c r="A863" s="26"/>
      <c r="B863" s="15"/>
      <c r="C863" s="15"/>
      <c r="D863" s="27"/>
      <c r="E863" s="15"/>
      <c r="F863" s="28"/>
      <c r="G863" s="25" t="str">
        <f aca="true">IF(OR(D863="",E863=""),"",IFERROR(D863*INDEX(UnidadesFactor,MATCH(E863,Unidades,0)),""))</f>
        <v/>
      </c>
      <c r="H863" s="17" t="str">
        <f aca="false">IF(I863&lt;&gt;"OK","",IF(G863=0,"",F863/G863))</f>
        <v/>
      </c>
      <c r="I863" s="20" t="str">
        <f aca="true">IF(B863="","",IF(ISNA(MATCH(B863,ListaInsumos,0)),"Insumo no está en Insumos",IF(OR(D863="",E863="",F863=""),"Faltan datos",IF(INDEX(UnidadesBase,MATCH(E863,Unidades,0))&lt;&gt;INDEX(InsBase,MATCH(B863,ListaInsumos,0)),"Unidad incompatible",IF(A863="","Falta fecha","OK")))))</f>
        <v/>
      </c>
      <c r="J863" s="15"/>
    </row>
    <row r="864" customFormat="false" ht="15" hidden="false" customHeight="false" outlineLevel="0" collapsed="false">
      <c r="A864" s="26"/>
      <c r="B864" s="15"/>
      <c r="C864" s="15"/>
      <c r="D864" s="27"/>
      <c r="E864" s="15"/>
      <c r="F864" s="28"/>
      <c r="G864" s="25" t="str">
        <f aca="true">IF(OR(D864="",E864=""),"",IFERROR(D864*INDEX(UnidadesFactor,MATCH(E864,Unidades,0)),""))</f>
        <v/>
      </c>
      <c r="H864" s="17" t="str">
        <f aca="false">IF(I864&lt;&gt;"OK","",IF(G864=0,"",F864/G864))</f>
        <v/>
      </c>
      <c r="I864" s="20" t="str">
        <f aca="true">IF(B864="","",IF(ISNA(MATCH(B864,ListaInsumos,0)),"Insumo no está en Insumos",IF(OR(D864="",E864="",F864=""),"Faltan datos",IF(INDEX(UnidadesBase,MATCH(E864,Unidades,0))&lt;&gt;INDEX(InsBase,MATCH(B864,ListaInsumos,0)),"Unidad incompatible",IF(A864="","Falta fecha","OK")))))</f>
        <v/>
      </c>
      <c r="J864" s="15"/>
    </row>
    <row r="865" customFormat="false" ht="15" hidden="false" customHeight="false" outlineLevel="0" collapsed="false">
      <c r="A865" s="26"/>
      <c r="B865" s="15"/>
      <c r="C865" s="15"/>
      <c r="D865" s="27"/>
      <c r="E865" s="15"/>
      <c r="F865" s="28"/>
      <c r="G865" s="25" t="str">
        <f aca="true">IF(OR(D865="",E865=""),"",IFERROR(D865*INDEX(UnidadesFactor,MATCH(E865,Unidades,0)),""))</f>
        <v/>
      </c>
      <c r="H865" s="17" t="str">
        <f aca="false">IF(I865&lt;&gt;"OK","",IF(G865=0,"",F865/G865))</f>
        <v/>
      </c>
      <c r="I865" s="20" t="str">
        <f aca="true">IF(B865="","",IF(ISNA(MATCH(B865,ListaInsumos,0)),"Insumo no está en Insumos",IF(OR(D865="",E865="",F865=""),"Faltan datos",IF(INDEX(UnidadesBase,MATCH(E865,Unidades,0))&lt;&gt;INDEX(InsBase,MATCH(B865,ListaInsumos,0)),"Unidad incompatible",IF(A865="","Falta fecha","OK")))))</f>
        <v/>
      </c>
      <c r="J865" s="15"/>
    </row>
    <row r="866" customFormat="false" ht="15" hidden="false" customHeight="false" outlineLevel="0" collapsed="false">
      <c r="A866" s="26"/>
      <c r="B866" s="15"/>
      <c r="C866" s="15"/>
      <c r="D866" s="27"/>
      <c r="E866" s="15"/>
      <c r="F866" s="28"/>
      <c r="G866" s="25" t="str">
        <f aca="true">IF(OR(D866="",E866=""),"",IFERROR(D866*INDEX(UnidadesFactor,MATCH(E866,Unidades,0)),""))</f>
        <v/>
      </c>
      <c r="H866" s="17" t="str">
        <f aca="false">IF(I866&lt;&gt;"OK","",IF(G866=0,"",F866/G866))</f>
        <v/>
      </c>
      <c r="I866" s="20" t="str">
        <f aca="true">IF(B866="","",IF(ISNA(MATCH(B866,ListaInsumos,0)),"Insumo no está en Insumos",IF(OR(D866="",E866="",F866=""),"Faltan datos",IF(INDEX(UnidadesBase,MATCH(E866,Unidades,0))&lt;&gt;INDEX(InsBase,MATCH(B866,ListaInsumos,0)),"Unidad incompatible",IF(A866="","Falta fecha","OK")))))</f>
        <v/>
      </c>
      <c r="J866" s="15"/>
    </row>
    <row r="867" customFormat="false" ht="15" hidden="false" customHeight="false" outlineLevel="0" collapsed="false">
      <c r="A867" s="26"/>
      <c r="B867" s="15"/>
      <c r="C867" s="15"/>
      <c r="D867" s="27"/>
      <c r="E867" s="15"/>
      <c r="F867" s="28"/>
      <c r="G867" s="25" t="str">
        <f aca="true">IF(OR(D867="",E867=""),"",IFERROR(D867*INDEX(UnidadesFactor,MATCH(E867,Unidades,0)),""))</f>
        <v/>
      </c>
      <c r="H867" s="17" t="str">
        <f aca="false">IF(I867&lt;&gt;"OK","",IF(G867=0,"",F867/G867))</f>
        <v/>
      </c>
      <c r="I867" s="20" t="str">
        <f aca="true">IF(B867="","",IF(ISNA(MATCH(B867,ListaInsumos,0)),"Insumo no está en Insumos",IF(OR(D867="",E867="",F867=""),"Faltan datos",IF(INDEX(UnidadesBase,MATCH(E867,Unidades,0))&lt;&gt;INDEX(InsBase,MATCH(B867,ListaInsumos,0)),"Unidad incompatible",IF(A867="","Falta fecha","OK")))))</f>
        <v/>
      </c>
      <c r="J867" s="15"/>
    </row>
    <row r="868" customFormat="false" ht="15" hidden="false" customHeight="false" outlineLevel="0" collapsed="false">
      <c r="A868" s="26"/>
      <c r="B868" s="15"/>
      <c r="C868" s="15"/>
      <c r="D868" s="27"/>
      <c r="E868" s="15"/>
      <c r="F868" s="28"/>
      <c r="G868" s="25" t="str">
        <f aca="true">IF(OR(D868="",E868=""),"",IFERROR(D868*INDEX(UnidadesFactor,MATCH(E868,Unidades,0)),""))</f>
        <v/>
      </c>
      <c r="H868" s="17" t="str">
        <f aca="false">IF(I868&lt;&gt;"OK","",IF(G868=0,"",F868/G868))</f>
        <v/>
      </c>
      <c r="I868" s="20" t="str">
        <f aca="true">IF(B868="","",IF(ISNA(MATCH(B868,ListaInsumos,0)),"Insumo no está en Insumos",IF(OR(D868="",E868="",F868=""),"Faltan datos",IF(INDEX(UnidadesBase,MATCH(E868,Unidades,0))&lt;&gt;INDEX(InsBase,MATCH(B868,ListaInsumos,0)),"Unidad incompatible",IF(A868="","Falta fecha","OK")))))</f>
        <v/>
      </c>
      <c r="J868" s="15"/>
    </row>
    <row r="869" customFormat="false" ht="15" hidden="false" customHeight="false" outlineLevel="0" collapsed="false">
      <c r="A869" s="26"/>
      <c r="B869" s="15"/>
      <c r="C869" s="15"/>
      <c r="D869" s="27"/>
      <c r="E869" s="15"/>
      <c r="F869" s="28"/>
      <c r="G869" s="25" t="str">
        <f aca="true">IF(OR(D869="",E869=""),"",IFERROR(D869*INDEX(UnidadesFactor,MATCH(E869,Unidades,0)),""))</f>
        <v/>
      </c>
      <c r="H869" s="17" t="str">
        <f aca="false">IF(I869&lt;&gt;"OK","",IF(G869=0,"",F869/G869))</f>
        <v/>
      </c>
      <c r="I869" s="20" t="str">
        <f aca="true">IF(B869="","",IF(ISNA(MATCH(B869,ListaInsumos,0)),"Insumo no está en Insumos",IF(OR(D869="",E869="",F869=""),"Faltan datos",IF(INDEX(UnidadesBase,MATCH(E869,Unidades,0))&lt;&gt;INDEX(InsBase,MATCH(B869,ListaInsumos,0)),"Unidad incompatible",IF(A869="","Falta fecha","OK")))))</f>
        <v/>
      </c>
      <c r="J869" s="15"/>
    </row>
    <row r="870" customFormat="false" ht="15" hidden="false" customHeight="false" outlineLevel="0" collapsed="false">
      <c r="A870" s="26"/>
      <c r="B870" s="15"/>
      <c r="C870" s="15"/>
      <c r="D870" s="27"/>
      <c r="E870" s="15"/>
      <c r="F870" s="28"/>
      <c r="G870" s="25" t="str">
        <f aca="true">IF(OR(D870="",E870=""),"",IFERROR(D870*INDEX(UnidadesFactor,MATCH(E870,Unidades,0)),""))</f>
        <v/>
      </c>
      <c r="H870" s="17" t="str">
        <f aca="false">IF(I870&lt;&gt;"OK","",IF(G870=0,"",F870/G870))</f>
        <v/>
      </c>
      <c r="I870" s="20" t="str">
        <f aca="true">IF(B870="","",IF(ISNA(MATCH(B870,ListaInsumos,0)),"Insumo no está en Insumos",IF(OR(D870="",E870="",F870=""),"Faltan datos",IF(INDEX(UnidadesBase,MATCH(E870,Unidades,0))&lt;&gt;INDEX(InsBase,MATCH(B870,ListaInsumos,0)),"Unidad incompatible",IF(A870="","Falta fecha","OK")))))</f>
        <v/>
      </c>
      <c r="J870" s="15"/>
    </row>
    <row r="871" customFormat="false" ht="15" hidden="false" customHeight="false" outlineLevel="0" collapsed="false">
      <c r="A871" s="26"/>
      <c r="B871" s="15"/>
      <c r="C871" s="15"/>
      <c r="D871" s="27"/>
      <c r="E871" s="15"/>
      <c r="F871" s="28"/>
      <c r="G871" s="25" t="str">
        <f aca="true">IF(OR(D871="",E871=""),"",IFERROR(D871*INDEX(UnidadesFactor,MATCH(E871,Unidades,0)),""))</f>
        <v/>
      </c>
      <c r="H871" s="17" t="str">
        <f aca="false">IF(I871&lt;&gt;"OK","",IF(G871=0,"",F871/G871))</f>
        <v/>
      </c>
      <c r="I871" s="20" t="str">
        <f aca="true">IF(B871="","",IF(ISNA(MATCH(B871,ListaInsumos,0)),"Insumo no está en Insumos",IF(OR(D871="",E871="",F871=""),"Faltan datos",IF(INDEX(UnidadesBase,MATCH(E871,Unidades,0))&lt;&gt;INDEX(InsBase,MATCH(B871,ListaInsumos,0)),"Unidad incompatible",IF(A871="","Falta fecha","OK")))))</f>
        <v/>
      </c>
      <c r="J871" s="15"/>
    </row>
    <row r="872" customFormat="false" ht="15" hidden="false" customHeight="false" outlineLevel="0" collapsed="false">
      <c r="A872" s="26"/>
      <c r="B872" s="15"/>
      <c r="C872" s="15"/>
      <c r="D872" s="27"/>
      <c r="E872" s="15"/>
      <c r="F872" s="28"/>
      <c r="G872" s="25" t="str">
        <f aca="true">IF(OR(D872="",E872=""),"",IFERROR(D872*INDEX(UnidadesFactor,MATCH(E872,Unidades,0)),""))</f>
        <v/>
      </c>
      <c r="H872" s="17" t="str">
        <f aca="false">IF(I872&lt;&gt;"OK","",IF(G872=0,"",F872/G872))</f>
        <v/>
      </c>
      <c r="I872" s="20" t="str">
        <f aca="true">IF(B872="","",IF(ISNA(MATCH(B872,ListaInsumos,0)),"Insumo no está en Insumos",IF(OR(D872="",E872="",F872=""),"Faltan datos",IF(INDEX(UnidadesBase,MATCH(E872,Unidades,0))&lt;&gt;INDEX(InsBase,MATCH(B872,ListaInsumos,0)),"Unidad incompatible",IF(A872="","Falta fecha","OK")))))</f>
        <v/>
      </c>
      <c r="J872" s="15"/>
    </row>
    <row r="873" customFormat="false" ht="15" hidden="false" customHeight="false" outlineLevel="0" collapsed="false">
      <c r="A873" s="26"/>
      <c r="B873" s="15"/>
      <c r="C873" s="15"/>
      <c r="D873" s="27"/>
      <c r="E873" s="15"/>
      <c r="F873" s="28"/>
      <c r="G873" s="25" t="str">
        <f aca="true">IF(OR(D873="",E873=""),"",IFERROR(D873*INDEX(UnidadesFactor,MATCH(E873,Unidades,0)),""))</f>
        <v/>
      </c>
      <c r="H873" s="17" t="str">
        <f aca="false">IF(I873&lt;&gt;"OK","",IF(G873=0,"",F873/G873))</f>
        <v/>
      </c>
      <c r="I873" s="20" t="str">
        <f aca="true">IF(B873="","",IF(ISNA(MATCH(B873,ListaInsumos,0)),"Insumo no está en Insumos",IF(OR(D873="",E873="",F873=""),"Faltan datos",IF(INDEX(UnidadesBase,MATCH(E873,Unidades,0))&lt;&gt;INDEX(InsBase,MATCH(B873,ListaInsumos,0)),"Unidad incompatible",IF(A873="","Falta fecha","OK")))))</f>
        <v/>
      </c>
      <c r="J873" s="15"/>
    </row>
    <row r="874" customFormat="false" ht="15" hidden="false" customHeight="false" outlineLevel="0" collapsed="false">
      <c r="A874" s="26"/>
      <c r="B874" s="15"/>
      <c r="C874" s="15"/>
      <c r="D874" s="27"/>
      <c r="E874" s="15"/>
      <c r="F874" s="28"/>
      <c r="G874" s="25" t="str">
        <f aca="true">IF(OR(D874="",E874=""),"",IFERROR(D874*INDEX(UnidadesFactor,MATCH(E874,Unidades,0)),""))</f>
        <v/>
      </c>
      <c r="H874" s="17" t="str">
        <f aca="false">IF(I874&lt;&gt;"OK","",IF(G874=0,"",F874/G874))</f>
        <v/>
      </c>
      <c r="I874" s="20" t="str">
        <f aca="true">IF(B874="","",IF(ISNA(MATCH(B874,ListaInsumos,0)),"Insumo no está en Insumos",IF(OR(D874="",E874="",F874=""),"Faltan datos",IF(INDEX(UnidadesBase,MATCH(E874,Unidades,0))&lt;&gt;INDEX(InsBase,MATCH(B874,ListaInsumos,0)),"Unidad incompatible",IF(A874="","Falta fecha","OK")))))</f>
        <v/>
      </c>
      <c r="J874" s="15"/>
    </row>
    <row r="875" customFormat="false" ht="15" hidden="false" customHeight="false" outlineLevel="0" collapsed="false">
      <c r="A875" s="26"/>
      <c r="B875" s="15"/>
      <c r="C875" s="15"/>
      <c r="D875" s="27"/>
      <c r="E875" s="15"/>
      <c r="F875" s="28"/>
      <c r="G875" s="25" t="str">
        <f aca="true">IF(OR(D875="",E875=""),"",IFERROR(D875*INDEX(UnidadesFactor,MATCH(E875,Unidades,0)),""))</f>
        <v/>
      </c>
      <c r="H875" s="17" t="str">
        <f aca="false">IF(I875&lt;&gt;"OK","",IF(G875=0,"",F875/G875))</f>
        <v/>
      </c>
      <c r="I875" s="20" t="str">
        <f aca="true">IF(B875="","",IF(ISNA(MATCH(B875,ListaInsumos,0)),"Insumo no está en Insumos",IF(OR(D875="",E875="",F875=""),"Faltan datos",IF(INDEX(UnidadesBase,MATCH(E875,Unidades,0))&lt;&gt;INDEX(InsBase,MATCH(B875,ListaInsumos,0)),"Unidad incompatible",IF(A875="","Falta fecha","OK")))))</f>
        <v/>
      </c>
      <c r="J875" s="15"/>
    </row>
    <row r="876" customFormat="false" ht="15" hidden="false" customHeight="false" outlineLevel="0" collapsed="false">
      <c r="A876" s="26"/>
      <c r="B876" s="15"/>
      <c r="C876" s="15"/>
      <c r="D876" s="27"/>
      <c r="E876" s="15"/>
      <c r="F876" s="28"/>
      <c r="G876" s="25" t="str">
        <f aca="true">IF(OR(D876="",E876=""),"",IFERROR(D876*INDEX(UnidadesFactor,MATCH(E876,Unidades,0)),""))</f>
        <v/>
      </c>
      <c r="H876" s="17" t="str">
        <f aca="false">IF(I876&lt;&gt;"OK","",IF(G876=0,"",F876/G876))</f>
        <v/>
      </c>
      <c r="I876" s="20" t="str">
        <f aca="true">IF(B876="","",IF(ISNA(MATCH(B876,ListaInsumos,0)),"Insumo no está en Insumos",IF(OR(D876="",E876="",F876=""),"Faltan datos",IF(INDEX(UnidadesBase,MATCH(E876,Unidades,0))&lt;&gt;INDEX(InsBase,MATCH(B876,ListaInsumos,0)),"Unidad incompatible",IF(A876="","Falta fecha","OK")))))</f>
        <v/>
      </c>
      <c r="J876" s="15"/>
    </row>
    <row r="877" customFormat="false" ht="15" hidden="false" customHeight="false" outlineLevel="0" collapsed="false">
      <c r="A877" s="26"/>
      <c r="B877" s="15"/>
      <c r="C877" s="15"/>
      <c r="D877" s="27"/>
      <c r="E877" s="15"/>
      <c r="F877" s="28"/>
      <c r="G877" s="25" t="str">
        <f aca="true">IF(OR(D877="",E877=""),"",IFERROR(D877*INDEX(UnidadesFactor,MATCH(E877,Unidades,0)),""))</f>
        <v/>
      </c>
      <c r="H877" s="17" t="str">
        <f aca="false">IF(I877&lt;&gt;"OK","",IF(G877=0,"",F877/G877))</f>
        <v/>
      </c>
      <c r="I877" s="20" t="str">
        <f aca="true">IF(B877="","",IF(ISNA(MATCH(B877,ListaInsumos,0)),"Insumo no está en Insumos",IF(OR(D877="",E877="",F877=""),"Faltan datos",IF(INDEX(UnidadesBase,MATCH(E877,Unidades,0))&lt;&gt;INDEX(InsBase,MATCH(B877,ListaInsumos,0)),"Unidad incompatible",IF(A877="","Falta fecha","OK")))))</f>
        <v/>
      </c>
      <c r="J877" s="15"/>
    </row>
    <row r="878" customFormat="false" ht="15" hidden="false" customHeight="false" outlineLevel="0" collapsed="false">
      <c r="A878" s="26"/>
      <c r="B878" s="15"/>
      <c r="C878" s="15"/>
      <c r="D878" s="27"/>
      <c r="E878" s="15"/>
      <c r="F878" s="28"/>
      <c r="G878" s="25" t="str">
        <f aca="true">IF(OR(D878="",E878=""),"",IFERROR(D878*INDEX(UnidadesFactor,MATCH(E878,Unidades,0)),""))</f>
        <v/>
      </c>
      <c r="H878" s="17" t="str">
        <f aca="false">IF(I878&lt;&gt;"OK","",IF(G878=0,"",F878/G878))</f>
        <v/>
      </c>
      <c r="I878" s="20" t="str">
        <f aca="true">IF(B878="","",IF(ISNA(MATCH(B878,ListaInsumos,0)),"Insumo no está en Insumos",IF(OR(D878="",E878="",F878=""),"Faltan datos",IF(INDEX(UnidadesBase,MATCH(E878,Unidades,0))&lt;&gt;INDEX(InsBase,MATCH(B878,ListaInsumos,0)),"Unidad incompatible",IF(A878="","Falta fecha","OK")))))</f>
        <v/>
      </c>
      <c r="J878" s="15"/>
    </row>
    <row r="879" customFormat="false" ht="15" hidden="false" customHeight="false" outlineLevel="0" collapsed="false">
      <c r="A879" s="26"/>
      <c r="B879" s="15"/>
      <c r="C879" s="15"/>
      <c r="D879" s="27"/>
      <c r="E879" s="15"/>
      <c r="F879" s="28"/>
      <c r="G879" s="25" t="str">
        <f aca="true">IF(OR(D879="",E879=""),"",IFERROR(D879*INDEX(UnidadesFactor,MATCH(E879,Unidades,0)),""))</f>
        <v/>
      </c>
      <c r="H879" s="17" t="str">
        <f aca="false">IF(I879&lt;&gt;"OK","",IF(G879=0,"",F879/G879))</f>
        <v/>
      </c>
      <c r="I879" s="20" t="str">
        <f aca="true">IF(B879="","",IF(ISNA(MATCH(B879,ListaInsumos,0)),"Insumo no está en Insumos",IF(OR(D879="",E879="",F879=""),"Faltan datos",IF(INDEX(UnidadesBase,MATCH(E879,Unidades,0))&lt;&gt;INDEX(InsBase,MATCH(B879,ListaInsumos,0)),"Unidad incompatible",IF(A879="","Falta fecha","OK")))))</f>
        <v/>
      </c>
      <c r="J879" s="15"/>
    </row>
    <row r="880" customFormat="false" ht="15" hidden="false" customHeight="false" outlineLevel="0" collapsed="false">
      <c r="A880" s="26"/>
      <c r="B880" s="15"/>
      <c r="C880" s="15"/>
      <c r="D880" s="27"/>
      <c r="E880" s="15"/>
      <c r="F880" s="28"/>
      <c r="G880" s="25" t="str">
        <f aca="true">IF(OR(D880="",E880=""),"",IFERROR(D880*INDEX(UnidadesFactor,MATCH(E880,Unidades,0)),""))</f>
        <v/>
      </c>
      <c r="H880" s="17" t="str">
        <f aca="false">IF(I880&lt;&gt;"OK","",IF(G880=0,"",F880/G880))</f>
        <v/>
      </c>
      <c r="I880" s="20" t="str">
        <f aca="true">IF(B880="","",IF(ISNA(MATCH(B880,ListaInsumos,0)),"Insumo no está en Insumos",IF(OR(D880="",E880="",F880=""),"Faltan datos",IF(INDEX(UnidadesBase,MATCH(E880,Unidades,0))&lt;&gt;INDEX(InsBase,MATCH(B880,ListaInsumos,0)),"Unidad incompatible",IF(A880="","Falta fecha","OK")))))</f>
        <v/>
      </c>
      <c r="J880" s="15"/>
    </row>
    <row r="881" customFormat="false" ht="15" hidden="false" customHeight="false" outlineLevel="0" collapsed="false">
      <c r="A881" s="26"/>
      <c r="B881" s="15"/>
      <c r="C881" s="15"/>
      <c r="D881" s="27"/>
      <c r="E881" s="15"/>
      <c r="F881" s="28"/>
      <c r="G881" s="25" t="str">
        <f aca="true">IF(OR(D881="",E881=""),"",IFERROR(D881*INDEX(UnidadesFactor,MATCH(E881,Unidades,0)),""))</f>
        <v/>
      </c>
      <c r="H881" s="17" t="str">
        <f aca="false">IF(I881&lt;&gt;"OK","",IF(G881=0,"",F881/G881))</f>
        <v/>
      </c>
      <c r="I881" s="20" t="str">
        <f aca="true">IF(B881="","",IF(ISNA(MATCH(B881,ListaInsumos,0)),"Insumo no está en Insumos",IF(OR(D881="",E881="",F881=""),"Faltan datos",IF(INDEX(UnidadesBase,MATCH(E881,Unidades,0))&lt;&gt;INDEX(InsBase,MATCH(B881,ListaInsumos,0)),"Unidad incompatible",IF(A881="","Falta fecha","OK")))))</f>
        <v/>
      </c>
      <c r="J881" s="15"/>
    </row>
    <row r="882" customFormat="false" ht="15" hidden="false" customHeight="false" outlineLevel="0" collapsed="false">
      <c r="A882" s="26"/>
      <c r="B882" s="15"/>
      <c r="C882" s="15"/>
      <c r="D882" s="27"/>
      <c r="E882" s="15"/>
      <c r="F882" s="28"/>
      <c r="G882" s="25" t="str">
        <f aca="true">IF(OR(D882="",E882=""),"",IFERROR(D882*INDEX(UnidadesFactor,MATCH(E882,Unidades,0)),""))</f>
        <v/>
      </c>
      <c r="H882" s="17" t="str">
        <f aca="false">IF(I882&lt;&gt;"OK","",IF(G882=0,"",F882/G882))</f>
        <v/>
      </c>
      <c r="I882" s="20" t="str">
        <f aca="true">IF(B882="","",IF(ISNA(MATCH(B882,ListaInsumos,0)),"Insumo no está en Insumos",IF(OR(D882="",E882="",F882=""),"Faltan datos",IF(INDEX(UnidadesBase,MATCH(E882,Unidades,0))&lt;&gt;INDEX(InsBase,MATCH(B882,ListaInsumos,0)),"Unidad incompatible",IF(A882="","Falta fecha","OK")))))</f>
        <v/>
      </c>
      <c r="J882" s="15"/>
    </row>
    <row r="883" customFormat="false" ht="15" hidden="false" customHeight="false" outlineLevel="0" collapsed="false">
      <c r="A883" s="26"/>
      <c r="B883" s="15"/>
      <c r="C883" s="15"/>
      <c r="D883" s="27"/>
      <c r="E883" s="15"/>
      <c r="F883" s="28"/>
      <c r="G883" s="25" t="str">
        <f aca="true">IF(OR(D883="",E883=""),"",IFERROR(D883*INDEX(UnidadesFactor,MATCH(E883,Unidades,0)),""))</f>
        <v/>
      </c>
      <c r="H883" s="17" t="str">
        <f aca="false">IF(I883&lt;&gt;"OK","",IF(G883=0,"",F883/G883))</f>
        <v/>
      </c>
      <c r="I883" s="20" t="str">
        <f aca="true">IF(B883="","",IF(ISNA(MATCH(B883,ListaInsumos,0)),"Insumo no está en Insumos",IF(OR(D883="",E883="",F883=""),"Faltan datos",IF(INDEX(UnidadesBase,MATCH(E883,Unidades,0))&lt;&gt;INDEX(InsBase,MATCH(B883,ListaInsumos,0)),"Unidad incompatible",IF(A883="","Falta fecha","OK")))))</f>
        <v/>
      </c>
      <c r="J883" s="15"/>
    </row>
    <row r="884" customFormat="false" ht="15" hidden="false" customHeight="false" outlineLevel="0" collapsed="false">
      <c r="A884" s="26"/>
      <c r="B884" s="15"/>
      <c r="C884" s="15"/>
      <c r="D884" s="27"/>
      <c r="E884" s="15"/>
      <c r="F884" s="28"/>
      <c r="G884" s="25" t="str">
        <f aca="true">IF(OR(D884="",E884=""),"",IFERROR(D884*INDEX(UnidadesFactor,MATCH(E884,Unidades,0)),""))</f>
        <v/>
      </c>
      <c r="H884" s="17" t="str">
        <f aca="false">IF(I884&lt;&gt;"OK","",IF(G884=0,"",F884/G884))</f>
        <v/>
      </c>
      <c r="I884" s="20" t="str">
        <f aca="true">IF(B884="","",IF(ISNA(MATCH(B884,ListaInsumos,0)),"Insumo no está en Insumos",IF(OR(D884="",E884="",F884=""),"Faltan datos",IF(INDEX(UnidadesBase,MATCH(E884,Unidades,0))&lt;&gt;INDEX(InsBase,MATCH(B884,ListaInsumos,0)),"Unidad incompatible",IF(A884="","Falta fecha","OK")))))</f>
        <v/>
      </c>
      <c r="J884" s="15"/>
    </row>
    <row r="885" customFormat="false" ht="15" hidden="false" customHeight="false" outlineLevel="0" collapsed="false">
      <c r="A885" s="26"/>
      <c r="B885" s="15"/>
      <c r="C885" s="15"/>
      <c r="D885" s="27"/>
      <c r="E885" s="15"/>
      <c r="F885" s="28"/>
      <c r="G885" s="25" t="str">
        <f aca="true">IF(OR(D885="",E885=""),"",IFERROR(D885*INDEX(UnidadesFactor,MATCH(E885,Unidades,0)),""))</f>
        <v/>
      </c>
      <c r="H885" s="17" t="str">
        <f aca="false">IF(I885&lt;&gt;"OK","",IF(G885=0,"",F885/G885))</f>
        <v/>
      </c>
      <c r="I885" s="20" t="str">
        <f aca="true">IF(B885="","",IF(ISNA(MATCH(B885,ListaInsumos,0)),"Insumo no está en Insumos",IF(OR(D885="",E885="",F885=""),"Faltan datos",IF(INDEX(UnidadesBase,MATCH(E885,Unidades,0))&lt;&gt;INDEX(InsBase,MATCH(B885,ListaInsumos,0)),"Unidad incompatible",IF(A885="","Falta fecha","OK")))))</f>
        <v/>
      </c>
      <c r="J885" s="15"/>
    </row>
    <row r="886" customFormat="false" ht="15" hidden="false" customHeight="false" outlineLevel="0" collapsed="false">
      <c r="A886" s="26"/>
      <c r="B886" s="15"/>
      <c r="C886" s="15"/>
      <c r="D886" s="27"/>
      <c r="E886" s="15"/>
      <c r="F886" s="28"/>
      <c r="G886" s="25" t="str">
        <f aca="true">IF(OR(D886="",E886=""),"",IFERROR(D886*INDEX(UnidadesFactor,MATCH(E886,Unidades,0)),""))</f>
        <v/>
      </c>
      <c r="H886" s="17" t="str">
        <f aca="false">IF(I886&lt;&gt;"OK","",IF(G886=0,"",F886/G886))</f>
        <v/>
      </c>
      <c r="I886" s="20" t="str">
        <f aca="true">IF(B886="","",IF(ISNA(MATCH(B886,ListaInsumos,0)),"Insumo no está en Insumos",IF(OR(D886="",E886="",F886=""),"Faltan datos",IF(INDEX(UnidadesBase,MATCH(E886,Unidades,0))&lt;&gt;INDEX(InsBase,MATCH(B886,ListaInsumos,0)),"Unidad incompatible",IF(A886="","Falta fecha","OK")))))</f>
        <v/>
      </c>
      <c r="J886" s="15"/>
    </row>
    <row r="887" customFormat="false" ht="15" hidden="false" customHeight="false" outlineLevel="0" collapsed="false">
      <c r="A887" s="26"/>
      <c r="B887" s="15"/>
      <c r="C887" s="15"/>
      <c r="D887" s="27"/>
      <c r="E887" s="15"/>
      <c r="F887" s="28"/>
      <c r="G887" s="25" t="str">
        <f aca="true">IF(OR(D887="",E887=""),"",IFERROR(D887*INDEX(UnidadesFactor,MATCH(E887,Unidades,0)),""))</f>
        <v/>
      </c>
      <c r="H887" s="17" t="str">
        <f aca="false">IF(I887&lt;&gt;"OK","",IF(G887=0,"",F887/G887))</f>
        <v/>
      </c>
      <c r="I887" s="20" t="str">
        <f aca="true">IF(B887="","",IF(ISNA(MATCH(B887,ListaInsumos,0)),"Insumo no está en Insumos",IF(OR(D887="",E887="",F887=""),"Faltan datos",IF(INDEX(UnidadesBase,MATCH(E887,Unidades,0))&lt;&gt;INDEX(InsBase,MATCH(B887,ListaInsumos,0)),"Unidad incompatible",IF(A887="","Falta fecha","OK")))))</f>
        <v/>
      </c>
      <c r="J887" s="15"/>
    </row>
    <row r="888" customFormat="false" ht="15" hidden="false" customHeight="false" outlineLevel="0" collapsed="false">
      <c r="A888" s="26"/>
      <c r="B888" s="15"/>
      <c r="C888" s="15"/>
      <c r="D888" s="27"/>
      <c r="E888" s="15"/>
      <c r="F888" s="28"/>
      <c r="G888" s="25" t="str">
        <f aca="true">IF(OR(D888="",E888=""),"",IFERROR(D888*INDEX(UnidadesFactor,MATCH(E888,Unidades,0)),""))</f>
        <v/>
      </c>
      <c r="H888" s="17" t="str">
        <f aca="false">IF(I888&lt;&gt;"OK","",IF(G888=0,"",F888/G888))</f>
        <v/>
      </c>
      <c r="I888" s="20" t="str">
        <f aca="true">IF(B888="","",IF(ISNA(MATCH(B888,ListaInsumos,0)),"Insumo no está en Insumos",IF(OR(D888="",E888="",F888=""),"Faltan datos",IF(INDEX(UnidadesBase,MATCH(E888,Unidades,0))&lt;&gt;INDEX(InsBase,MATCH(B888,ListaInsumos,0)),"Unidad incompatible",IF(A888="","Falta fecha","OK")))))</f>
        <v/>
      </c>
      <c r="J888" s="15"/>
    </row>
    <row r="889" customFormat="false" ht="15" hidden="false" customHeight="false" outlineLevel="0" collapsed="false">
      <c r="A889" s="26"/>
      <c r="B889" s="15"/>
      <c r="C889" s="15"/>
      <c r="D889" s="27"/>
      <c r="E889" s="15"/>
      <c r="F889" s="28"/>
      <c r="G889" s="25" t="str">
        <f aca="true">IF(OR(D889="",E889=""),"",IFERROR(D889*INDEX(UnidadesFactor,MATCH(E889,Unidades,0)),""))</f>
        <v/>
      </c>
      <c r="H889" s="17" t="str">
        <f aca="false">IF(I889&lt;&gt;"OK","",IF(G889=0,"",F889/G889))</f>
        <v/>
      </c>
      <c r="I889" s="20" t="str">
        <f aca="true">IF(B889="","",IF(ISNA(MATCH(B889,ListaInsumos,0)),"Insumo no está en Insumos",IF(OR(D889="",E889="",F889=""),"Faltan datos",IF(INDEX(UnidadesBase,MATCH(E889,Unidades,0))&lt;&gt;INDEX(InsBase,MATCH(B889,ListaInsumos,0)),"Unidad incompatible",IF(A889="","Falta fecha","OK")))))</f>
        <v/>
      </c>
      <c r="J889" s="15"/>
    </row>
    <row r="890" customFormat="false" ht="15" hidden="false" customHeight="false" outlineLevel="0" collapsed="false">
      <c r="A890" s="26"/>
      <c r="B890" s="15"/>
      <c r="C890" s="15"/>
      <c r="D890" s="27"/>
      <c r="E890" s="15"/>
      <c r="F890" s="28"/>
      <c r="G890" s="25" t="str">
        <f aca="true">IF(OR(D890="",E890=""),"",IFERROR(D890*INDEX(UnidadesFactor,MATCH(E890,Unidades,0)),""))</f>
        <v/>
      </c>
      <c r="H890" s="17" t="str">
        <f aca="false">IF(I890&lt;&gt;"OK","",IF(G890=0,"",F890/G890))</f>
        <v/>
      </c>
      <c r="I890" s="20" t="str">
        <f aca="true">IF(B890="","",IF(ISNA(MATCH(B890,ListaInsumos,0)),"Insumo no está en Insumos",IF(OR(D890="",E890="",F890=""),"Faltan datos",IF(INDEX(UnidadesBase,MATCH(E890,Unidades,0))&lt;&gt;INDEX(InsBase,MATCH(B890,ListaInsumos,0)),"Unidad incompatible",IF(A890="","Falta fecha","OK")))))</f>
        <v/>
      </c>
      <c r="J890" s="15"/>
    </row>
    <row r="891" customFormat="false" ht="15" hidden="false" customHeight="false" outlineLevel="0" collapsed="false">
      <c r="A891" s="26"/>
      <c r="B891" s="15"/>
      <c r="C891" s="15"/>
      <c r="D891" s="27"/>
      <c r="E891" s="15"/>
      <c r="F891" s="28"/>
      <c r="G891" s="25" t="str">
        <f aca="true">IF(OR(D891="",E891=""),"",IFERROR(D891*INDEX(UnidadesFactor,MATCH(E891,Unidades,0)),""))</f>
        <v/>
      </c>
      <c r="H891" s="17" t="str">
        <f aca="false">IF(I891&lt;&gt;"OK","",IF(G891=0,"",F891/G891))</f>
        <v/>
      </c>
      <c r="I891" s="20" t="str">
        <f aca="true">IF(B891="","",IF(ISNA(MATCH(B891,ListaInsumos,0)),"Insumo no está en Insumos",IF(OR(D891="",E891="",F891=""),"Faltan datos",IF(INDEX(UnidadesBase,MATCH(E891,Unidades,0))&lt;&gt;INDEX(InsBase,MATCH(B891,ListaInsumos,0)),"Unidad incompatible",IF(A891="","Falta fecha","OK")))))</f>
        <v/>
      </c>
      <c r="J891" s="15"/>
    </row>
    <row r="892" customFormat="false" ht="15" hidden="false" customHeight="false" outlineLevel="0" collapsed="false">
      <c r="A892" s="26"/>
      <c r="B892" s="15"/>
      <c r="C892" s="15"/>
      <c r="D892" s="27"/>
      <c r="E892" s="15"/>
      <c r="F892" s="28"/>
      <c r="G892" s="25" t="str">
        <f aca="true">IF(OR(D892="",E892=""),"",IFERROR(D892*INDEX(UnidadesFactor,MATCH(E892,Unidades,0)),""))</f>
        <v/>
      </c>
      <c r="H892" s="17" t="str">
        <f aca="false">IF(I892&lt;&gt;"OK","",IF(G892=0,"",F892/G892))</f>
        <v/>
      </c>
      <c r="I892" s="20" t="str">
        <f aca="true">IF(B892="","",IF(ISNA(MATCH(B892,ListaInsumos,0)),"Insumo no está en Insumos",IF(OR(D892="",E892="",F892=""),"Faltan datos",IF(INDEX(UnidadesBase,MATCH(E892,Unidades,0))&lt;&gt;INDEX(InsBase,MATCH(B892,ListaInsumos,0)),"Unidad incompatible",IF(A892="","Falta fecha","OK")))))</f>
        <v/>
      </c>
      <c r="J892" s="15"/>
    </row>
    <row r="893" customFormat="false" ht="15" hidden="false" customHeight="false" outlineLevel="0" collapsed="false">
      <c r="A893" s="26"/>
      <c r="B893" s="15"/>
      <c r="C893" s="15"/>
      <c r="D893" s="27"/>
      <c r="E893" s="15"/>
      <c r="F893" s="28"/>
      <c r="G893" s="25" t="str">
        <f aca="true">IF(OR(D893="",E893=""),"",IFERROR(D893*INDEX(UnidadesFactor,MATCH(E893,Unidades,0)),""))</f>
        <v/>
      </c>
      <c r="H893" s="17" t="str">
        <f aca="false">IF(I893&lt;&gt;"OK","",IF(G893=0,"",F893/G893))</f>
        <v/>
      </c>
      <c r="I893" s="20" t="str">
        <f aca="true">IF(B893="","",IF(ISNA(MATCH(B893,ListaInsumos,0)),"Insumo no está en Insumos",IF(OR(D893="",E893="",F893=""),"Faltan datos",IF(INDEX(UnidadesBase,MATCH(E893,Unidades,0))&lt;&gt;INDEX(InsBase,MATCH(B893,ListaInsumos,0)),"Unidad incompatible",IF(A893="","Falta fecha","OK")))))</f>
        <v/>
      </c>
      <c r="J893" s="15"/>
    </row>
    <row r="894" customFormat="false" ht="15" hidden="false" customHeight="false" outlineLevel="0" collapsed="false">
      <c r="A894" s="26"/>
      <c r="B894" s="15"/>
      <c r="C894" s="15"/>
      <c r="D894" s="27"/>
      <c r="E894" s="15"/>
      <c r="F894" s="28"/>
      <c r="G894" s="25" t="str">
        <f aca="true">IF(OR(D894="",E894=""),"",IFERROR(D894*INDEX(UnidadesFactor,MATCH(E894,Unidades,0)),""))</f>
        <v/>
      </c>
      <c r="H894" s="17" t="str">
        <f aca="false">IF(I894&lt;&gt;"OK","",IF(G894=0,"",F894/G894))</f>
        <v/>
      </c>
      <c r="I894" s="20" t="str">
        <f aca="true">IF(B894="","",IF(ISNA(MATCH(B894,ListaInsumos,0)),"Insumo no está en Insumos",IF(OR(D894="",E894="",F894=""),"Faltan datos",IF(INDEX(UnidadesBase,MATCH(E894,Unidades,0))&lt;&gt;INDEX(InsBase,MATCH(B894,ListaInsumos,0)),"Unidad incompatible",IF(A894="","Falta fecha","OK")))))</f>
        <v/>
      </c>
      <c r="J894" s="15"/>
    </row>
    <row r="895" customFormat="false" ht="15" hidden="false" customHeight="false" outlineLevel="0" collapsed="false">
      <c r="A895" s="26"/>
      <c r="B895" s="15"/>
      <c r="C895" s="15"/>
      <c r="D895" s="27"/>
      <c r="E895" s="15"/>
      <c r="F895" s="28"/>
      <c r="G895" s="25" t="str">
        <f aca="true">IF(OR(D895="",E895=""),"",IFERROR(D895*INDEX(UnidadesFactor,MATCH(E895,Unidades,0)),""))</f>
        <v/>
      </c>
      <c r="H895" s="17" t="str">
        <f aca="false">IF(I895&lt;&gt;"OK","",IF(G895=0,"",F895/G895))</f>
        <v/>
      </c>
      <c r="I895" s="20" t="str">
        <f aca="true">IF(B895="","",IF(ISNA(MATCH(B895,ListaInsumos,0)),"Insumo no está en Insumos",IF(OR(D895="",E895="",F895=""),"Faltan datos",IF(INDEX(UnidadesBase,MATCH(E895,Unidades,0))&lt;&gt;INDEX(InsBase,MATCH(B895,ListaInsumos,0)),"Unidad incompatible",IF(A895="","Falta fecha","OK")))))</f>
        <v/>
      </c>
      <c r="J895" s="15"/>
    </row>
    <row r="896" customFormat="false" ht="15" hidden="false" customHeight="false" outlineLevel="0" collapsed="false">
      <c r="A896" s="26"/>
      <c r="B896" s="15"/>
      <c r="C896" s="15"/>
      <c r="D896" s="27"/>
      <c r="E896" s="15"/>
      <c r="F896" s="28"/>
      <c r="G896" s="25" t="str">
        <f aca="true">IF(OR(D896="",E896=""),"",IFERROR(D896*INDEX(UnidadesFactor,MATCH(E896,Unidades,0)),""))</f>
        <v/>
      </c>
      <c r="H896" s="17" t="str">
        <f aca="false">IF(I896&lt;&gt;"OK","",IF(G896=0,"",F896/G896))</f>
        <v/>
      </c>
      <c r="I896" s="20" t="str">
        <f aca="true">IF(B896="","",IF(ISNA(MATCH(B896,ListaInsumos,0)),"Insumo no está en Insumos",IF(OR(D896="",E896="",F896=""),"Faltan datos",IF(INDEX(UnidadesBase,MATCH(E896,Unidades,0))&lt;&gt;INDEX(InsBase,MATCH(B896,ListaInsumos,0)),"Unidad incompatible",IF(A896="","Falta fecha","OK")))))</f>
        <v/>
      </c>
      <c r="J896" s="15"/>
    </row>
    <row r="897" customFormat="false" ht="15" hidden="false" customHeight="false" outlineLevel="0" collapsed="false">
      <c r="A897" s="26"/>
      <c r="B897" s="15"/>
      <c r="C897" s="15"/>
      <c r="D897" s="27"/>
      <c r="E897" s="15"/>
      <c r="F897" s="28"/>
      <c r="G897" s="25" t="str">
        <f aca="true">IF(OR(D897="",E897=""),"",IFERROR(D897*INDEX(UnidadesFactor,MATCH(E897,Unidades,0)),""))</f>
        <v/>
      </c>
      <c r="H897" s="17" t="str">
        <f aca="false">IF(I897&lt;&gt;"OK","",IF(G897=0,"",F897/G897))</f>
        <v/>
      </c>
      <c r="I897" s="20" t="str">
        <f aca="true">IF(B897="","",IF(ISNA(MATCH(B897,ListaInsumos,0)),"Insumo no está en Insumos",IF(OR(D897="",E897="",F897=""),"Faltan datos",IF(INDEX(UnidadesBase,MATCH(E897,Unidades,0))&lt;&gt;INDEX(InsBase,MATCH(B897,ListaInsumos,0)),"Unidad incompatible",IF(A897="","Falta fecha","OK")))))</f>
        <v/>
      </c>
      <c r="J897" s="15"/>
    </row>
    <row r="898" customFormat="false" ht="15" hidden="false" customHeight="false" outlineLevel="0" collapsed="false">
      <c r="A898" s="26"/>
      <c r="B898" s="15"/>
      <c r="C898" s="15"/>
      <c r="D898" s="27"/>
      <c r="E898" s="15"/>
      <c r="F898" s="28"/>
      <c r="G898" s="25" t="str">
        <f aca="true">IF(OR(D898="",E898=""),"",IFERROR(D898*INDEX(UnidadesFactor,MATCH(E898,Unidades,0)),""))</f>
        <v/>
      </c>
      <c r="H898" s="17" t="str">
        <f aca="false">IF(I898&lt;&gt;"OK","",IF(G898=0,"",F898/G898))</f>
        <v/>
      </c>
      <c r="I898" s="20" t="str">
        <f aca="true">IF(B898="","",IF(ISNA(MATCH(B898,ListaInsumos,0)),"Insumo no está en Insumos",IF(OR(D898="",E898="",F898=""),"Faltan datos",IF(INDEX(UnidadesBase,MATCH(E898,Unidades,0))&lt;&gt;INDEX(InsBase,MATCH(B898,ListaInsumos,0)),"Unidad incompatible",IF(A898="","Falta fecha","OK")))))</f>
        <v/>
      </c>
      <c r="J898" s="15"/>
    </row>
    <row r="899" customFormat="false" ht="15" hidden="false" customHeight="false" outlineLevel="0" collapsed="false">
      <c r="A899" s="26"/>
      <c r="B899" s="15"/>
      <c r="C899" s="15"/>
      <c r="D899" s="27"/>
      <c r="E899" s="15"/>
      <c r="F899" s="28"/>
      <c r="G899" s="25" t="str">
        <f aca="true">IF(OR(D899="",E899=""),"",IFERROR(D899*INDEX(UnidadesFactor,MATCH(E899,Unidades,0)),""))</f>
        <v/>
      </c>
      <c r="H899" s="17" t="str">
        <f aca="false">IF(I899&lt;&gt;"OK","",IF(G899=0,"",F899/G899))</f>
        <v/>
      </c>
      <c r="I899" s="20" t="str">
        <f aca="true">IF(B899="","",IF(ISNA(MATCH(B899,ListaInsumos,0)),"Insumo no está en Insumos",IF(OR(D899="",E899="",F899=""),"Faltan datos",IF(INDEX(UnidadesBase,MATCH(E899,Unidades,0))&lt;&gt;INDEX(InsBase,MATCH(B899,ListaInsumos,0)),"Unidad incompatible",IF(A899="","Falta fecha","OK")))))</f>
        <v/>
      </c>
      <c r="J899" s="15"/>
    </row>
    <row r="900" customFormat="false" ht="15" hidden="false" customHeight="false" outlineLevel="0" collapsed="false">
      <c r="A900" s="26"/>
      <c r="B900" s="15"/>
      <c r="C900" s="15"/>
      <c r="D900" s="27"/>
      <c r="E900" s="15"/>
      <c r="F900" s="28"/>
      <c r="G900" s="25" t="str">
        <f aca="true">IF(OR(D900="",E900=""),"",IFERROR(D900*INDEX(UnidadesFactor,MATCH(E900,Unidades,0)),""))</f>
        <v/>
      </c>
      <c r="H900" s="17" t="str">
        <f aca="false">IF(I900&lt;&gt;"OK","",IF(G900=0,"",F900/G900))</f>
        <v/>
      </c>
      <c r="I900" s="20" t="str">
        <f aca="true">IF(B900="","",IF(ISNA(MATCH(B900,ListaInsumos,0)),"Insumo no está en Insumos",IF(OR(D900="",E900="",F900=""),"Faltan datos",IF(INDEX(UnidadesBase,MATCH(E900,Unidades,0))&lt;&gt;INDEX(InsBase,MATCH(B900,ListaInsumos,0)),"Unidad incompatible",IF(A900="","Falta fecha","OK")))))</f>
        <v/>
      </c>
      <c r="J900" s="15"/>
    </row>
    <row r="901" customFormat="false" ht="15" hidden="false" customHeight="false" outlineLevel="0" collapsed="false">
      <c r="A901" s="26"/>
      <c r="B901" s="15"/>
      <c r="C901" s="15"/>
      <c r="D901" s="27"/>
      <c r="E901" s="15"/>
      <c r="F901" s="28"/>
      <c r="G901" s="25" t="str">
        <f aca="true">IF(OR(D901="",E901=""),"",IFERROR(D901*INDEX(UnidadesFactor,MATCH(E901,Unidades,0)),""))</f>
        <v/>
      </c>
      <c r="H901" s="17" t="str">
        <f aca="false">IF(I901&lt;&gt;"OK","",IF(G901=0,"",F901/G901))</f>
        <v/>
      </c>
      <c r="I901" s="20" t="str">
        <f aca="true">IF(B901="","",IF(ISNA(MATCH(B901,ListaInsumos,0)),"Insumo no está en Insumos",IF(OR(D901="",E901="",F901=""),"Faltan datos",IF(INDEX(UnidadesBase,MATCH(E901,Unidades,0))&lt;&gt;INDEX(InsBase,MATCH(B901,ListaInsumos,0)),"Unidad incompatible",IF(A901="","Falta fecha","OK")))))</f>
        <v/>
      </c>
      <c r="J901" s="15"/>
    </row>
    <row r="902" customFormat="false" ht="15" hidden="false" customHeight="false" outlineLevel="0" collapsed="false">
      <c r="A902" s="26"/>
      <c r="B902" s="15"/>
      <c r="C902" s="15"/>
      <c r="D902" s="27"/>
      <c r="E902" s="15"/>
      <c r="F902" s="28"/>
      <c r="G902" s="25" t="str">
        <f aca="true">IF(OR(D902="",E902=""),"",IFERROR(D902*INDEX(UnidadesFactor,MATCH(E902,Unidades,0)),""))</f>
        <v/>
      </c>
      <c r="H902" s="17" t="str">
        <f aca="false">IF(I902&lt;&gt;"OK","",IF(G902=0,"",F902/G902))</f>
        <v/>
      </c>
      <c r="I902" s="20" t="str">
        <f aca="true">IF(B902="","",IF(ISNA(MATCH(B902,ListaInsumos,0)),"Insumo no está en Insumos",IF(OR(D902="",E902="",F902=""),"Faltan datos",IF(INDEX(UnidadesBase,MATCH(E902,Unidades,0))&lt;&gt;INDEX(InsBase,MATCH(B902,ListaInsumos,0)),"Unidad incompatible",IF(A902="","Falta fecha","OK")))))</f>
        <v/>
      </c>
      <c r="J902" s="15"/>
    </row>
    <row r="903" customFormat="false" ht="15" hidden="false" customHeight="false" outlineLevel="0" collapsed="false">
      <c r="A903" s="26"/>
      <c r="B903" s="15"/>
      <c r="C903" s="15"/>
      <c r="D903" s="27"/>
      <c r="E903" s="15"/>
      <c r="F903" s="28"/>
      <c r="G903" s="25" t="str">
        <f aca="true">IF(OR(D903="",E903=""),"",IFERROR(D903*INDEX(UnidadesFactor,MATCH(E903,Unidades,0)),""))</f>
        <v/>
      </c>
      <c r="H903" s="17" t="str">
        <f aca="false">IF(I903&lt;&gt;"OK","",IF(G903=0,"",F903/G903))</f>
        <v/>
      </c>
      <c r="I903" s="20" t="str">
        <f aca="true">IF(B903="","",IF(ISNA(MATCH(B903,ListaInsumos,0)),"Insumo no está en Insumos",IF(OR(D903="",E903="",F903=""),"Faltan datos",IF(INDEX(UnidadesBase,MATCH(E903,Unidades,0))&lt;&gt;INDEX(InsBase,MATCH(B903,ListaInsumos,0)),"Unidad incompatible",IF(A903="","Falta fecha","OK")))))</f>
        <v/>
      </c>
      <c r="J903" s="15"/>
    </row>
    <row r="904" customFormat="false" ht="15" hidden="false" customHeight="false" outlineLevel="0" collapsed="false">
      <c r="A904" s="26"/>
      <c r="B904" s="15"/>
      <c r="C904" s="15"/>
      <c r="D904" s="27"/>
      <c r="E904" s="15"/>
      <c r="F904" s="28"/>
      <c r="G904" s="25" t="str">
        <f aca="true">IF(OR(D904="",E904=""),"",IFERROR(D904*INDEX(UnidadesFactor,MATCH(E904,Unidades,0)),""))</f>
        <v/>
      </c>
      <c r="H904" s="17" t="str">
        <f aca="false">IF(I904&lt;&gt;"OK","",IF(G904=0,"",F904/G904))</f>
        <v/>
      </c>
      <c r="I904" s="20" t="str">
        <f aca="true">IF(B904="","",IF(ISNA(MATCH(B904,ListaInsumos,0)),"Insumo no está en Insumos",IF(OR(D904="",E904="",F904=""),"Faltan datos",IF(INDEX(UnidadesBase,MATCH(E904,Unidades,0))&lt;&gt;INDEX(InsBase,MATCH(B904,ListaInsumos,0)),"Unidad incompatible",IF(A904="","Falta fecha","OK")))))</f>
        <v/>
      </c>
      <c r="J904" s="15"/>
    </row>
    <row r="905" customFormat="false" ht="15" hidden="false" customHeight="false" outlineLevel="0" collapsed="false">
      <c r="A905" s="26"/>
      <c r="B905" s="15"/>
      <c r="C905" s="15"/>
      <c r="D905" s="27"/>
      <c r="E905" s="15"/>
      <c r="F905" s="28"/>
      <c r="G905" s="25" t="str">
        <f aca="true">IF(OR(D905="",E905=""),"",IFERROR(D905*INDEX(UnidadesFactor,MATCH(E905,Unidades,0)),""))</f>
        <v/>
      </c>
      <c r="H905" s="17" t="str">
        <f aca="false">IF(I905&lt;&gt;"OK","",IF(G905=0,"",F905/G905))</f>
        <v/>
      </c>
      <c r="I905" s="20" t="str">
        <f aca="true">IF(B905="","",IF(ISNA(MATCH(B905,ListaInsumos,0)),"Insumo no está en Insumos",IF(OR(D905="",E905="",F905=""),"Faltan datos",IF(INDEX(UnidadesBase,MATCH(E905,Unidades,0))&lt;&gt;INDEX(InsBase,MATCH(B905,ListaInsumos,0)),"Unidad incompatible",IF(A905="","Falta fecha","OK")))))</f>
        <v/>
      </c>
      <c r="J905" s="15"/>
    </row>
    <row r="906" customFormat="false" ht="15" hidden="false" customHeight="false" outlineLevel="0" collapsed="false">
      <c r="A906" s="26"/>
      <c r="B906" s="15"/>
      <c r="C906" s="15"/>
      <c r="D906" s="27"/>
      <c r="E906" s="15"/>
      <c r="F906" s="28"/>
      <c r="G906" s="25" t="str">
        <f aca="true">IF(OR(D906="",E906=""),"",IFERROR(D906*INDEX(UnidadesFactor,MATCH(E906,Unidades,0)),""))</f>
        <v/>
      </c>
      <c r="H906" s="17" t="str">
        <f aca="false">IF(I906&lt;&gt;"OK","",IF(G906=0,"",F906/G906))</f>
        <v/>
      </c>
      <c r="I906" s="20" t="str">
        <f aca="true">IF(B906="","",IF(ISNA(MATCH(B906,ListaInsumos,0)),"Insumo no está en Insumos",IF(OR(D906="",E906="",F906=""),"Faltan datos",IF(INDEX(UnidadesBase,MATCH(E906,Unidades,0))&lt;&gt;INDEX(InsBase,MATCH(B906,ListaInsumos,0)),"Unidad incompatible",IF(A906="","Falta fecha","OK")))))</f>
        <v/>
      </c>
      <c r="J906" s="15"/>
    </row>
    <row r="907" customFormat="false" ht="15" hidden="false" customHeight="false" outlineLevel="0" collapsed="false">
      <c r="A907" s="26"/>
      <c r="B907" s="15"/>
      <c r="C907" s="15"/>
      <c r="D907" s="27"/>
      <c r="E907" s="15"/>
      <c r="F907" s="28"/>
      <c r="G907" s="25" t="str">
        <f aca="true">IF(OR(D907="",E907=""),"",IFERROR(D907*INDEX(UnidadesFactor,MATCH(E907,Unidades,0)),""))</f>
        <v/>
      </c>
      <c r="H907" s="17" t="str">
        <f aca="false">IF(I907&lt;&gt;"OK","",IF(G907=0,"",F907/G907))</f>
        <v/>
      </c>
      <c r="I907" s="20" t="str">
        <f aca="true">IF(B907="","",IF(ISNA(MATCH(B907,ListaInsumos,0)),"Insumo no está en Insumos",IF(OR(D907="",E907="",F907=""),"Faltan datos",IF(INDEX(UnidadesBase,MATCH(E907,Unidades,0))&lt;&gt;INDEX(InsBase,MATCH(B907,ListaInsumos,0)),"Unidad incompatible",IF(A907="","Falta fecha","OK")))))</f>
        <v/>
      </c>
      <c r="J907" s="15"/>
    </row>
    <row r="908" customFormat="false" ht="15" hidden="false" customHeight="false" outlineLevel="0" collapsed="false">
      <c r="A908" s="26"/>
      <c r="B908" s="15"/>
      <c r="C908" s="15"/>
      <c r="D908" s="27"/>
      <c r="E908" s="15"/>
      <c r="F908" s="28"/>
      <c r="G908" s="25" t="str">
        <f aca="true">IF(OR(D908="",E908=""),"",IFERROR(D908*INDEX(UnidadesFactor,MATCH(E908,Unidades,0)),""))</f>
        <v/>
      </c>
      <c r="H908" s="17" t="str">
        <f aca="false">IF(I908&lt;&gt;"OK","",IF(G908=0,"",F908/G908))</f>
        <v/>
      </c>
      <c r="I908" s="20" t="str">
        <f aca="true">IF(B908="","",IF(ISNA(MATCH(B908,ListaInsumos,0)),"Insumo no está en Insumos",IF(OR(D908="",E908="",F908=""),"Faltan datos",IF(INDEX(UnidadesBase,MATCH(E908,Unidades,0))&lt;&gt;INDEX(InsBase,MATCH(B908,ListaInsumos,0)),"Unidad incompatible",IF(A908="","Falta fecha","OK")))))</f>
        <v/>
      </c>
      <c r="J908" s="15"/>
    </row>
    <row r="909" customFormat="false" ht="15" hidden="false" customHeight="false" outlineLevel="0" collapsed="false">
      <c r="A909" s="26"/>
      <c r="B909" s="15"/>
      <c r="C909" s="15"/>
      <c r="D909" s="27"/>
      <c r="E909" s="15"/>
      <c r="F909" s="28"/>
      <c r="G909" s="25" t="str">
        <f aca="true">IF(OR(D909="",E909=""),"",IFERROR(D909*INDEX(UnidadesFactor,MATCH(E909,Unidades,0)),""))</f>
        <v/>
      </c>
      <c r="H909" s="17" t="str">
        <f aca="false">IF(I909&lt;&gt;"OK","",IF(G909=0,"",F909/G909))</f>
        <v/>
      </c>
      <c r="I909" s="20" t="str">
        <f aca="true">IF(B909="","",IF(ISNA(MATCH(B909,ListaInsumos,0)),"Insumo no está en Insumos",IF(OR(D909="",E909="",F909=""),"Faltan datos",IF(INDEX(UnidadesBase,MATCH(E909,Unidades,0))&lt;&gt;INDEX(InsBase,MATCH(B909,ListaInsumos,0)),"Unidad incompatible",IF(A909="","Falta fecha","OK")))))</f>
        <v/>
      </c>
      <c r="J909" s="15"/>
    </row>
    <row r="910" customFormat="false" ht="15" hidden="false" customHeight="false" outlineLevel="0" collapsed="false">
      <c r="A910" s="26"/>
      <c r="B910" s="15"/>
      <c r="C910" s="15"/>
      <c r="D910" s="27"/>
      <c r="E910" s="15"/>
      <c r="F910" s="28"/>
      <c r="G910" s="25" t="str">
        <f aca="true">IF(OR(D910="",E910=""),"",IFERROR(D910*INDEX(UnidadesFactor,MATCH(E910,Unidades,0)),""))</f>
        <v/>
      </c>
      <c r="H910" s="17" t="str">
        <f aca="false">IF(I910&lt;&gt;"OK","",IF(G910=0,"",F910/G910))</f>
        <v/>
      </c>
      <c r="I910" s="20" t="str">
        <f aca="true">IF(B910="","",IF(ISNA(MATCH(B910,ListaInsumos,0)),"Insumo no está en Insumos",IF(OR(D910="",E910="",F910=""),"Faltan datos",IF(INDEX(UnidadesBase,MATCH(E910,Unidades,0))&lt;&gt;INDEX(InsBase,MATCH(B910,ListaInsumos,0)),"Unidad incompatible",IF(A910="","Falta fecha","OK")))))</f>
        <v/>
      </c>
      <c r="J910" s="15"/>
    </row>
    <row r="911" customFormat="false" ht="15" hidden="false" customHeight="false" outlineLevel="0" collapsed="false">
      <c r="A911" s="26"/>
      <c r="B911" s="15"/>
      <c r="C911" s="15"/>
      <c r="D911" s="27"/>
      <c r="E911" s="15"/>
      <c r="F911" s="28"/>
      <c r="G911" s="25" t="str">
        <f aca="true">IF(OR(D911="",E911=""),"",IFERROR(D911*INDEX(UnidadesFactor,MATCH(E911,Unidades,0)),""))</f>
        <v/>
      </c>
      <c r="H911" s="17" t="str">
        <f aca="false">IF(I911&lt;&gt;"OK","",IF(G911=0,"",F911/G911))</f>
        <v/>
      </c>
      <c r="I911" s="20" t="str">
        <f aca="true">IF(B911="","",IF(ISNA(MATCH(B911,ListaInsumos,0)),"Insumo no está en Insumos",IF(OR(D911="",E911="",F911=""),"Faltan datos",IF(INDEX(UnidadesBase,MATCH(E911,Unidades,0))&lt;&gt;INDEX(InsBase,MATCH(B911,ListaInsumos,0)),"Unidad incompatible",IF(A911="","Falta fecha","OK")))))</f>
        <v/>
      </c>
      <c r="J911" s="15"/>
    </row>
    <row r="912" customFormat="false" ht="15" hidden="false" customHeight="false" outlineLevel="0" collapsed="false">
      <c r="A912" s="26"/>
      <c r="B912" s="15"/>
      <c r="C912" s="15"/>
      <c r="D912" s="27"/>
      <c r="E912" s="15"/>
      <c r="F912" s="28"/>
      <c r="G912" s="25" t="str">
        <f aca="true">IF(OR(D912="",E912=""),"",IFERROR(D912*INDEX(UnidadesFactor,MATCH(E912,Unidades,0)),""))</f>
        <v/>
      </c>
      <c r="H912" s="17" t="str">
        <f aca="false">IF(I912&lt;&gt;"OK","",IF(G912=0,"",F912/G912))</f>
        <v/>
      </c>
      <c r="I912" s="20" t="str">
        <f aca="true">IF(B912="","",IF(ISNA(MATCH(B912,ListaInsumos,0)),"Insumo no está en Insumos",IF(OR(D912="",E912="",F912=""),"Faltan datos",IF(INDEX(UnidadesBase,MATCH(E912,Unidades,0))&lt;&gt;INDEX(InsBase,MATCH(B912,ListaInsumos,0)),"Unidad incompatible",IF(A912="","Falta fecha","OK")))))</f>
        <v/>
      </c>
      <c r="J912" s="15"/>
    </row>
    <row r="913" customFormat="false" ht="15" hidden="false" customHeight="false" outlineLevel="0" collapsed="false">
      <c r="A913" s="26"/>
      <c r="B913" s="15"/>
      <c r="C913" s="15"/>
      <c r="D913" s="27"/>
      <c r="E913" s="15"/>
      <c r="F913" s="28"/>
      <c r="G913" s="25" t="str">
        <f aca="true">IF(OR(D913="",E913=""),"",IFERROR(D913*INDEX(UnidadesFactor,MATCH(E913,Unidades,0)),""))</f>
        <v/>
      </c>
      <c r="H913" s="17" t="str">
        <f aca="false">IF(I913&lt;&gt;"OK","",IF(G913=0,"",F913/G913))</f>
        <v/>
      </c>
      <c r="I913" s="20" t="str">
        <f aca="true">IF(B913="","",IF(ISNA(MATCH(B913,ListaInsumos,0)),"Insumo no está en Insumos",IF(OR(D913="",E913="",F913=""),"Faltan datos",IF(INDEX(UnidadesBase,MATCH(E913,Unidades,0))&lt;&gt;INDEX(InsBase,MATCH(B913,ListaInsumos,0)),"Unidad incompatible",IF(A913="","Falta fecha","OK")))))</f>
        <v/>
      </c>
      <c r="J913" s="15"/>
    </row>
    <row r="914" customFormat="false" ht="15" hidden="false" customHeight="false" outlineLevel="0" collapsed="false">
      <c r="A914" s="26"/>
      <c r="B914" s="15"/>
      <c r="C914" s="15"/>
      <c r="D914" s="27"/>
      <c r="E914" s="15"/>
      <c r="F914" s="28"/>
      <c r="G914" s="25" t="str">
        <f aca="true">IF(OR(D914="",E914=""),"",IFERROR(D914*INDEX(UnidadesFactor,MATCH(E914,Unidades,0)),""))</f>
        <v/>
      </c>
      <c r="H914" s="17" t="str">
        <f aca="false">IF(I914&lt;&gt;"OK","",IF(G914=0,"",F914/G914))</f>
        <v/>
      </c>
      <c r="I914" s="20" t="str">
        <f aca="true">IF(B914="","",IF(ISNA(MATCH(B914,ListaInsumos,0)),"Insumo no está en Insumos",IF(OR(D914="",E914="",F914=""),"Faltan datos",IF(INDEX(UnidadesBase,MATCH(E914,Unidades,0))&lt;&gt;INDEX(InsBase,MATCH(B914,ListaInsumos,0)),"Unidad incompatible",IF(A914="","Falta fecha","OK")))))</f>
        <v/>
      </c>
      <c r="J914" s="15"/>
    </row>
    <row r="915" customFormat="false" ht="15" hidden="false" customHeight="false" outlineLevel="0" collapsed="false">
      <c r="A915" s="26"/>
      <c r="B915" s="15"/>
      <c r="C915" s="15"/>
      <c r="D915" s="27"/>
      <c r="E915" s="15"/>
      <c r="F915" s="28"/>
      <c r="G915" s="25" t="str">
        <f aca="true">IF(OR(D915="",E915=""),"",IFERROR(D915*INDEX(UnidadesFactor,MATCH(E915,Unidades,0)),""))</f>
        <v/>
      </c>
      <c r="H915" s="17" t="str">
        <f aca="false">IF(I915&lt;&gt;"OK","",IF(G915=0,"",F915/G915))</f>
        <v/>
      </c>
      <c r="I915" s="20" t="str">
        <f aca="true">IF(B915="","",IF(ISNA(MATCH(B915,ListaInsumos,0)),"Insumo no está en Insumos",IF(OR(D915="",E915="",F915=""),"Faltan datos",IF(INDEX(UnidadesBase,MATCH(E915,Unidades,0))&lt;&gt;INDEX(InsBase,MATCH(B915,ListaInsumos,0)),"Unidad incompatible",IF(A915="","Falta fecha","OK")))))</f>
        <v/>
      </c>
      <c r="J915" s="15"/>
    </row>
    <row r="916" customFormat="false" ht="15" hidden="false" customHeight="false" outlineLevel="0" collapsed="false">
      <c r="A916" s="26"/>
      <c r="B916" s="15"/>
      <c r="C916" s="15"/>
      <c r="D916" s="27"/>
      <c r="E916" s="15"/>
      <c r="F916" s="28"/>
      <c r="G916" s="25" t="str">
        <f aca="true">IF(OR(D916="",E916=""),"",IFERROR(D916*INDEX(UnidadesFactor,MATCH(E916,Unidades,0)),""))</f>
        <v/>
      </c>
      <c r="H916" s="17" t="str">
        <f aca="false">IF(I916&lt;&gt;"OK","",IF(G916=0,"",F916/G916))</f>
        <v/>
      </c>
      <c r="I916" s="20" t="str">
        <f aca="true">IF(B916="","",IF(ISNA(MATCH(B916,ListaInsumos,0)),"Insumo no está en Insumos",IF(OR(D916="",E916="",F916=""),"Faltan datos",IF(INDEX(UnidadesBase,MATCH(E916,Unidades,0))&lt;&gt;INDEX(InsBase,MATCH(B916,ListaInsumos,0)),"Unidad incompatible",IF(A916="","Falta fecha","OK")))))</f>
        <v/>
      </c>
      <c r="J916" s="15"/>
    </row>
    <row r="917" customFormat="false" ht="15" hidden="false" customHeight="false" outlineLevel="0" collapsed="false">
      <c r="A917" s="26"/>
      <c r="B917" s="15"/>
      <c r="C917" s="15"/>
      <c r="D917" s="27"/>
      <c r="E917" s="15"/>
      <c r="F917" s="28"/>
      <c r="G917" s="25" t="str">
        <f aca="true">IF(OR(D917="",E917=""),"",IFERROR(D917*INDEX(UnidadesFactor,MATCH(E917,Unidades,0)),""))</f>
        <v/>
      </c>
      <c r="H917" s="17" t="str">
        <f aca="false">IF(I917&lt;&gt;"OK","",IF(G917=0,"",F917/G917))</f>
        <v/>
      </c>
      <c r="I917" s="20" t="str">
        <f aca="true">IF(B917="","",IF(ISNA(MATCH(B917,ListaInsumos,0)),"Insumo no está en Insumos",IF(OR(D917="",E917="",F917=""),"Faltan datos",IF(INDEX(UnidadesBase,MATCH(E917,Unidades,0))&lt;&gt;INDEX(InsBase,MATCH(B917,ListaInsumos,0)),"Unidad incompatible",IF(A917="","Falta fecha","OK")))))</f>
        <v/>
      </c>
      <c r="J917" s="15"/>
    </row>
    <row r="918" customFormat="false" ht="15" hidden="false" customHeight="false" outlineLevel="0" collapsed="false">
      <c r="A918" s="26"/>
      <c r="B918" s="15"/>
      <c r="C918" s="15"/>
      <c r="D918" s="27"/>
      <c r="E918" s="15"/>
      <c r="F918" s="28"/>
      <c r="G918" s="25" t="str">
        <f aca="true">IF(OR(D918="",E918=""),"",IFERROR(D918*INDEX(UnidadesFactor,MATCH(E918,Unidades,0)),""))</f>
        <v/>
      </c>
      <c r="H918" s="17" t="str">
        <f aca="false">IF(I918&lt;&gt;"OK","",IF(G918=0,"",F918/G918))</f>
        <v/>
      </c>
      <c r="I918" s="20" t="str">
        <f aca="true">IF(B918="","",IF(ISNA(MATCH(B918,ListaInsumos,0)),"Insumo no está en Insumos",IF(OR(D918="",E918="",F918=""),"Faltan datos",IF(INDEX(UnidadesBase,MATCH(E918,Unidades,0))&lt;&gt;INDEX(InsBase,MATCH(B918,ListaInsumos,0)),"Unidad incompatible",IF(A918="","Falta fecha","OK")))))</f>
        <v/>
      </c>
      <c r="J918" s="15"/>
    </row>
    <row r="919" customFormat="false" ht="15" hidden="false" customHeight="false" outlineLevel="0" collapsed="false">
      <c r="A919" s="26"/>
      <c r="B919" s="15"/>
      <c r="C919" s="15"/>
      <c r="D919" s="27"/>
      <c r="E919" s="15"/>
      <c r="F919" s="28"/>
      <c r="G919" s="25" t="str">
        <f aca="true">IF(OR(D919="",E919=""),"",IFERROR(D919*INDEX(UnidadesFactor,MATCH(E919,Unidades,0)),""))</f>
        <v/>
      </c>
      <c r="H919" s="17" t="str">
        <f aca="false">IF(I919&lt;&gt;"OK","",IF(G919=0,"",F919/G919))</f>
        <v/>
      </c>
      <c r="I919" s="20" t="str">
        <f aca="true">IF(B919="","",IF(ISNA(MATCH(B919,ListaInsumos,0)),"Insumo no está en Insumos",IF(OR(D919="",E919="",F919=""),"Faltan datos",IF(INDEX(UnidadesBase,MATCH(E919,Unidades,0))&lt;&gt;INDEX(InsBase,MATCH(B919,ListaInsumos,0)),"Unidad incompatible",IF(A919="","Falta fecha","OK")))))</f>
        <v/>
      </c>
      <c r="J919" s="15"/>
    </row>
    <row r="920" customFormat="false" ht="15" hidden="false" customHeight="false" outlineLevel="0" collapsed="false">
      <c r="A920" s="26"/>
      <c r="B920" s="15"/>
      <c r="C920" s="15"/>
      <c r="D920" s="27"/>
      <c r="E920" s="15"/>
      <c r="F920" s="28"/>
      <c r="G920" s="25" t="str">
        <f aca="true">IF(OR(D920="",E920=""),"",IFERROR(D920*INDEX(UnidadesFactor,MATCH(E920,Unidades,0)),""))</f>
        <v/>
      </c>
      <c r="H920" s="17" t="str">
        <f aca="false">IF(I920&lt;&gt;"OK","",IF(G920=0,"",F920/G920))</f>
        <v/>
      </c>
      <c r="I920" s="20" t="str">
        <f aca="true">IF(B920="","",IF(ISNA(MATCH(B920,ListaInsumos,0)),"Insumo no está en Insumos",IF(OR(D920="",E920="",F920=""),"Faltan datos",IF(INDEX(UnidadesBase,MATCH(E920,Unidades,0))&lt;&gt;INDEX(InsBase,MATCH(B920,ListaInsumos,0)),"Unidad incompatible",IF(A920="","Falta fecha","OK")))))</f>
        <v/>
      </c>
      <c r="J920" s="15"/>
    </row>
    <row r="921" customFormat="false" ht="15" hidden="false" customHeight="false" outlineLevel="0" collapsed="false">
      <c r="A921" s="26"/>
      <c r="B921" s="15"/>
      <c r="C921" s="15"/>
      <c r="D921" s="27"/>
      <c r="E921" s="15"/>
      <c r="F921" s="28"/>
      <c r="G921" s="25" t="str">
        <f aca="true">IF(OR(D921="",E921=""),"",IFERROR(D921*INDEX(UnidadesFactor,MATCH(E921,Unidades,0)),""))</f>
        <v/>
      </c>
      <c r="H921" s="17" t="str">
        <f aca="false">IF(I921&lt;&gt;"OK","",IF(G921=0,"",F921/G921))</f>
        <v/>
      </c>
      <c r="I921" s="20" t="str">
        <f aca="true">IF(B921="","",IF(ISNA(MATCH(B921,ListaInsumos,0)),"Insumo no está en Insumos",IF(OR(D921="",E921="",F921=""),"Faltan datos",IF(INDEX(UnidadesBase,MATCH(E921,Unidades,0))&lt;&gt;INDEX(InsBase,MATCH(B921,ListaInsumos,0)),"Unidad incompatible",IF(A921="","Falta fecha","OK")))))</f>
        <v/>
      </c>
      <c r="J921" s="15"/>
    </row>
    <row r="922" customFormat="false" ht="15" hidden="false" customHeight="false" outlineLevel="0" collapsed="false">
      <c r="A922" s="26"/>
      <c r="B922" s="15"/>
      <c r="C922" s="15"/>
      <c r="D922" s="27"/>
      <c r="E922" s="15"/>
      <c r="F922" s="28"/>
      <c r="G922" s="25" t="str">
        <f aca="true">IF(OR(D922="",E922=""),"",IFERROR(D922*INDEX(UnidadesFactor,MATCH(E922,Unidades,0)),""))</f>
        <v/>
      </c>
      <c r="H922" s="17" t="str">
        <f aca="false">IF(I922&lt;&gt;"OK","",IF(G922=0,"",F922/G922))</f>
        <v/>
      </c>
      <c r="I922" s="20" t="str">
        <f aca="true">IF(B922="","",IF(ISNA(MATCH(B922,ListaInsumos,0)),"Insumo no está en Insumos",IF(OR(D922="",E922="",F922=""),"Faltan datos",IF(INDEX(UnidadesBase,MATCH(E922,Unidades,0))&lt;&gt;INDEX(InsBase,MATCH(B922,ListaInsumos,0)),"Unidad incompatible",IF(A922="","Falta fecha","OK")))))</f>
        <v/>
      </c>
      <c r="J922" s="15"/>
    </row>
    <row r="923" customFormat="false" ht="15" hidden="false" customHeight="false" outlineLevel="0" collapsed="false">
      <c r="A923" s="26"/>
      <c r="B923" s="15"/>
      <c r="C923" s="15"/>
      <c r="D923" s="27"/>
      <c r="E923" s="15"/>
      <c r="F923" s="28"/>
      <c r="G923" s="25" t="str">
        <f aca="true">IF(OR(D923="",E923=""),"",IFERROR(D923*INDEX(UnidadesFactor,MATCH(E923,Unidades,0)),""))</f>
        <v/>
      </c>
      <c r="H923" s="17" t="str">
        <f aca="false">IF(I923&lt;&gt;"OK","",IF(G923=0,"",F923/G923))</f>
        <v/>
      </c>
      <c r="I923" s="20" t="str">
        <f aca="true">IF(B923="","",IF(ISNA(MATCH(B923,ListaInsumos,0)),"Insumo no está en Insumos",IF(OR(D923="",E923="",F923=""),"Faltan datos",IF(INDEX(UnidadesBase,MATCH(E923,Unidades,0))&lt;&gt;INDEX(InsBase,MATCH(B923,ListaInsumos,0)),"Unidad incompatible",IF(A923="","Falta fecha","OK")))))</f>
        <v/>
      </c>
      <c r="J923" s="15"/>
    </row>
    <row r="924" customFormat="false" ht="15" hidden="false" customHeight="false" outlineLevel="0" collapsed="false">
      <c r="A924" s="26"/>
      <c r="B924" s="15"/>
      <c r="C924" s="15"/>
      <c r="D924" s="27"/>
      <c r="E924" s="15"/>
      <c r="F924" s="28"/>
      <c r="G924" s="25" t="str">
        <f aca="true">IF(OR(D924="",E924=""),"",IFERROR(D924*INDEX(UnidadesFactor,MATCH(E924,Unidades,0)),""))</f>
        <v/>
      </c>
      <c r="H924" s="17" t="str">
        <f aca="false">IF(I924&lt;&gt;"OK","",IF(G924=0,"",F924/G924))</f>
        <v/>
      </c>
      <c r="I924" s="20" t="str">
        <f aca="true">IF(B924="","",IF(ISNA(MATCH(B924,ListaInsumos,0)),"Insumo no está en Insumos",IF(OR(D924="",E924="",F924=""),"Faltan datos",IF(INDEX(UnidadesBase,MATCH(E924,Unidades,0))&lt;&gt;INDEX(InsBase,MATCH(B924,ListaInsumos,0)),"Unidad incompatible",IF(A924="","Falta fecha","OK")))))</f>
        <v/>
      </c>
      <c r="J924" s="15"/>
    </row>
    <row r="925" customFormat="false" ht="15" hidden="false" customHeight="false" outlineLevel="0" collapsed="false">
      <c r="A925" s="26"/>
      <c r="B925" s="15"/>
      <c r="C925" s="15"/>
      <c r="D925" s="27"/>
      <c r="E925" s="15"/>
      <c r="F925" s="28"/>
      <c r="G925" s="25" t="str">
        <f aca="true">IF(OR(D925="",E925=""),"",IFERROR(D925*INDEX(UnidadesFactor,MATCH(E925,Unidades,0)),""))</f>
        <v/>
      </c>
      <c r="H925" s="17" t="str">
        <f aca="false">IF(I925&lt;&gt;"OK","",IF(G925=0,"",F925/G925))</f>
        <v/>
      </c>
      <c r="I925" s="20" t="str">
        <f aca="true">IF(B925="","",IF(ISNA(MATCH(B925,ListaInsumos,0)),"Insumo no está en Insumos",IF(OR(D925="",E925="",F925=""),"Faltan datos",IF(INDEX(UnidadesBase,MATCH(E925,Unidades,0))&lt;&gt;INDEX(InsBase,MATCH(B925,ListaInsumos,0)),"Unidad incompatible",IF(A925="","Falta fecha","OK")))))</f>
        <v/>
      </c>
      <c r="J925" s="15"/>
    </row>
    <row r="926" customFormat="false" ht="15" hidden="false" customHeight="false" outlineLevel="0" collapsed="false">
      <c r="A926" s="26"/>
      <c r="B926" s="15"/>
      <c r="C926" s="15"/>
      <c r="D926" s="27"/>
      <c r="E926" s="15"/>
      <c r="F926" s="28"/>
      <c r="G926" s="25" t="str">
        <f aca="true">IF(OR(D926="",E926=""),"",IFERROR(D926*INDEX(UnidadesFactor,MATCH(E926,Unidades,0)),""))</f>
        <v/>
      </c>
      <c r="H926" s="17" t="str">
        <f aca="false">IF(I926&lt;&gt;"OK","",IF(G926=0,"",F926/G926))</f>
        <v/>
      </c>
      <c r="I926" s="20" t="str">
        <f aca="true">IF(B926="","",IF(ISNA(MATCH(B926,ListaInsumos,0)),"Insumo no está en Insumos",IF(OR(D926="",E926="",F926=""),"Faltan datos",IF(INDEX(UnidadesBase,MATCH(E926,Unidades,0))&lt;&gt;INDEX(InsBase,MATCH(B926,ListaInsumos,0)),"Unidad incompatible",IF(A926="","Falta fecha","OK")))))</f>
        <v/>
      </c>
      <c r="J926" s="15"/>
    </row>
    <row r="927" customFormat="false" ht="15" hidden="false" customHeight="false" outlineLevel="0" collapsed="false">
      <c r="A927" s="26"/>
      <c r="B927" s="15"/>
      <c r="C927" s="15"/>
      <c r="D927" s="27"/>
      <c r="E927" s="15"/>
      <c r="F927" s="28"/>
      <c r="G927" s="25" t="str">
        <f aca="true">IF(OR(D927="",E927=""),"",IFERROR(D927*INDEX(UnidadesFactor,MATCH(E927,Unidades,0)),""))</f>
        <v/>
      </c>
      <c r="H927" s="17" t="str">
        <f aca="false">IF(I927&lt;&gt;"OK","",IF(G927=0,"",F927/G927))</f>
        <v/>
      </c>
      <c r="I927" s="20" t="str">
        <f aca="true">IF(B927="","",IF(ISNA(MATCH(B927,ListaInsumos,0)),"Insumo no está en Insumos",IF(OR(D927="",E927="",F927=""),"Faltan datos",IF(INDEX(UnidadesBase,MATCH(E927,Unidades,0))&lt;&gt;INDEX(InsBase,MATCH(B927,ListaInsumos,0)),"Unidad incompatible",IF(A927="","Falta fecha","OK")))))</f>
        <v/>
      </c>
      <c r="J927" s="15"/>
    </row>
    <row r="928" customFormat="false" ht="15" hidden="false" customHeight="false" outlineLevel="0" collapsed="false">
      <c r="A928" s="26"/>
      <c r="B928" s="15"/>
      <c r="C928" s="15"/>
      <c r="D928" s="27"/>
      <c r="E928" s="15"/>
      <c r="F928" s="28"/>
      <c r="G928" s="25" t="str">
        <f aca="true">IF(OR(D928="",E928=""),"",IFERROR(D928*INDEX(UnidadesFactor,MATCH(E928,Unidades,0)),""))</f>
        <v/>
      </c>
      <c r="H928" s="17" t="str">
        <f aca="false">IF(I928&lt;&gt;"OK","",IF(G928=0,"",F928/G928))</f>
        <v/>
      </c>
      <c r="I928" s="20" t="str">
        <f aca="true">IF(B928="","",IF(ISNA(MATCH(B928,ListaInsumos,0)),"Insumo no está en Insumos",IF(OR(D928="",E928="",F928=""),"Faltan datos",IF(INDEX(UnidadesBase,MATCH(E928,Unidades,0))&lt;&gt;INDEX(InsBase,MATCH(B928,ListaInsumos,0)),"Unidad incompatible",IF(A928="","Falta fecha","OK")))))</f>
        <v/>
      </c>
      <c r="J928" s="15"/>
    </row>
    <row r="929" customFormat="false" ht="15" hidden="false" customHeight="false" outlineLevel="0" collapsed="false">
      <c r="A929" s="26"/>
      <c r="B929" s="15"/>
      <c r="C929" s="15"/>
      <c r="D929" s="27"/>
      <c r="E929" s="15"/>
      <c r="F929" s="28"/>
      <c r="G929" s="25" t="str">
        <f aca="true">IF(OR(D929="",E929=""),"",IFERROR(D929*INDEX(UnidadesFactor,MATCH(E929,Unidades,0)),""))</f>
        <v/>
      </c>
      <c r="H929" s="17" t="str">
        <f aca="false">IF(I929&lt;&gt;"OK","",IF(G929=0,"",F929/G929))</f>
        <v/>
      </c>
      <c r="I929" s="20" t="str">
        <f aca="true">IF(B929="","",IF(ISNA(MATCH(B929,ListaInsumos,0)),"Insumo no está en Insumos",IF(OR(D929="",E929="",F929=""),"Faltan datos",IF(INDEX(UnidadesBase,MATCH(E929,Unidades,0))&lt;&gt;INDEX(InsBase,MATCH(B929,ListaInsumos,0)),"Unidad incompatible",IF(A929="","Falta fecha","OK")))))</f>
        <v/>
      </c>
      <c r="J929" s="15"/>
    </row>
    <row r="930" customFormat="false" ht="15" hidden="false" customHeight="false" outlineLevel="0" collapsed="false">
      <c r="A930" s="26"/>
      <c r="B930" s="15"/>
      <c r="C930" s="15"/>
      <c r="D930" s="27"/>
      <c r="E930" s="15"/>
      <c r="F930" s="28"/>
      <c r="G930" s="25" t="str">
        <f aca="true">IF(OR(D930="",E930=""),"",IFERROR(D930*INDEX(UnidadesFactor,MATCH(E930,Unidades,0)),""))</f>
        <v/>
      </c>
      <c r="H930" s="17" t="str">
        <f aca="false">IF(I930&lt;&gt;"OK","",IF(G930=0,"",F930/G930))</f>
        <v/>
      </c>
      <c r="I930" s="20" t="str">
        <f aca="true">IF(B930="","",IF(ISNA(MATCH(B930,ListaInsumos,0)),"Insumo no está en Insumos",IF(OR(D930="",E930="",F930=""),"Faltan datos",IF(INDEX(UnidadesBase,MATCH(E930,Unidades,0))&lt;&gt;INDEX(InsBase,MATCH(B930,ListaInsumos,0)),"Unidad incompatible",IF(A930="","Falta fecha","OK")))))</f>
        <v/>
      </c>
      <c r="J930" s="15"/>
    </row>
    <row r="931" customFormat="false" ht="15" hidden="false" customHeight="false" outlineLevel="0" collapsed="false">
      <c r="A931" s="26"/>
      <c r="B931" s="15"/>
      <c r="C931" s="15"/>
      <c r="D931" s="27"/>
      <c r="E931" s="15"/>
      <c r="F931" s="28"/>
      <c r="G931" s="25" t="str">
        <f aca="true">IF(OR(D931="",E931=""),"",IFERROR(D931*INDEX(UnidadesFactor,MATCH(E931,Unidades,0)),""))</f>
        <v/>
      </c>
      <c r="H931" s="17" t="str">
        <f aca="false">IF(I931&lt;&gt;"OK","",IF(G931=0,"",F931/G931))</f>
        <v/>
      </c>
      <c r="I931" s="20" t="str">
        <f aca="true">IF(B931="","",IF(ISNA(MATCH(B931,ListaInsumos,0)),"Insumo no está en Insumos",IF(OR(D931="",E931="",F931=""),"Faltan datos",IF(INDEX(UnidadesBase,MATCH(E931,Unidades,0))&lt;&gt;INDEX(InsBase,MATCH(B931,ListaInsumos,0)),"Unidad incompatible",IF(A931="","Falta fecha","OK")))))</f>
        <v/>
      </c>
      <c r="J931" s="15"/>
    </row>
    <row r="932" customFormat="false" ht="15" hidden="false" customHeight="false" outlineLevel="0" collapsed="false">
      <c r="A932" s="26"/>
      <c r="B932" s="15"/>
      <c r="C932" s="15"/>
      <c r="D932" s="27"/>
      <c r="E932" s="15"/>
      <c r="F932" s="28"/>
      <c r="G932" s="25" t="str">
        <f aca="true">IF(OR(D932="",E932=""),"",IFERROR(D932*INDEX(UnidadesFactor,MATCH(E932,Unidades,0)),""))</f>
        <v/>
      </c>
      <c r="H932" s="17" t="str">
        <f aca="false">IF(I932&lt;&gt;"OK","",IF(G932=0,"",F932/G932))</f>
        <v/>
      </c>
      <c r="I932" s="20" t="str">
        <f aca="true">IF(B932="","",IF(ISNA(MATCH(B932,ListaInsumos,0)),"Insumo no está en Insumos",IF(OR(D932="",E932="",F932=""),"Faltan datos",IF(INDEX(UnidadesBase,MATCH(E932,Unidades,0))&lt;&gt;INDEX(InsBase,MATCH(B932,ListaInsumos,0)),"Unidad incompatible",IF(A932="","Falta fecha","OK")))))</f>
        <v/>
      </c>
      <c r="J932" s="15"/>
    </row>
    <row r="933" customFormat="false" ht="15" hidden="false" customHeight="false" outlineLevel="0" collapsed="false">
      <c r="A933" s="26"/>
      <c r="B933" s="15"/>
      <c r="C933" s="15"/>
      <c r="D933" s="27"/>
      <c r="E933" s="15"/>
      <c r="F933" s="28"/>
      <c r="G933" s="25" t="str">
        <f aca="true">IF(OR(D933="",E933=""),"",IFERROR(D933*INDEX(UnidadesFactor,MATCH(E933,Unidades,0)),""))</f>
        <v/>
      </c>
      <c r="H933" s="17" t="str">
        <f aca="false">IF(I933&lt;&gt;"OK","",IF(G933=0,"",F933/G933))</f>
        <v/>
      </c>
      <c r="I933" s="20" t="str">
        <f aca="true">IF(B933="","",IF(ISNA(MATCH(B933,ListaInsumos,0)),"Insumo no está en Insumos",IF(OR(D933="",E933="",F933=""),"Faltan datos",IF(INDEX(UnidadesBase,MATCH(E933,Unidades,0))&lt;&gt;INDEX(InsBase,MATCH(B933,ListaInsumos,0)),"Unidad incompatible",IF(A933="","Falta fecha","OK")))))</f>
        <v/>
      </c>
      <c r="J933" s="15"/>
    </row>
    <row r="934" customFormat="false" ht="15" hidden="false" customHeight="false" outlineLevel="0" collapsed="false">
      <c r="A934" s="26"/>
      <c r="B934" s="15"/>
      <c r="C934" s="15"/>
      <c r="D934" s="27"/>
      <c r="E934" s="15"/>
      <c r="F934" s="28"/>
      <c r="G934" s="25" t="str">
        <f aca="true">IF(OR(D934="",E934=""),"",IFERROR(D934*INDEX(UnidadesFactor,MATCH(E934,Unidades,0)),""))</f>
        <v/>
      </c>
      <c r="H934" s="17" t="str">
        <f aca="false">IF(I934&lt;&gt;"OK","",IF(G934=0,"",F934/G934))</f>
        <v/>
      </c>
      <c r="I934" s="20" t="str">
        <f aca="true">IF(B934="","",IF(ISNA(MATCH(B934,ListaInsumos,0)),"Insumo no está en Insumos",IF(OR(D934="",E934="",F934=""),"Faltan datos",IF(INDEX(UnidadesBase,MATCH(E934,Unidades,0))&lt;&gt;INDEX(InsBase,MATCH(B934,ListaInsumos,0)),"Unidad incompatible",IF(A934="","Falta fecha","OK")))))</f>
        <v/>
      </c>
      <c r="J934" s="15"/>
    </row>
    <row r="935" customFormat="false" ht="15" hidden="false" customHeight="false" outlineLevel="0" collapsed="false">
      <c r="A935" s="26"/>
      <c r="B935" s="15"/>
      <c r="C935" s="15"/>
      <c r="D935" s="27"/>
      <c r="E935" s="15"/>
      <c r="F935" s="28"/>
      <c r="G935" s="25" t="str">
        <f aca="true">IF(OR(D935="",E935=""),"",IFERROR(D935*INDEX(UnidadesFactor,MATCH(E935,Unidades,0)),""))</f>
        <v/>
      </c>
      <c r="H935" s="17" t="str">
        <f aca="false">IF(I935&lt;&gt;"OK","",IF(G935=0,"",F935/G935))</f>
        <v/>
      </c>
      <c r="I935" s="20" t="str">
        <f aca="true">IF(B935="","",IF(ISNA(MATCH(B935,ListaInsumos,0)),"Insumo no está en Insumos",IF(OR(D935="",E935="",F935=""),"Faltan datos",IF(INDEX(UnidadesBase,MATCH(E935,Unidades,0))&lt;&gt;INDEX(InsBase,MATCH(B935,ListaInsumos,0)),"Unidad incompatible",IF(A935="","Falta fecha","OK")))))</f>
        <v/>
      </c>
      <c r="J935" s="15"/>
    </row>
    <row r="936" customFormat="false" ht="15" hidden="false" customHeight="false" outlineLevel="0" collapsed="false">
      <c r="A936" s="26"/>
      <c r="B936" s="15"/>
      <c r="C936" s="15"/>
      <c r="D936" s="27"/>
      <c r="E936" s="15"/>
      <c r="F936" s="28"/>
      <c r="G936" s="25" t="str">
        <f aca="true">IF(OR(D936="",E936=""),"",IFERROR(D936*INDEX(UnidadesFactor,MATCH(E936,Unidades,0)),""))</f>
        <v/>
      </c>
      <c r="H936" s="17" t="str">
        <f aca="false">IF(I936&lt;&gt;"OK","",IF(G936=0,"",F936/G936))</f>
        <v/>
      </c>
      <c r="I936" s="20" t="str">
        <f aca="true">IF(B936="","",IF(ISNA(MATCH(B936,ListaInsumos,0)),"Insumo no está en Insumos",IF(OR(D936="",E936="",F936=""),"Faltan datos",IF(INDEX(UnidadesBase,MATCH(E936,Unidades,0))&lt;&gt;INDEX(InsBase,MATCH(B936,ListaInsumos,0)),"Unidad incompatible",IF(A936="","Falta fecha","OK")))))</f>
        <v/>
      </c>
      <c r="J936" s="15"/>
    </row>
    <row r="937" customFormat="false" ht="15" hidden="false" customHeight="false" outlineLevel="0" collapsed="false">
      <c r="A937" s="26"/>
      <c r="B937" s="15"/>
      <c r="C937" s="15"/>
      <c r="D937" s="27"/>
      <c r="E937" s="15"/>
      <c r="F937" s="28"/>
      <c r="G937" s="25" t="str">
        <f aca="true">IF(OR(D937="",E937=""),"",IFERROR(D937*INDEX(UnidadesFactor,MATCH(E937,Unidades,0)),""))</f>
        <v/>
      </c>
      <c r="H937" s="17" t="str">
        <f aca="false">IF(I937&lt;&gt;"OK","",IF(G937=0,"",F937/G937))</f>
        <v/>
      </c>
      <c r="I937" s="20" t="str">
        <f aca="true">IF(B937="","",IF(ISNA(MATCH(B937,ListaInsumos,0)),"Insumo no está en Insumos",IF(OR(D937="",E937="",F937=""),"Faltan datos",IF(INDEX(UnidadesBase,MATCH(E937,Unidades,0))&lt;&gt;INDEX(InsBase,MATCH(B937,ListaInsumos,0)),"Unidad incompatible",IF(A937="","Falta fecha","OK")))))</f>
        <v/>
      </c>
      <c r="J937" s="15"/>
    </row>
    <row r="938" customFormat="false" ht="15" hidden="false" customHeight="false" outlineLevel="0" collapsed="false">
      <c r="A938" s="26"/>
      <c r="B938" s="15"/>
      <c r="C938" s="15"/>
      <c r="D938" s="27"/>
      <c r="E938" s="15"/>
      <c r="F938" s="28"/>
      <c r="G938" s="25" t="str">
        <f aca="true">IF(OR(D938="",E938=""),"",IFERROR(D938*INDEX(UnidadesFactor,MATCH(E938,Unidades,0)),""))</f>
        <v/>
      </c>
      <c r="H938" s="17" t="str">
        <f aca="false">IF(I938&lt;&gt;"OK","",IF(G938=0,"",F938/G938))</f>
        <v/>
      </c>
      <c r="I938" s="20" t="str">
        <f aca="true">IF(B938="","",IF(ISNA(MATCH(B938,ListaInsumos,0)),"Insumo no está en Insumos",IF(OR(D938="",E938="",F938=""),"Faltan datos",IF(INDEX(UnidadesBase,MATCH(E938,Unidades,0))&lt;&gt;INDEX(InsBase,MATCH(B938,ListaInsumos,0)),"Unidad incompatible",IF(A938="","Falta fecha","OK")))))</f>
        <v/>
      </c>
      <c r="J938" s="15"/>
    </row>
    <row r="939" customFormat="false" ht="15" hidden="false" customHeight="false" outlineLevel="0" collapsed="false">
      <c r="A939" s="26"/>
      <c r="B939" s="15"/>
      <c r="C939" s="15"/>
      <c r="D939" s="27"/>
      <c r="E939" s="15"/>
      <c r="F939" s="28"/>
      <c r="G939" s="25" t="str">
        <f aca="true">IF(OR(D939="",E939=""),"",IFERROR(D939*INDEX(UnidadesFactor,MATCH(E939,Unidades,0)),""))</f>
        <v/>
      </c>
      <c r="H939" s="17" t="str">
        <f aca="false">IF(I939&lt;&gt;"OK","",IF(G939=0,"",F939/G939))</f>
        <v/>
      </c>
      <c r="I939" s="20" t="str">
        <f aca="true">IF(B939="","",IF(ISNA(MATCH(B939,ListaInsumos,0)),"Insumo no está en Insumos",IF(OR(D939="",E939="",F939=""),"Faltan datos",IF(INDEX(UnidadesBase,MATCH(E939,Unidades,0))&lt;&gt;INDEX(InsBase,MATCH(B939,ListaInsumos,0)),"Unidad incompatible",IF(A939="","Falta fecha","OK")))))</f>
        <v/>
      </c>
      <c r="J939" s="15"/>
    </row>
    <row r="940" customFormat="false" ht="15" hidden="false" customHeight="false" outlineLevel="0" collapsed="false">
      <c r="A940" s="26"/>
      <c r="B940" s="15"/>
      <c r="C940" s="15"/>
      <c r="D940" s="27"/>
      <c r="E940" s="15"/>
      <c r="F940" s="28"/>
      <c r="G940" s="25" t="str">
        <f aca="true">IF(OR(D940="",E940=""),"",IFERROR(D940*INDEX(UnidadesFactor,MATCH(E940,Unidades,0)),""))</f>
        <v/>
      </c>
      <c r="H940" s="17" t="str">
        <f aca="false">IF(I940&lt;&gt;"OK","",IF(G940=0,"",F940/G940))</f>
        <v/>
      </c>
      <c r="I940" s="20" t="str">
        <f aca="true">IF(B940="","",IF(ISNA(MATCH(B940,ListaInsumos,0)),"Insumo no está en Insumos",IF(OR(D940="",E940="",F940=""),"Faltan datos",IF(INDEX(UnidadesBase,MATCH(E940,Unidades,0))&lt;&gt;INDEX(InsBase,MATCH(B940,ListaInsumos,0)),"Unidad incompatible",IF(A940="","Falta fecha","OK")))))</f>
        <v/>
      </c>
      <c r="J940" s="15"/>
    </row>
    <row r="941" customFormat="false" ht="15" hidden="false" customHeight="false" outlineLevel="0" collapsed="false">
      <c r="A941" s="26"/>
      <c r="B941" s="15"/>
      <c r="C941" s="15"/>
      <c r="D941" s="27"/>
      <c r="E941" s="15"/>
      <c r="F941" s="28"/>
      <c r="G941" s="25" t="str">
        <f aca="true">IF(OR(D941="",E941=""),"",IFERROR(D941*INDEX(UnidadesFactor,MATCH(E941,Unidades,0)),""))</f>
        <v/>
      </c>
      <c r="H941" s="17" t="str">
        <f aca="false">IF(I941&lt;&gt;"OK","",IF(G941=0,"",F941/G941))</f>
        <v/>
      </c>
      <c r="I941" s="20" t="str">
        <f aca="true">IF(B941="","",IF(ISNA(MATCH(B941,ListaInsumos,0)),"Insumo no está en Insumos",IF(OR(D941="",E941="",F941=""),"Faltan datos",IF(INDEX(UnidadesBase,MATCH(E941,Unidades,0))&lt;&gt;INDEX(InsBase,MATCH(B941,ListaInsumos,0)),"Unidad incompatible",IF(A941="","Falta fecha","OK")))))</f>
        <v/>
      </c>
      <c r="J941" s="15"/>
    </row>
    <row r="942" customFormat="false" ht="15" hidden="false" customHeight="false" outlineLevel="0" collapsed="false">
      <c r="A942" s="26"/>
      <c r="B942" s="15"/>
      <c r="C942" s="15"/>
      <c r="D942" s="27"/>
      <c r="E942" s="15"/>
      <c r="F942" s="28"/>
      <c r="G942" s="25" t="str">
        <f aca="true">IF(OR(D942="",E942=""),"",IFERROR(D942*INDEX(UnidadesFactor,MATCH(E942,Unidades,0)),""))</f>
        <v/>
      </c>
      <c r="H942" s="17" t="str">
        <f aca="false">IF(I942&lt;&gt;"OK","",IF(G942=0,"",F942/G942))</f>
        <v/>
      </c>
      <c r="I942" s="20" t="str">
        <f aca="true">IF(B942="","",IF(ISNA(MATCH(B942,ListaInsumos,0)),"Insumo no está en Insumos",IF(OR(D942="",E942="",F942=""),"Faltan datos",IF(INDEX(UnidadesBase,MATCH(E942,Unidades,0))&lt;&gt;INDEX(InsBase,MATCH(B942,ListaInsumos,0)),"Unidad incompatible",IF(A942="","Falta fecha","OK")))))</f>
        <v/>
      </c>
      <c r="J942" s="15"/>
    </row>
    <row r="943" customFormat="false" ht="15" hidden="false" customHeight="false" outlineLevel="0" collapsed="false">
      <c r="A943" s="26"/>
      <c r="B943" s="15"/>
      <c r="C943" s="15"/>
      <c r="D943" s="27"/>
      <c r="E943" s="15"/>
      <c r="F943" s="28"/>
      <c r="G943" s="25" t="str">
        <f aca="true">IF(OR(D943="",E943=""),"",IFERROR(D943*INDEX(UnidadesFactor,MATCH(E943,Unidades,0)),""))</f>
        <v/>
      </c>
      <c r="H943" s="17" t="str">
        <f aca="false">IF(I943&lt;&gt;"OK","",IF(G943=0,"",F943/G943))</f>
        <v/>
      </c>
      <c r="I943" s="20" t="str">
        <f aca="true">IF(B943="","",IF(ISNA(MATCH(B943,ListaInsumos,0)),"Insumo no está en Insumos",IF(OR(D943="",E943="",F943=""),"Faltan datos",IF(INDEX(UnidadesBase,MATCH(E943,Unidades,0))&lt;&gt;INDEX(InsBase,MATCH(B943,ListaInsumos,0)),"Unidad incompatible",IF(A943="","Falta fecha","OK")))))</f>
        <v/>
      </c>
      <c r="J943" s="15"/>
    </row>
    <row r="944" customFormat="false" ht="15" hidden="false" customHeight="false" outlineLevel="0" collapsed="false">
      <c r="A944" s="26"/>
      <c r="B944" s="15"/>
      <c r="C944" s="15"/>
      <c r="D944" s="27"/>
      <c r="E944" s="15"/>
      <c r="F944" s="28"/>
      <c r="G944" s="25" t="str">
        <f aca="true">IF(OR(D944="",E944=""),"",IFERROR(D944*INDEX(UnidadesFactor,MATCH(E944,Unidades,0)),""))</f>
        <v/>
      </c>
      <c r="H944" s="17" t="str">
        <f aca="false">IF(I944&lt;&gt;"OK","",IF(G944=0,"",F944/G944))</f>
        <v/>
      </c>
      <c r="I944" s="20" t="str">
        <f aca="true">IF(B944="","",IF(ISNA(MATCH(B944,ListaInsumos,0)),"Insumo no está en Insumos",IF(OR(D944="",E944="",F944=""),"Faltan datos",IF(INDEX(UnidadesBase,MATCH(E944,Unidades,0))&lt;&gt;INDEX(InsBase,MATCH(B944,ListaInsumos,0)),"Unidad incompatible",IF(A944="","Falta fecha","OK")))))</f>
        <v/>
      </c>
      <c r="J944" s="15"/>
    </row>
    <row r="945" customFormat="false" ht="15" hidden="false" customHeight="false" outlineLevel="0" collapsed="false">
      <c r="A945" s="26"/>
      <c r="B945" s="15"/>
      <c r="C945" s="15"/>
      <c r="D945" s="27"/>
      <c r="E945" s="15"/>
      <c r="F945" s="28"/>
      <c r="G945" s="25" t="str">
        <f aca="true">IF(OR(D945="",E945=""),"",IFERROR(D945*INDEX(UnidadesFactor,MATCH(E945,Unidades,0)),""))</f>
        <v/>
      </c>
      <c r="H945" s="17" t="str">
        <f aca="false">IF(I945&lt;&gt;"OK","",IF(G945=0,"",F945/G945))</f>
        <v/>
      </c>
      <c r="I945" s="20" t="str">
        <f aca="true">IF(B945="","",IF(ISNA(MATCH(B945,ListaInsumos,0)),"Insumo no está en Insumos",IF(OR(D945="",E945="",F945=""),"Faltan datos",IF(INDEX(UnidadesBase,MATCH(E945,Unidades,0))&lt;&gt;INDEX(InsBase,MATCH(B945,ListaInsumos,0)),"Unidad incompatible",IF(A945="","Falta fecha","OK")))))</f>
        <v/>
      </c>
      <c r="J945" s="15"/>
    </row>
    <row r="946" customFormat="false" ht="15" hidden="false" customHeight="false" outlineLevel="0" collapsed="false">
      <c r="A946" s="26"/>
      <c r="B946" s="15"/>
      <c r="C946" s="15"/>
      <c r="D946" s="27"/>
      <c r="E946" s="15"/>
      <c r="F946" s="28"/>
      <c r="G946" s="25" t="str">
        <f aca="true">IF(OR(D946="",E946=""),"",IFERROR(D946*INDEX(UnidadesFactor,MATCH(E946,Unidades,0)),""))</f>
        <v/>
      </c>
      <c r="H946" s="17" t="str">
        <f aca="false">IF(I946&lt;&gt;"OK","",IF(G946=0,"",F946/G946))</f>
        <v/>
      </c>
      <c r="I946" s="20" t="str">
        <f aca="true">IF(B946="","",IF(ISNA(MATCH(B946,ListaInsumos,0)),"Insumo no está en Insumos",IF(OR(D946="",E946="",F946=""),"Faltan datos",IF(INDEX(UnidadesBase,MATCH(E946,Unidades,0))&lt;&gt;INDEX(InsBase,MATCH(B946,ListaInsumos,0)),"Unidad incompatible",IF(A946="","Falta fecha","OK")))))</f>
        <v/>
      </c>
      <c r="J946" s="15"/>
    </row>
    <row r="947" customFormat="false" ht="15" hidden="false" customHeight="false" outlineLevel="0" collapsed="false">
      <c r="A947" s="26"/>
      <c r="B947" s="15"/>
      <c r="C947" s="15"/>
      <c r="D947" s="27"/>
      <c r="E947" s="15"/>
      <c r="F947" s="28"/>
      <c r="G947" s="25" t="str">
        <f aca="true">IF(OR(D947="",E947=""),"",IFERROR(D947*INDEX(UnidadesFactor,MATCH(E947,Unidades,0)),""))</f>
        <v/>
      </c>
      <c r="H947" s="17" t="str">
        <f aca="false">IF(I947&lt;&gt;"OK","",IF(G947=0,"",F947/G947))</f>
        <v/>
      </c>
      <c r="I947" s="20" t="str">
        <f aca="true">IF(B947="","",IF(ISNA(MATCH(B947,ListaInsumos,0)),"Insumo no está en Insumos",IF(OR(D947="",E947="",F947=""),"Faltan datos",IF(INDEX(UnidadesBase,MATCH(E947,Unidades,0))&lt;&gt;INDEX(InsBase,MATCH(B947,ListaInsumos,0)),"Unidad incompatible",IF(A947="","Falta fecha","OK")))))</f>
        <v/>
      </c>
      <c r="J947" s="15"/>
    </row>
    <row r="948" customFormat="false" ht="15" hidden="false" customHeight="false" outlineLevel="0" collapsed="false">
      <c r="A948" s="26"/>
      <c r="B948" s="15"/>
      <c r="C948" s="15"/>
      <c r="D948" s="27"/>
      <c r="E948" s="15"/>
      <c r="F948" s="28"/>
      <c r="G948" s="25" t="str">
        <f aca="true">IF(OR(D948="",E948=""),"",IFERROR(D948*INDEX(UnidadesFactor,MATCH(E948,Unidades,0)),""))</f>
        <v/>
      </c>
      <c r="H948" s="17" t="str">
        <f aca="false">IF(I948&lt;&gt;"OK","",IF(G948=0,"",F948/G948))</f>
        <v/>
      </c>
      <c r="I948" s="20" t="str">
        <f aca="true">IF(B948="","",IF(ISNA(MATCH(B948,ListaInsumos,0)),"Insumo no está en Insumos",IF(OR(D948="",E948="",F948=""),"Faltan datos",IF(INDEX(UnidadesBase,MATCH(E948,Unidades,0))&lt;&gt;INDEX(InsBase,MATCH(B948,ListaInsumos,0)),"Unidad incompatible",IF(A948="","Falta fecha","OK")))))</f>
        <v/>
      </c>
      <c r="J948" s="15"/>
    </row>
    <row r="949" customFormat="false" ht="15" hidden="false" customHeight="false" outlineLevel="0" collapsed="false">
      <c r="A949" s="26"/>
      <c r="B949" s="15"/>
      <c r="C949" s="15"/>
      <c r="D949" s="27"/>
      <c r="E949" s="15"/>
      <c r="F949" s="28"/>
      <c r="G949" s="25" t="str">
        <f aca="true">IF(OR(D949="",E949=""),"",IFERROR(D949*INDEX(UnidadesFactor,MATCH(E949,Unidades,0)),""))</f>
        <v/>
      </c>
      <c r="H949" s="17" t="str">
        <f aca="false">IF(I949&lt;&gt;"OK","",IF(G949=0,"",F949/G949))</f>
        <v/>
      </c>
      <c r="I949" s="20" t="str">
        <f aca="true">IF(B949="","",IF(ISNA(MATCH(B949,ListaInsumos,0)),"Insumo no está en Insumos",IF(OR(D949="",E949="",F949=""),"Faltan datos",IF(INDEX(UnidadesBase,MATCH(E949,Unidades,0))&lt;&gt;INDEX(InsBase,MATCH(B949,ListaInsumos,0)),"Unidad incompatible",IF(A949="","Falta fecha","OK")))))</f>
        <v/>
      </c>
      <c r="J949" s="15"/>
    </row>
    <row r="950" customFormat="false" ht="15" hidden="false" customHeight="false" outlineLevel="0" collapsed="false">
      <c r="A950" s="26"/>
      <c r="B950" s="15"/>
      <c r="C950" s="15"/>
      <c r="D950" s="27"/>
      <c r="E950" s="15"/>
      <c r="F950" s="28"/>
      <c r="G950" s="25" t="str">
        <f aca="true">IF(OR(D950="",E950=""),"",IFERROR(D950*INDEX(UnidadesFactor,MATCH(E950,Unidades,0)),""))</f>
        <v/>
      </c>
      <c r="H950" s="17" t="str">
        <f aca="false">IF(I950&lt;&gt;"OK","",IF(G950=0,"",F950/G950))</f>
        <v/>
      </c>
      <c r="I950" s="20" t="str">
        <f aca="true">IF(B950="","",IF(ISNA(MATCH(B950,ListaInsumos,0)),"Insumo no está en Insumos",IF(OR(D950="",E950="",F950=""),"Faltan datos",IF(INDEX(UnidadesBase,MATCH(E950,Unidades,0))&lt;&gt;INDEX(InsBase,MATCH(B950,ListaInsumos,0)),"Unidad incompatible",IF(A950="","Falta fecha","OK")))))</f>
        <v/>
      </c>
      <c r="J950" s="15"/>
    </row>
    <row r="951" customFormat="false" ht="15" hidden="false" customHeight="false" outlineLevel="0" collapsed="false">
      <c r="A951" s="26"/>
      <c r="B951" s="15"/>
      <c r="C951" s="15"/>
      <c r="D951" s="27"/>
      <c r="E951" s="15"/>
      <c r="F951" s="28"/>
      <c r="G951" s="25" t="str">
        <f aca="true">IF(OR(D951="",E951=""),"",IFERROR(D951*INDEX(UnidadesFactor,MATCH(E951,Unidades,0)),""))</f>
        <v/>
      </c>
      <c r="H951" s="17" t="str">
        <f aca="false">IF(I951&lt;&gt;"OK","",IF(G951=0,"",F951/G951))</f>
        <v/>
      </c>
      <c r="I951" s="20" t="str">
        <f aca="true">IF(B951="","",IF(ISNA(MATCH(B951,ListaInsumos,0)),"Insumo no está en Insumos",IF(OR(D951="",E951="",F951=""),"Faltan datos",IF(INDEX(UnidadesBase,MATCH(E951,Unidades,0))&lt;&gt;INDEX(InsBase,MATCH(B951,ListaInsumos,0)),"Unidad incompatible",IF(A951="","Falta fecha","OK")))))</f>
        <v/>
      </c>
      <c r="J951" s="15"/>
    </row>
    <row r="952" customFormat="false" ht="15" hidden="false" customHeight="false" outlineLevel="0" collapsed="false">
      <c r="A952" s="26"/>
      <c r="B952" s="15"/>
      <c r="C952" s="15"/>
      <c r="D952" s="27"/>
      <c r="E952" s="15"/>
      <c r="F952" s="28"/>
      <c r="G952" s="25" t="str">
        <f aca="true">IF(OR(D952="",E952=""),"",IFERROR(D952*INDEX(UnidadesFactor,MATCH(E952,Unidades,0)),""))</f>
        <v/>
      </c>
      <c r="H952" s="17" t="str">
        <f aca="false">IF(I952&lt;&gt;"OK","",IF(G952=0,"",F952/G952))</f>
        <v/>
      </c>
      <c r="I952" s="20" t="str">
        <f aca="true">IF(B952="","",IF(ISNA(MATCH(B952,ListaInsumos,0)),"Insumo no está en Insumos",IF(OR(D952="",E952="",F952=""),"Faltan datos",IF(INDEX(UnidadesBase,MATCH(E952,Unidades,0))&lt;&gt;INDEX(InsBase,MATCH(B952,ListaInsumos,0)),"Unidad incompatible",IF(A952="","Falta fecha","OK")))))</f>
        <v/>
      </c>
      <c r="J952" s="15"/>
    </row>
    <row r="953" customFormat="false" ht="15" hidden="false" customHeight="false" outlineLevel="0" collapsed="false">
      <c r="A953" s="26"/>
      <c r="B953" s="15"/>
      <c r="C953" s="15"/>
      <c r="D953" s="27"/>
      <c r="E953" s="15"/>
      <c r="F953" s="28"/>
      <c r="G953" s="25" t="str">
        <f aca="true">IF(OR(D953="",E953=""),"",IFERROR(D953*INDEX(UnidadesFactor,MATCH(E953,Unidades,0)),""))</f>
        <v/>
      </c>
      <c r="H953" s="17" t="str">
        <f aca="false">IF(I953&lt;&gt;"OK","",IF(G953=0,"",F953/G953))</f>
        <v/>
      </c>
      <c r="I953" s="20" t="str">
        <f aca="true">IF(B953="","",IF(ISNA(MATCH(B953,ListaInsumos,0)),"Insumo no está en Insumos",IF(OR(D953="",E953="",F953=""),"Faltan datos",IF(INDEX(UnidadesBase,MATCH(E953,Unidades,0))&lt;&gt;INDEX(InsBase,MATCH(B953,ListaInsumos,0)),"Unidad incompatible",IF(A953="","Falta fecha","OK")))))</f>
        <v/>
      </c>
      <c r="J953" s="15"/>
    </row>
    <row r="954" customFormat="false" ht="15" hidden="false" customHeight="false" outlineLevel="0" collapsed="false">
      <c r="A954" s="26"/>
      <c r="B954" s="15"/>
      <c r="C954" s="15"/>
      <c r="D954" s="27"/>
      <c r="E954" s="15"/>
      <c r="F954" s="28"/>
      <c r="G954" s="25" t="str">
        <f aca="true">IF(OR(D954="",E954=""),"",IFERROR(D954*INDEX(UnidadesFactor,MATCH(E954,Unidades,0)),""))</f>
        <v/>
      </c>
      <c r="H954" s="17" t="str">
        <f aca="false">IF(I954&lt;&gt;"OK","",IF(G954=0,"",F954/G954))</f>
        <v/>
      </c>
      <c r="I954" s="20" t="str">
        <f aca="true">IF(B954="","",IF(ISNA(MATCH(B954,ListaInsumos,0)),"Insumo no está en Insumos",IF(OR(D954="",E954="",F954=""),"Faltan datos",IF(INDEX(UnidadesBase,MATCH(E954,Unidades,0))&lt;&gt;INDEX(InsBase,MATCH(B954,ListaInsumos,0)),"Unidad incompatible",IF(A954="","Falta fecha","OK")))))</f>
        <v/>
      </c>
      <c r="J954" s="15"/>
    </row>
    <row r="955" customFormat="false" ht="15" hidden="false" customHeight="false" outlineLevel="0" collapsed="false">
      <c r="A955" s="26"/>
      <c r="B955" s="15"/>
      <c r="C955" s="15"/>
      <c r="D955" s="27"/>
      <c r="E955" s="15"/>
      <c r="F955" s="28"/>
      <c r="G955" s="25" t="str">
        <f aca="true">IF(OR(D955="",E955=""),"",IFERROR(D955*INDEX(UnidadesFactor,MATCH(E955,Unidades,0)),""))</f>
        <v/>
      </c>
      <c r="H955" s="17" t="str">
        <f aca="false">IF(I955&lt;&gt;"OK","",IF(G955=0,"",F955/G955))</f>
        <v/>
      </c>
      <c r="I955" s="20" t="str">
        <f aca="true">IF(B955="","",IF(ISNA(MATCH(B955,ListaInsumos,0)),"Insumo no está en Insumos",IF(OR(D955="",E955="",F955=""),"Faltan datos",IF(INDEX(UnidadesBase,MATCH(E955,Unidades,0))&lt;&gt;INDEX(InsBase,MATCH(B955,ListaInsumos,0)),"Unidad incompatible",IF(A955="","Falta fecha","OK")))))</f>
        <v/>
      </c>
      <c r="J955" s="15"/>
    </row>
    <row r="956" customFormat="false" ht="15" hidden="false" customHeight="false" outlineLevel="0" collapsed="false">
      <c r="A956" s="26"/>
      <c r="B956" s="15"/>
      <c r="C956" s="15"/>
      <c r="D956" s="27"/>
      <c r="E956" s="15"/>
      <c r="F956" s="28"/>
      <c r="G956" s="25" t="str">
        <f aca="true">IF(OR(D956="",E956=""),"",IFERROR(D956*INDEX(UnidadesFactor,MATCH(E956,Unidades,0)),""))</f>
        <v/>
      </c>
      <c r="H956" s="17" t="str">
        <f aca="false">IF(I956&lt;&gt;"OK","",IF(G956=0,"",F956/G956))</f>
        <v/>
      </c>
      <c r="I956" s="20" t="str">
        <f aca="true">IF(B956="","",IF(ISNA(MATCH(B956,ListaInsumos,0)),"Insumo no está en Insumos",IF(OR(D956="",E956="",F956=""),"Faltan datos",IF(INDEX(UnidadesBase,MATCH(E956,Unidades,0))&lt;&gt;INDEX(InsBase,MATCH(B956,ListaInsumos,0)),"Unidad incompatible",IF(A956="","Falta fecha","OK")))))</f>
        <v/>
      </c>
      <c r="J956" s="15"/>
    </row>
    <row r="957" customFormat="false" ht="15" hidden="false" customHeight="false" outlineLevel="0" collapsed="false">
      <c r="A957" s="26"/>
      <c r="B957" s="15"/>
      <c r="C957" s="15"/>
      <c r="D957" s="27"/>
      <c r="E957" s="15"/>
      <c r="F957" s="28"/>
      <c r="G957" s="25" t="str">
        <f aca="true">IF(OR(D957="",E957=""),"",IFERROR(D957*INDEX(UnidadesFactor,MATCH(E957,Unidades,0)),""))</f>
        <v/>
      </c>
      <c r="H957" s="17" t="str">
        <f aca="false">IF(I957&lt;&gt;"OK","",IF(G957=0,"",F957/G957))</f>
        <v/>
      </c>
      <c r="I957" s="20" t="str">
        <f aca="true">IF(B957="","",IF(ISNA(MATCH(B957,ListaInsumos,0)),"Insumo no está en Insumos",IF(OR(D957="",E957="",F957=""),"Faltan datos",IF(INDEX(UnidadesBase,MATCH(E957,Unidades,0))&lt;&gt;INDEX(InsBase,MATCH(B957,ListaInsumos,0)),"Unidad incompatible",IF(A957="","Falta fecha","OK")))))</f>
        <v/>
      </c>
      <c r="J957" s="15"/>
    </row>
    <row r="958" customFormat="false" ht="15" hidden="false" customHeight="false" outlineLevel="0" collapsed="false">
      <c r="A958" s="26"/>
      <c r="B958" s="15"/>
      <c r="C958" s="15"/>
      <c r="D958" s="27"/>
      <c r="E958" s="15"/>
      <c r="F958" s="28"/>
      <c r="G958" s="25" t="str">
        <f aca="true">IF(OR(D958="",E958=""),"",IFERROR(D958*INDEX(UnidadesFactor,MATCH(E958,Unidades,0)),""))</f>
        <v/>
      </c>
      <c r="H958" s="17" t="str">
        <f aca="false">IF(I958&lt;&gt;"OK","",IF(G958=0,"",F958/G958))</f>
        <v/>
      </c>
      <c r="I958" s="20" t="str">
        <f aca="true">IF(B958="","",IF(ISNA(MATCH(B958,ListaInsumos,0)),"Insumo no está en Insumos",IF(OR(D958="",E958="",F958=""),"Faltan datos",IF(INDEX(UnidadesBase,MATCH(E958,Unidades,0))&lt;&gt;INDEX(InsBase,MATCH(B958,ListaInsumos,0)),"Unidad incompatible",IF(A958="","Falta fecha","OK")))))</f>
        <v/>
      </c>
      <c r="J958" s="15"/>
    </row>
    <row r="959" customFormat="false" ht="15" hidden="false" customHeight="false" outlineLevel="0" collapsed="false">
      <c r="A959" s="26"/>
      <c r="B959" s="15"/>
      <c r="C959" s="15"/>
      <c r="D959" s="27"/>
      <c r="E959" s="15"/>
      <c r="F959" s="28"/>
      <c r="G959" s="25" t="str">
        <f aca="true">IF(OR(D959="",E959=""),"",IFERROR(D959*INDEX(UnidadesFactor,MATCH(E959,Unidades,0)),""))</f>
        <v/>
      </c>
      <c r="H959" s="17" t="str">
        <f aca="false">IF(I959&lt;&gt;"OK","",IF(G959=0,"",F959/G959))</f>
        <v/>
      </c>
      <c r="I959" s="20" t="str">
        <f aca="true">IF(B959="","",IF(ISNA(MATCH(B959,ListaInsumos,0)),"Insumo no está en Insumos",IF(OR(D959="",E959="",F959=""),"Faltan datos",IF(INDEX(UnidadesBase,MATCH(E959,Unidades,0))&lt;&gt;INDEX(InsBase,MATCH(B959,ListaInsumos,0)),"Unidad incompatible",IF(A959="","Falta fecha","OK")))))</f>
        <v/>
      </c>
      <c r="J959" s="15"/>
    </row>
    <row r="960" customFormat="false" ht="15" hidden="false" customHeight="false" outlineLevel="0" collapsed="false">
      <c r="A960" s="26"/>
      <c r="B960" s="15"/>
      <c r="C960" s="15"/>
      <c r="D960" s="27"/>
      <c r="E960" s="15"/>
      <c r="F960" s="28"/>
      <c r="G960" s="25" t="str">
        <f aca="true">IF(OR(D960="",E960=""),"",IFERROR(D960*INDEX(UnidadesFactor,MATCH(E960,Unidades,0)),""))</f>
        <v/>
      </c>
      <c r="H960" s="17" t="str">
        <f aca="false">IF(I960&lt;&gt;"OK","",IF(G960=0,"",F960/G960))</f>
        <v/>
      </c>
      <c r="I960" s="20" t="str">
        <f aca="true">IF(B960="","",IF(ISNA(MATCH(B960,ListaInsumos,0)),"Insumo no está en Insumos",IF(OR(D960="",E960="",F960=""),"Faltan datos",IF(INDEX(UnidadesBase,MATCH(E960,Unidades,0))&lt;&gt;INDEX(InsBase,MATCH(B960,ListaInsumos,0)),"Unidad incompatible",IF(A960="","Falta fecha","OK")))))</f>
        <v/>
      </c>
      <c r="J960" s="15"/>
    </row>
    <row r="961" customFormat="false" ht="15" hidden="false" customHeight="false" outlineLevel="0" collapsed="false">
      <c r="A961" s="26"/>
      <c r="B961" s="15"/>
      <c r="C961" s="15"/>
      <c r="D961" s="27"/>
      <c r="E961" s="15"/>
      <c r="F961" s="28"/>
      <c r="G961" s="25" t="str">
        <f aca="true">IF(OR(D961="",E961=""),"",IFERROR(D961*INDEX(UnidadesFactor,MATCH(E961,Unidades,0)),""))</f>
        <v/>
      </c>
      <c r="H961" s="17" t="str">
        <f aca="false">IF(I961&lt;&gt;"OK","",IF(G961=0,"",F961/G961))</f>
        <v/>
      </c>
      <c r="I961" s="20" t="str">
        <f aca="true">IF(B961="","",IF(ISNA(MATCH(B961,ListaInsumos,0)),"Insumo no está en Insumos",IF(OR(D961="",E961="",F961=""),"Faltan datos",IF(INDEX(UnidadesBase,MATCH(E961,Unidades,0))&lt;&gt;INDEX(InsBase,MATCH(B961,ListaInsumos,0)),"Unidad incompatible",IF(A961="","Falta fecha","OK")))))</f>
        <v/>
      </c>
      <c r="J961" s="15"/>
    </row>
    <row r="962" customFormat="false" ht="15" hidden="false" customHeight="false" outlineLevel="0" collapsed="false">
      <c r="A962" s="26"/>
      <c r="B962" s="15"/>
      <c r="C962" s="15"/>
      <c r="D962" s="27"/>
      <c r="E962" s="15"/>
      <c r="F962" s="28"/>
      <c r="G962" s="25" t="str">
        <f aca="true">IF(OR(D962="",E962=""),"",IFERROR(D962*INDEX(UnidadesFactor,MATCH(E962,Unidades,0)),""))</f>
        <v/>
      </c>
      <c r="H962" s="17" t="str">
        <f aca="false">IF(I962&lt;&gt;"OK","",IF(G962=0,"",F962/G962))</f>
        <v/>
      </c>
      <c r="I962" s="20" t="str">
        <f aca="true">IF(B962="","",IF(ISNA(MATCH(B962,ListaInsumos,0)),"Insumo no está en Insumos",IF(OR(D962="",E962="",F962=""),"Faltan datos",IF(INDEX(UnidadesBase,MATCH(E962,Unidades,0))&lt;&gt;INDEX(InsBase,MATCH(B962,ListaInsumos,0)),"Unidad incompatible",IF(A962="","Falta fecha","OK")))))</f>
        <v/>
      </c>
      <c r="J962" s="15"/>
    </row>
    <row r="963" customFormat="false" ht="15" hidden="false" customHeight="false" outlineLevel="0" collapsed="false">
      <c r="A963" s="26"/>
      <c r="B963" s="15"/>
      <c r="C963" s="15"/>
      <c r="D963" s="27"/>
      <c r="E963" s="15"/>
      <c r="F963" s="28"/>
      <c r="G963" s="25" t="str">
        <f aca="true">IF(OR(D963="",E963=""),"",IFERROR(D963*INDEX(UnidadesFactor,MATCH(E963,Unidades,0)),""))</f>
        <v/>
      </c>
      <c r="H963" s="17" t="str">
        <f aca="false">IF(I963&lt;&gt;"OK","",IF(G963=0,"",F963/G963))</f>
        <v/>
      </c>
      <c r="I963" s="20" t="str">
        <f aca="true">IF(B963="","",IF(ISNA(MATCH(B963,ListaInsumos,0)),"Insumo no está en Insumos",IF(OR(D963="",E963="",F963=""),"Faltan datos",IF(INDEX(UnidadesBase,MATCH(E963,Unidades,0))&lt;&gt;INDEX(InsBase,MATCH(B963,ListaInsumos,0)),"Unidad incompatible",IF(A963="","Falta fecha","OK")))))</f>
        <v/>
      </c>
      <c r="J963" s="15"/>
    </row>
    <row r="964" customFormat="false" ht="15" hidden="false" customHeight="false" outlineLevel="0" collapsed="false">
      <c r="A964" s="26"/>
      <c r="B964" s="15"/>
      <c r="C964" s="15"/>
      <c r="D964" s="27"/>
      <c r="E964" s="15"/>
      <c r="F964" s="28"/>
      <c r="G964" s="25" t="str">
        <f aca="true">IF(OR(D964="",E964=""),"",IFERROR(D964*INDEX(UnidadesFactor,MATCH(E964,Unidades,0)),""))</f>
        <v/>
      </c>
      <c r="H964" s="17" t="str">
        <f aca="false">IF(I964&lt;&gt;"OK","",IF(G964=0,"",F964/G964))</f>
        <v/>
      </c>
      <c r="I964" s="20" t="str">
        <f aca="true">IF(B964="","",IF(ISNA(MATCH(B964,ListaInsumos,0)),"Insumo no está en Insumos",IF(OR(D964="",E964="",F964=""),"Faltan datos",IF(INDEX(UnidadesBase,MATCH(E964,Unidades,0))&lt;&gt;INDEX(InsBase,MATCH(B964,ListaInsumos,0)),"Unidad incompatible",IF(A964="","Falta fecha","OK")))))</f>
        <v/>
      </c>
      <c r="J964" s="15"/>
    </row>
    <row r="965" customFormat="false" ht="15" hidden="false" customHeight="false" outlineLevel="0" collapsed="false">
      <c r="A965" s="26"/>
      <c r="B965" s="15"/>
      <c r="C965" s="15"/>
      <c r="D965" s="27"/>
      <c r="E965" s="15"/>
      <c r="F965" s="28"/>
      <c r="G965" s="25" t="str">
        <f aca="true">IF(OR(D965="",E965=""),"",IFERROR(D965*INDEX(UnidadesFactor,MATCH(E965,Unidades,0)),""))</f>
        <v/>
      </c>
      <c r="H965" s="17" t="str">
        <f aca="false">IF(I965&lt;&gt;"OK","",IF(G965=0,"",F965/G965))</f>
        <v/>
      </c>
      <c r="I965" s="20" t="str">
        <f aca="true">IF(B965="","",IF(ISNA(MATCH(B965,ListaInsumos,0)),"Insumo no está en Insumos",IF(OR(D965="",E965="",F965=""),"Faltan datos",IF(INDEX(UnidadesBase,MATCH(E965,Unidades,0))&lt;&gt;INDEX(InsBase,MATCH(B965,ListaInsumos,0)),"Unidad incompatible",IF(A965="","Falta fecha","OK")))))</f>
        <v/>
      </c>
      <c r="J965" s="15"/>
    </row>
    <row r="966" customFormat="false" ht="15" hidden="false" customHeight="false" outlineLevel="0" collapsed="false">
      <c r="A966" s="26"/>
      <c r="B966" s="15"/>
      <c r="C966" s="15"/>
      <c r="D966" s="27"/>
      <c r="E966" s="15"/>
      <c r="F966" s="28"/>
      <c r="G966" s="25" t="str">
        <f aca="true">IF(OR(D966="",E966=""),"",IFERROR(D966*INDEX(UnidadesFactor,MATCH(E966,Unidades,0)),""))</f>
        <v/>
      </c>
      <c r="H966" s="17" t="str">
        <f aca="false">IF(I966&lt;&gt;"OK","",IF(G966=0,"",F966/G966))</f>
        <v/>
      </c>
      <c r="I966" s="20" t="str">
        <f aca="true">IF(B966="","",IF(ISNA(MATCH(B966,ListaInsumos,0)),"Insumo no está en Insumos",IF(OR(D966="",E966="",F966=""),"Faltan datos",IF(INDEX(UnidadesBase,MATCH(E966,Unidades,0))&lt;&gt;INDEX(InsBase,MATCH(B966,ListaInsumos,0)),"Unidad incompatible",IF(A966="","Falta fecha","OK")))))</f>
        <v/>
      </c>
      <c r="J966" s="15"/>
    </row>
    <row r="967" customFormat="false" ht="15" hidden="false" customHeight="false" outlineLevel="0" collapsed="false">
      <c r="A967" s="26"/>
      <c r="B967" s="15"/>
      <c r="C967" s="15"/>
      <c r="D967" s="27"/>
      <c r="E967" s="15"/>
      <c r="F967" s="28"/>
      <c r="G967" s="25" t="str">
        <f aca="true">IF(OR(D967="",E967=""),"",IFERROR(D967*INDEX(UnidadesFactor,MATCH(E967,Unidades,0)),""))</f>
        <v/>
      </c>
      <c r="H967" s="17" t="str">
        <f aca="false">IF(I967&lt;&gt;"OK","",IF(G967=0,"",F967/G967))</f>
        <v/>
      </c>
      <c r="I967" s="20" t="str">
        <f aca="true">IF(B967="","",IF(ISNA(MATCH(B967,ListaInsumos,0)),"Insumo no está en Insumos",IF(OR(D967="",E967="",F967=""),"Faltan datos",IF(INDEX(UnidadesBase,MATCH(E967,Unidades,0))&lt;&gt;INDEX(InsBase,MATCH(B967,ListaInsumos,0)),"Unidad incompatible",IF(A967="","Falta fecha","OK")))))</f>
        <v/>
      </c>
      <c r="J967" s="15"/>
    </row>
    <row r="968" customFormat="false" ht="15" hidden="false" customHeight="false" outlineLevel="0" collapsed="false">
      <c r="A968" s="26"/>
      <c r="B968" s="15"/>
      <c r="C968" s="15"/>
      <c r="D968" s="27"/>
      <c r="E968" s="15"/>
      <c r="F968" s="28"/>
      <c r="G968" s="25" t="str">
        <f aca="true">IF(OR(D968="",E968=""),"",IFERROR(D968*INDEX(UnidadesFactor,MATCH(E968,Unidades,0)),""))</f>
        <v/>
      </c>
      <c r="H968" s="17" t="str">
        <f aca="false">IF(I968&lt;&gt;"OK","",IF(G968=0,"",F968/G968))</f>
        <v/>
      </c>
      <c r="I968" s="20" t="str">
        <f aca="true">IF(B968="","",IF(ISNA(MATCH(B968,ListaInsumos,0)),"Insumo no está en Insumos",IF(OR(D968="",E968="",F968=""),"Faltan datos",IF(INDEX(UnidadesBase,MATCH(E968,Unidades,0))&lt;&gt;INDEX(InsBase,MATCH(B968,ListaInsumos,0)),"Unidad incompatible",IF(A968="","Falta fecha","OK")))))</f>
        <v/>
      </c>
      <c r="J968" s="15"/>
    </row>
    <row r="969" customFormat="false" ht="15" hidden="false" customHeight="false" outlineLevel="0" collapsed="false">
      <c r="A969" s="26"/>
      <c r="B969" s="15"/>
      <c r="C969" s="15"/>
      <c r="D969" s="27"/>
      <c r="E969" s="15"/>
      <c r="F969" s="28"/>
      <c r="G969" s="25" t="str">
        <f aca="true">IF(OR(D969="",E969=""),"",IFERROR(D969*INDEX(UnidadesFactor,MATCH(E969,Unidades,0)),""))</f>
        <v/>
      </c>
      <c r="H969" s="17" t="str">
        <f aca="false">IF(I969&lt;&gt;"OK","",IF(G969=0,"",F969/G969))</f>
        <v/>
      </c>
      <c r="I969" s="20" t="str">
        <f aca="true">IF(B969="","",IF(ISNA(MATCH(B969,ListaInsumos,0)),"Insumo no está en Insumos",IF(OR(D969="",E969="",F969=""),"Faltan datos",IF(INDEX(UnidadesBase,MATCH(E969,Unidades,0))&lt;&gt;INDEX(InsBase,MATCH(B969,ListaInsumos,0)),"Unidad incompatible",IF(A969="","Falta fecha","OK")))))</f>
        <v/>
      </c>
      <c r="J969" s="15"/>
    </row>
    <row r="970" customFormat="false" ht="15" hidden="false" customHeight="false" outlineLevel="0" collapsed="false">
      <c r="A970" s="26"/>
      <c r="B970" s="15"/>
      <c r="C970" s="15"/>
      <c r="D970" s="27"/>
      <c r="E970" s="15"/>
      <c r="F970" s="28"/>
      <c r="G970" s="25" t="str">
        <f aca="true">IF(OR(D970="",E970=""),"",IFERROR(D970*INDEX(UnidadesFactor,MATCH(E970,Unidades,0)),""))</f>
        <v/>
      </c>
      <c r="H970" s="17" t="str">
        <f aca="false">IF(I970&lt;&gt;"OK","",IF(G970=0,"",F970/G970))</f>
        <v/>
      </c>
      <c r="I970" s="20" t="str">
        <f aca="true">IF(B970="","",IF(ISNA(MATCH(B970,ListaInsumos,0)),"Insumo no está en Insumos",IF(OR(D970="",E970="",F970=""),"Faltan datos",IF(INDEX(UnidadesBase,MATCH(E970,Unidades,0))&lt;&gt;INDEX(InsBase,MATCH(B970,ListaInsumos,0)),"Unidad incompatible",IF(A970="","Falta fecha","OK")))))</f>
        <v/>
      </c>
      <c r="J970" s="15"/>
    </row>
    <row r="971" customFormat="false" ht="15" hidden="false" customHeight="false" outlineLevel="0" collapsed="false">
      <c r="A971" s="26"/>
      <c r="B971" s="15"/>
      <c r="C971" s="15"/>
      <c r="D971" s="27"/>
      <c r="E971" s="15"/>
      <c r="F971" s="28"/>
      <c r="G971" s="25" t="str">
        <f aca="true">IF(OR(D971="",E971=""),"",IFERROR(D971*INDEX(UnidadesFactor,MATCH(E971,Unidades,0)),""))</f>
        <v/>
      </c>
      <c r="H971" s="17" t="str">
        <f aca="false">IF(I971&lt;&gt;"OK","",IF(G971=0,"",F971/G971))</f>
        <v/>
      </c>
      <c r="I971" s="20" t="str">
        <f aca="true">IF(B971="","",IF(ISNA(MATCH(B971,ListaInsumos,0)),"Insumo no está en Insumos",IF(OR(D971="",E971="",F971=""),"Faltan datos",IF(INDEX(UnidadesBase,MATCH(E971,Unidades,0))&lt;&gt;INDEX(InsBase,MATCH(B971,ListaInsumos,0)),"Unidad incompatible",IF(A971="","Falta fecha","OK")))))</f>
        <v/>
      </c>
      <c r="J971" s="15"/>
    </row>
    <row r="972" customFormat="false" ht="15" hidden="false" customHeight="false" outlineLevel="0" collapsed="false">
      <c r="A972" s="26"/>
      <c r="B972" s="15"/>
      <c r="C972" s="15"/>
      <c r="D972" s="27"/>
      <c r="E972" s="15"/>
      <c r="F972" s="28"/>
      <c r="G972" s="25" t="str">
        <f aca="true">IF(OR(D972="",E972=""),"",IFERROR(D972*INDEX(UnidadesFactor,MATCH(E972,Unidades,0)),""))</f>
        <v/>
      </c>
      <c r="H972" s="17" t="str">
        <f aca="false">IF(I972&lt;&gt;"OK","",IF(G972=0,"",F972/G972))</f>
        <v/>
      </c>
      <c r="I972" s="20" t="str">
        <f aca="true">IF(B972="","",IF(ISNA(MATCH(B972,ListaInsumos,0)),"Insumo no está en Insumos",IF(OR(D972="",E972="",F972=""),"Faltan datos",IF(INDEX(UnidadesBase,MATCH(E972,Unidades,0))&lt;&gt;INDEX(InsBase,MATCH(B972,ListaInsumos,0)),"Unidad incompatible",IF(A972="","Falta fecha","OK")))))</f>
        <v/>
      </c>
      <c r="J972" s="15"/>
    </row>
    <row r="973" customFormat="false" ht="15" hidden="false" customHeight="false" outlineLevel="0" collapsed="false">
      <c r="A973" s="26"/>
      <c r="B973" s="15"/>
      <c r="C973" s="15"/>
      <c r="D973" s="27"/>
      <c r="E973" s="15"/>
      <c r="F973" s="28"/>
      <c r="G973" s="25" t="str">
        <f aca="true">IF(OR(D973="",E973=""),"",IFERROR(D973*INDEX(UnidadesFactor,MATCH(E973,Unidades,0)),""))</f>
        <v/>
      </c>
      <c r="H973" s="17" t="str">
        <f aca="false">IF(I973&lt;&gt;"OK","",IF(G973=0,"",F973/G973))</f>
        <v/>
      </c>
      <c r="I973" s="20" t="str">
        <f aca="true">IF(B973="","",IF(ISNA(MATCH(B973,ListaInsumos,0)),"Insumo no está en Insumos",IF(OR(D973="",E973="",F973=""),"Faltan datos",IF(INDEX(UnidadesBase,MATCH(E973,Unidades,0))&lt;&gt;INDEX(InsBase,MATCH(B973,ListaInsumos,0)),"Unidad incompatible",IF(A973="","Falta fecha","OK")))))</f>
        <v/>
      </c>
      <c r="J973" s="15"/>
    </row>
    <row r="974" customFormat="false" ht="15" hidden="false" customHeight="false" outlineLevel="0" collapsed="false">
      <c r="A974" s="26"/>
      <c r="B974" s="15"/>
      <c r="C974" s="15"/>
      <c r="D974" s="27"/>
      <c r="E974" s="15"/>
      <c r="F974" s="28"/>
      <c r="G974" s="25" t="str">
        <f aca="true">IF(OR(D974="",E974=""),"",IFERROR(D974*INDEX(UnidadesFactor,MATCH(E974,Unidades,0)),""))</f>
        <v/>
      </c>
      <c r="H974" s="17" t="str">
        <f aca="false">IF(I974&lt;&gt;"OK","",IF(G974=0,"",F974/G974))</f>
        <v/>
      </c>
      <c r="I974" s="20" t="str">
        <f aca="true">IF(B974="","",IF(ISNA(MATCH(B974,ListaInsumos,0)),"Insumo no está en Insumos",IF(OR(D974="",E974="",F974=""),"Faltan datos",IF(INDEX(UnidadesBase,MATCH(E974,Unidades,0))&lt;&gt;INDEX(InsBase,MATCH(B974,ListaInsumos,0)),"Unidad incompatible",IF(A974="","Falta fecha","OK")))))</f>
        <v/>
      </c>
      <c r="J974" s="15"/>
    </row>
    <row r="975" customFormat="false" ht="15" hidden="false" customHeight="false" outlineLevel="0" collapsed="false">
      <c r="A975" s="26"/>
      <c r="B975" s="15"/>
      <c r="C975" s="15"/>
      <c r="D975" s="27"/>
      <c r="E975" s="15"/>
      <c r="F975" s="28"/>
      <c r="G975" s="25" t="str">
        <f aca="true">IF(OR(D975="",E975=""),"",IFERROR(D975*INDEX(UnidadesFactor,MATCH(E975,Unidades,0)),""))</f>
        <v/>
      </c>
      <c r="H975" s="17" t="str">
        <f aca="false">IF(I975&lt;&gt;"OK","",IF(G975=0,"",F975/G975))</f>
        <v/>
      </c>
      <c r="I975" s="20" t="str">
        <f aca="true">IF(B975="","",IF(ISNA(MATCH(B975,ListaInsumos,0)),"Insumo no está en Insumos",IF(OR(D975="",E975="",F975=""),"Faltan datos",IF(INDEX(UnidadesBase,MATCH(E975,Unidades,0))&lt;&gt;INDEX(InsBase,MATCH(B975,ListaInsumos,0)),"Unidad incompatible",IF(A975="","Falta fecha","OK")))))</f>
        <v/>
      </c>
      <c r="J975" s="15"/>
    </row>
    <row r="976" customFormat="false" ht="15" hidden="false" customHeight="false" outlineLevel="0" collapsed="false">
      <c r="A976" s="26"/>
      <c r="B976" s="15"/>
      <c r="C976" s="15"/>
      <c r="D976" s="27"/>
      <c r="E976" s="15"/>
      <c r="F976" s="28"/>
      <c r="G976" s="25" t="str">
        <f aca="true">IF(OR(D976="",E976=""),"",IFERROR(D976*INDEX(UnidadesFactor,MATCH(E976,Unidades,0)),""))</f>
        <v/>
      </c>
      <c r="H976" s="17" t="str">
        <f aca="false">IF(I976&lt;&gt;"OK","",IF(G976=0,"",F976/G976))</f>
        <v/>
      </c>
      <c r="I976" s="20" t="str">
        <f aca="true">IF(B976="","",IF(ISNA(MATCH(B976,ListaInsumos,0)),"Insumo no está en Insumos",IF(OR(D976="",E976="",F976=""),"Faltan datos",IF(INDEX(UnidadesBase,MATCH(E976,Unidades,0))&lt;&gt;INDEX(InsBase,MATCH(B976,ListaInsumos,0)),"Unidad incompatible",IF(A976="","Falta fecha","OK")))))</f>
        <v/>
      </c>
      <c r="J976" s="15"/>
    </row>
    <row r="977" customFormat="false" ht="15" hidden="false" customHeight="false" outlineLevel="0" collapsed="false">
      <c r="A977" s="26"/>
      <c r="B977" s="15"/>
      <c r="C977" s="15"/>
      <c r="D977" s="27"/>
      <c r="E977" s="15"/>
      <c r="F977" s="28"/>
      <c r="G977" s="25" t="str">
        <f aca="true">IF(OR(D977="",E977=""),"",IFERROR(D977*INDEX(UnidadesFactor,MATCH(E977,Unidades,0)),""))</f>
        <v/>
      </c>
      <c r="H977" s="17" t="str">
        <f aca="false">IF(I977&lt;&gt;"OK","",IF(G977=0,"",F977/G977))</f>
        <v/>
      </c>
      <c r="I977" s="20" t="str">
        <f aca="true">IF(B977="","",IF(ISNA(MATCH(B977,ListaInsumos,0)),"Insumo no está en Insumos",IF(OR(D977="",E977="",F977=""),"Faltan datos",IF(INDEX(UnidadesBase,MATCH(E977,Unidades,0))&lt;&gt;INDEX(InsBase,MATCH(B977,ListaInsumos,0)),"Unidad incompatible",IF(A977="","Falta fecha","OK")))))</f>
        <v/>
      </c>
      <c r="J977" s="15"/>
    </row>
    <row r="978" customFormat="false" ht="15" hidden="false" customHeight="false" outlineLevel="0" collapsed="false">
      <c r="A978" s="26"/>
      <c r="B978" s="15"/>
      <c r="C978" s="15"/>
      <c r="D978" s="27"/>
      <c r="E978" s="15"/>
      <c r="F978" s="28"/>
      <c r="G978" s="25" t="str">
        <f aca="true">IF(OR(D978="",E978=""),"",IFERROR(D978*INDEX(UnidadesFactor,MATCH(E978,Unidades,0)),""))</f>
        <v/>
      </c>
      <c r="H978" s="17" t="str">
        <f aca="false">IF(I978&lt;&gt;"OK","",IF(G978=0,"",F978/G978))</f>
        <v/>
      </c>
      <c r="I978" s="20" t="str">
        <f aca="true">IF(B978="","",IF(ISNA(MATCH(B978,ListaInsumos,0)),"Insumo no está en Insumos",IF(OR(D978="",E978="",F978=""),"Faltan datos",IF(INDEX(UnidadesBase,MATCH(E978,Unidades,0))&lt;&gt;INDEX(InsBase,MATCH(B978,ListaInsumos,0)),"Unidad incompatible",IF(A978="","Falta fecha","OK")))))</f>
        <v/>
      </c>
      <c r="J978" s="15"/>
    </row>
    <row r="979" customFormat="false" ht="15" hidden="false" customHeight="false" outlineLevel="0" collapsed="false">
      <c r="A979" s="26"/>
      <c r="B979" s="15"/>
      <c r="C979" s="15"/>
      <c r="D979" s="27"/>
      <c r="E979" s="15"/>
      <c r="F979" s="28"/>
      <c r="G979" s="25" t="str">
        <f aca="true">IF(OR(D979="",E979=""),"",IFERROR(D979*INDEX(UnidadesFactor,MATCH(E979,Unidades,0)),""))</f>
        <v/>
      </c>
      <c r="H979" s="17" t="str">
        <f aca="false">IF(I979&lt;&gt;"OK","",IF(G979=0,"",F979/G979))</f>
        <v/>
      </c>
      <c r="I979" s="20" t="str">
        <f aca="true">IF(B979="","",IF(ISNA(MATCH(B979,ListaInsumos,0)),"Insumo no está en Insumos",IF(OR(D979="",E979="",F979=""),"Faltan datos",IF(INDEX(UnidadesBase,MATCH(E979,Unidades,0))&lt;&gt;INDEX(InsBase,MATCH(B979,ListaInsumos,0)),"Unidad incompatible",IF(A979="","Falta fecha","OK")))))</f>
        <v/>
      </c>
      <c r="J979" s="15"/>
    </row>
    <row r="980" customFormat="false" ht="15" hidden="false" customHeight="false" outlineLevel="0" collapsed="false">
      <c r="A980" s="26"/>
      <c r="B980" s="15"/>
      <c r="C980" s="15"/>
      <c r="D980" s="27"/>
      <c r="E980" s="15"/>
      <c r="F980" s="28"/>
      <c r="G980" s="25" t="str">
        <f aca="true">IF(OR(D980="",E980=""),"",IFERROR(D980*INDEX(UnidadesFactor,MATCH(E980,Unidades,0)),""))</f>
        <v/>
      </c>
      <c r="H980" s="17" t="str">
        <f aca="false">IF(I980&lt;&gt;"OK","",IF(G980=0,"",F980/G980))</f>
        <v/>
      </c>
      <c r="I980" s="20" t="str">
        <f aca="true">IF(B980="","",IF(ISNA(MATCH(B980,ListaInsumos,0)),"Insumo no está en Insumos",IF(OR(D980="",E980="",F980=""),"Faltan datos",IF(INDEX(UnidadesBase,MATCH(E980,Unidades,0))&lt;&gt;INDEX(InsBase,MATCH(B980,ListaInsumos,0)),"Unidad incompatible",IF(A980="","Falta fecha","OK")))))</f>
        <v/>
      </c>
      <c r="J980" s="15"/>
    </row>
    <row r="981" customFormat="false" ht="15" hidden="false" customHeight="false" outlineLevel="0" collapsed="false">
      <c r="A981" s="26"/>
      <c r="B981" s="15"/>
      <c r="C981" s="15"/>
      <c r="D981" s="27"/>
      <c r="E981" s="15"/>
      <c r="F981" s="28"/>
      <c r="G981" s="25" t="str">
        <f aca="true">IF(OR(D981="",E981=""),"",IFERROR(D981*INDEX(UnidadesFactor,MATCH(E981,Unidades,0)),""))</f>
        <v/>
      </c>
      <c r="H981" s="17" t="str">
        <f aca="false">IF(I981&lt;&gt;"OK","",IF(G981=0,"",F981/G981))</f>
        <v/>
      </c>
      <c r="I981" s="20" t="str">
        <f aca="true">IF(B981="","",IF(ISNA(MATCH(B981,ListaInsumos,0)),"Insumo no está en Insumos",IF(OR(D981="",E981="",F981=""),"Faltan datos",IF(INDEX(UnidadesBase,MATCH(E981,Unidades,0))&lt;&gt;INDEX(InsBase,MATCH(B981,ListaInsumos,0)),"Unidad incompatible",IF(A981="","Falta fecha","OK")))))</f>
        <v/>
      </c>
      <c r="J981" s="15"/>
    </row>
    <row r="982" customFormat="false" ht="15" hidden="false" customHeight="false" outlineLevel="0" collapsed="false">
      <c r="A982" s="26"/>
      <c r="B982" s="15"/>
      <c r="C982" s="15"/>
      <c r="D982" s="27"/>
      <c r="E982" s="15"/>
      <c r="F982" s="28"/>
      <c r="G982" s="25" t="str">
        <f aca="true">IF(OR(D982="",E982=""),"",IFERROR(D982*INDEX(UnidadesFactor,MATCH(E982,Unidades,0)),""))</f>
        <v/>
      </c>
      <c r="H982" s="17" t="str">
        <f aca="false">IF(I982&lt;&gt;"OK","",IF(G982=0,"",F982/G982))</f>
        <v/>
      </c>
      <c r="I982" s="20" t="str">
        <f aca="true">IF(B982="","",IF(ISNA(MATCH(B982,ListaInsumos,0)),"Insumo no está en Insumos",IF(OR(D982="",E982="",F982=""),"Faltan datos",IF(INDEX(UnidadesBase,MATCH(E982,Unidades,0))&lt;&gt;INDEX(InsBase,MATCH(B982,ListaInsumos,0)),"Unidad incompatible",IF(A982="","Falta fecha","OK")))))</f>
        <v/>
      </c>
      <c r="J982" s="15"/>
    </row>
    <row r="983" customFormat="false" ht="15" hidden="false" customHeight="false" outlineLevel="0" collapsed="false">
      <c r="A983" s="26"/>
      <c r="B983" s="15"/>
      <c r="C983" s="15"/>
      <c r="D983" s="27"/>
      <c r="E983" s="15"/>
      <c r="F983" s="28"/>
      <c r="G983" s="25" t="str">
        <f aca="true">IF(OR(D983="",E983=""),"",IFERROR(D983*INDEX(UnidadesFactor,MATCH(E983,Unidades,0)),""))</f>
        <v/>
      </c>
      <c r="H983" s="17" t="str">
        <f aca="false">IF(I983&lt;&gt;"OK","",IF(G983=0,"",F983/G983))</f>
        <v/>
      </c>
      <c r="I983" s="20" t="str">
        <f aca="true">IF(B983="","",IF(ISNA(MATCH(B983,ListaInsumos,0)),"Insumo no está en Insumos",IF(OR(D983="",E983="",F983=""),"Faltan datos",IF(INDEX(UnidadesBase,MATCH(E983,Unidades,0))&lt;&gt;INDEX(InsBase,MATCH(B983,ListaInsumos,0)),"Unidad incompatible",IF(A983="","Falta fecha","OK")))))</f>
        <v/>
      </c>
      <c r="J983" s="15"/>
    </row>
    <row r="984" customFormat="false" ht="15" hidden="false" customHeight="false" outlineLevel="0" collapsed="false">
      <c r="A984" s="26"/>
      <c r="B984" s="15"/>
      <c r="C984" s="15"/>
      <c r="D984" s="27"/>
      <c r="E984" s="15"/>
      <c r="F984" s="28"/>
      <c r="G984" s="25" t="str">
        <f aca="true">IF(OR(D984="",E984=""),"",IFERROR(D984*INDEX(UnidadesFactor,MATCH(E984,Unidades,0)),""))</f>
        <v/>
      </c>
      <c r="H984" s="17" t="str">
        <f aca="false">IF(I984&lt;&gt;"OK","",IF(G984=0,"",F984/G984))</f>
        <v/>
      </c>
      <c r="I984" s="20" t="str">
        <f aca="true">IF(B984="","",IF(ISNA(MATCH(B984,ListaInsumos,0)),"Insumo no está en Insumos",IF(OR(D984="",E984="",F984=""),"Faltan datos",IF(INDEX(UnidadesBase,MATCH(E984,Unidades,0))&lt;&gt;INDEX(InsBase,MATCH(B984,ListaInsumos,0)),"Unidad incompatible",IF(A984="","Falta fecha","OK")))))</f>
        <v/>
      </c>
      <c r="J984" s="15"/>
    </row>
    <row r="985" customFormat="false" ht="15" hidden="false" customHeight="false" outlineLevel="0" collapsed="false">
      <c r="A985" s="26"/>
      <c r="B985" s="15"/>
      <c r="C985" s="15"/>
      <c r="D985" s="27"/>
      <c r="E985" s="15"/>
      <c r="F985" s="28"/>
      <c r="G985" s="25" t="str">
        <f aca="true">IF(OR(D985="",E985=""),"",IFERROR(D985*INDEX(UnidadesFactor,MATCH(E985,Unidades,0)),""))</f>
        <v/>
      </c>
      <c r="H985" s="17" t="str">
        <f aca="false">IF(I985&lt;&gt;"OK","",IF(G985=0,"",F985/G985))</f>
        <v/>
      </c>
      <c r="I985" s="20" t="str">
        <f aca="true">IF(B985="","",IF(ISNA(MATCH(B985,ListaInsumos,0)),"Insumo no está en Insumos",IF(OR(D985="",E985="",F985=""),"Faltan datos",IF(INDEX(UnidadesBase,MATCH(E985,Unidades,0))&lt;&gt;INDEX(InsBase,MATCH(B985,ListaInsumos,0)),"Unidad incompatible",IF(A985="","Falta fecha","OK")))))</f>
        <v/>
      </c>
      <c r="J985" s="15"/>
    </row>
    <row r="986" customFormat="false" ht="15" hidden="false" customHeight="false" outlineLevel="0" collapsed="false">
      <c r="A986" s="26"/>
      <c r="B986" s="15"/>
      <c r="C986" s="15"/>
      <c r="D986" s="27"/>
      <c r="E986" s="15"/>
      <c r="F986" s="28"/>
      <c r="G986" s="25" t="str">
        <f aca="true">IF(OR(D986="",E986=""),"",IFERROR(D986*INDEX(UnidadesFactor,MATCH(E986,Unidades,0)),""))</f>
        <v/>
      </c>
      <c r="H986" s="17" t="str">
        <f aca="false">IF(I986&lt;&gt;"OK","",IF(G986=0,"",F986/G986))</f>
        <v/>
      </c>
      <c r="I986" s="20" t="str">
        <f aca="true">IF(B986="","",IF(ISNA(MATCH(B986,ListaInsumos,0)),"Insumo no está en Insumos",IF(OR(D986="",E986="",F986=""),"Faltan datos",IF(INDEX(UnidadesBase,MATCH(E986,Unidades,0))&lt;&gt;INDEX(InsBase,MATCH(B986,ListaInsumos,0)),"Unidad incompatible",IF(A986="","Falta fecha","OK")))))</f>
        <v/>
      </c>
      <c r="J986" s="15"/>
    </row>
    <row r="987" customFormat="false" ht="15" hidden="false" customHeight="false" outlineLevel="0" collapsed="false">
      <c r="A987" s="26"/>
      <c r="B987" s="15"/>
      <c r="C987" s="15"/>
      <c r="D987" s="27"/>
      <c r="E987" s="15"/>
      <c r="F987" s="28"/>
      <c r="G987" s="25" t="str">
        <f aca="true">IF(OR(D987="",E987=""),"",IFERROR(D987*INDEX(UnidadesFactor,MATCH(E987,Unidades,0)),""))</f>
        <v/>
      </c>
      <c r="H987" s="17" t="str">
        <f aca="false">IF(I987&lt;&gt;"OK","",IF(G987=0,"",F987/G987))</f>
        <v/>
      </c>
      <c r="I987" s="20" t="str">
        <f aca="true">IF(B987="","",IF(ISNA(MATCH(B987,ListaInsumos,0)),"Insumo no está en Insumos",IF(OR(D987="",E987="",F987=""),"Faltan datos",IF(INDEX(UnidadesBase,MATCH(E987,Unidades,0))&lt;&gt;INDEX(InsBase,MATCH(B987,ListaInsumos,0)),"Unidad incompatible",IF(A987="","Falta fecha","OK")))))</f>
        <v/>
      </c>
      <c r="J987" s="15"/>
    </row>
    <row r="988" customFormat="false" ht="15" hidden="false" customHeight="false" outlineLevel="0" collapsed="false">
      <c r="A988" s="26"/>
      <c r="B988" s="15"/>
      <c r="C988" s="15"/>
      <c r="D988" s="27"/>
      <c r="E988" s="15"/>
      <c r="F988" s="28"/>
      <c r="G988" s="25" t="str">
        <f aca="true">IF(OR(D988="",E988=""),"",IFERROR(D988*INDEX(UnidadesFactor,MATCH(E988,Unidades,0)),""))</f>
        <v/>
      </c>
      <c r="H988" s="17" t="str">
        <f aca="false">IF(I988&lt;&gt;"OK","",IF(G988=0,"",F988/G988))</f>
        <v/>
      </c>
      <c r="I988" s="20" t="str">
        <f aca="true">IF(B988="","",IF(ISNA(MATCH(B988,ListaInsumos,0)),"Insumo no está en Insumos",IF(OR(D988="",E988="",F988=""),"Faltan datos",IF(INDEX(UnidadesBase,MATCH(E988,Unidades,0))&lt;&gt;INDEX(InsBase,MATCH(B988,ListaInsumos,0)),"Unidad incompatible",IF(A988="","Falta fecha","OK")))))</f>
        <v/>
      </c>
      <c r="J988" s="15"/>
    </row>
    <row r="989" customFormat="false" ht="15" hidden="false" customHeight="false" outlineLevel="0" collapsed="false">
      <c r="A989" s="26"/>
      <c r="B989" s="15"/>
      <c r="C989" s="15"/>
      <c r="D989" s="27"/>
      <c r="E989" s="15"/>
      <c r="F989" s="28"/>
      <c r="G989" s="25" t="str">
        <f aca="true">IF(OR(D989="",E989=""),"",IFERROR(D989*INDEX(UnidadesFactor,MATCH(E989,Unidades,0)),""))</f>
        <v/>
      </c>
      <c r="H989" s="17" t="str">
        <f aca="false">IF(I989&lt;&gt;"OK","",IF(G989=0,"",F989/G989))</f>
        <v/>
      </c>
      <c r="I989" s="20" t="str">
        <f aca="true">IF(B989="","",IF(ISNA(MATCH(B989,ListaInsumos,0)),"Insumo no está en Insumos",IF(OR(D989="",E989="",F989=""),"Faltan datos",IF(INDEX(UnidadesBase,MATCH(E989,Unidades,0))&lt;&gt;INDEX(InsBase,MATCH(B989,ListaInsumos,0)),"Unidad incompatible",IF(A989="","Falta fecha","OK")))))</f>
        <v/>
      </c>
      <c r="J989" s="15"/>
    </row>
    <row r="990" customFormat="false" ht="15" hidden="false" customHeight="false" outlineLevel="0" collapsed="false">
      <c r="A990" s="26"/>
      <c r="B990" s="15"/>
      <c r="C990" s="15"/>
      <c r="D990" s="27"/>
      <c r="E990" s="15"/>
      <c r="F990" s="28"/>
      <c r="G990" s="25" t="str">
        <f aca="true">IF(OR(D990="",E990=""),"",IFERROR(D990*INDEX(UnidadesFactor,MATCH(E990,Unidades,0)),""))</f>
        <v/>
      </c>
      <c r="H990" s="17" t="str">
        <f aca="false">IF(I990&lt;&gt;"OK","",IF(G990=0,"",F990/G990))</f>
        <v/>
      </c>
      <c r="I990" s="20" t="str">
        <f aca="true">IF(B990="","",IF(ISNA(MATCH(B990,ListaInsumos,0)),"Insumo no está en Insumos",IF(OR(D990="",E990="",F990=""),"Faltan datos",IF(INDEX(UnidadesBase,MATCH(E990,Unidades,0))&lt;&gt;INDEX(InsBase,MATCH(B990,ListaInsumos,0)),"Unidad incompatible",IF(A990="","Falta fecha","OK")))))</f>
        <v/>
      </c>
      <c r="J990" s="15"/>
    </row>
    <row r="991" customFormat="false" ht="15" hidden="false" customHeight="false" outlineLevel="0" collapsed="false">
      <c r="A991" s="26"/>
      <c r="B991" s="15"/>
      <c r="C991" s="15"/>
      <c r="D991" s="27"/>
      <c r="E991" s="15"/>
      <c r="F991" s="28"/>
      <c r="G991" s="25" t="str">
        <f aca="true">IF(OR(D991="",E991=""),"",IFERROR(D991*INDEX(UnidadesFactor,MATCH(E991,Unidades,0)),""))</f>
        <v/>
      </c>
      <c r="H991" s="17" t="str">
        <f aca="false">IF(I991&lt;&gt;"OK","",IF(G991=0,"",F991/G991))</f>
        <v/>
      </c>
      <c r="I991" s="20" t="str">
        <f aca="true">IF(B991="","",IF(ISNA(MATCH(B991,ListaInsumos,0)),"Insumo no está en Insumos",IF(OR(D991="",E991="",F991=""),"Faltan datos",IF(INDEX(UnidadesBase,MATCH(E991,Unidades,0))&lt;&gt;INDEX(InsBase,MATCH(B991,ListaInsumos,0)),"Unidad incompatible",IF(A991="","Falta fecha","OK")))))</f>
        <v/>
      </c>
      <c r="J991" s="15"/>
    </row>
    <row r="992" customFormat="false" ht="15" hidden="false" customHeight="false" outlineLevel="0" collapsed="false">
      <c r="A992" s="26"/>
      <c r="B992" s="15"/>
      <c r="C992" s="15"/>
      <c r="D992" s="27"/>
      <c r="E992" s="15"/>
      <c r="F992" s="28"/>
      <c r="G992" s="25" t="str">
        <f aca="true">IF(OR(D992="",E992=""),"",IFERROR(D992*INDEX(UnidadesFactor,MATCH(E992,Unidades,0)),""))</f>
        <v/>
      </c>
      <c r="H992" s="17" t="str">
        <f aca="false">IF(I992&lt;&gt;"OK","",IF(G992=0,"",F992/G992))</f>
        <v/>
      </c>
      <c r="I992" s="20" t="str">
        <f aca="true">IF(B992="","",IF(ISNA(MATCH(B992,ListaInsumos,0)),"Insumo no está en Insumos",IF(OR(D992="",E992="",F992=""),"Faltan datos",IF(INDEX(UnidadesBase,MATCH(E992,Unidades,0))&lt;&gt;INDEX(InsBase,MATCH(B992,ListaInsumos,0)),"Unidad incompatible",IF(A992="","Falta fecha","OK")))))</f>
        <v/>
      </c>
      <c r="J992" s="15"/>
    </row>
    <row r="993" customFormat="false" ht="15" hidden="false" customHeight="false" outlineLevel="0" collapsed="false">
      <c r="A993" s="26"/>
      <c r="B993" s="15"/>
      <c r="C993" s="15"/>
      <c r="D993" s="27"/>
      <c r="E993" s="15"/>
      <c r="F993" s="28"/>
      <c r="G993" s="25" t="str">
        <f aca="true">IF(OR(D993="",E993=""),"",IFERROR(D993*INDEX(UnidadesFactor,MATCH(E993,Unidades,0)),""))</f>
        <v/>
      </c>
      <c r="H993" s="17" t="str">
        <f aca="false">IF(I993&lt;&gt;"OK","",IF(G993=0,"",F993/G993))</f>
        <v/>
      </c>
      <c r="I993" s="20" t="str">
        <f aca="true">IF(B993="","",IF(ISNA(MATCH(B993,ListaInsumos,0)),"Insumo no está en Insumos",IF(OR(D993="",E993="",F993=""),"Faltan datos",IF(INDEX(UnidadesBase,MATCH(E993,Unidades,0))&lt;&gt;INDEX(InsBase,MATCH(B993,ListaInsumos,0)),"Unidad incompatible",IF(A993="","Falta fecha","OK")))))</f>
        <v/>
      </c>
      <c r="J993" s="15"/>
    </row>
    <row r="994" customFormat="false" ht="15" hidden="false" customHeight="false" outlineLevel="0" collapsed="false">
      <c r="A994" s="26"/>
      <c r="B994" s="15"/>
      <c r="C994" s="15"/>
      <c r="D994" s="27"/>
      <c r="E994" s="15"/>
      <c r="F994" s="28"/>
      <c r="G994" s="25" t="str">
        <f aca="true">IF(OR(D994="",E994=""),"",IFERROR(D994*INDEX(UnidadesFactor,MATCH(E994,Unidades,0)),""))</f>
        <v/>
      </c>
      <c r="H994" s="17" t="str">
        <f aca="false">IF(I994&lt;&gt;"OK","",IF(G994=0,"",F994/G994))</f>
        <v/>
      </c>
      <c r="I994" s="20" t="str">
        <f aca="true">IF(B994="","",IF(ISNA(MATCH(B994,ListaInsumos,0)),"Insumo no está en Insumos",IF(OR(D994="",E994="",F994=""),"Faltan datos",IF(INDEX(UnidadesBase,MATCH(E994,Unidades,0))&lt;&gt;INDEX(InsBase,MATCH(B994,ListaInsumos,0)),"Unidad incompatible",IF(A994="","Falta fecha","OK")))))</f>
        <v/>
      </c>
      <c r="J994" s="15"/>
    </row>
    <row r="995" customFormat="false" ht="15" hidden="false" customHeight="false" outlineLevel="0" collapsed="false">
      <c r="A995" s="26"/>
      <c r="B995" s="15"/>
      <c r="C995" s="15"/>
      <c r="D995" s="27"/>
      <c r="E995" s="15"/>
      <c r="F995" s="28"/>
      <c r="G995" s="25" t="str">
        <f aca="true">IF(OR(D995="",E995=""),"",IFERROR(D995*INDEX(UnidadesFactor,MATCH(E995,Unidades,0)),""))</f>
        <v/>
      </c>
      <c r="H995" s="17" t="str">
        <f aca="false">IF(I995&lt;&gt;"OK","",IF(G995=0,"",F995/G995))</f>
        <v/>
      </c>
      <c r="I995" s="20" t="str">
        <f aca="true">IF(B995="","",IF(ISNA(MATCH(B995,ListaInsumos,0)),"Insumo no está en Insumos",IF(OR(D995="",E995="",F995=""),"Faltan datos",IF(INDEX(UnidadesBase,MATCH(E995,Unidades,0))&lt;&gt;INDEX(InsBase,MATCH(B995,ListaInsumos,0)),"Unidad incompatible",IF(A995="","Falta fecha","OK")))))</f>
        <v/>
      </c>
      <c r="J995" s="15"/>
    </row>
    <row r="996" customFormat="false" ht="15" hidden="false" customHeight="false" outlineLevel="0" collapsed="false">
      <c r="A996" s="26"/>
      <c r="B996" s="15"/>
      <c r="C996" s="15"/>
      <c r="D996" s="27"/>
      <c r="E996" s="15"/>
      <c r="F996" s="28"/>
      <c r="G996" s="25" t="str">
        <f aca="true">IF(OR(D996="",E996=""),"",IFERROR(D996*INDEX(UnidadesFactor,MATCH(E996,Unidades,0)),""))</f>
        <v/>
      </c>
      <c r="H996" s="17" t="str">
        <f aca="false">IF(I996&lt;&gt;"OK","",IF(G996=0,"",F996/G996))</f>
        <v/>
      </c>
      <c r="I996" s="20" t="str">
        <f aca="true">IF(B996="","",IF(ISNA(MATCH(B996,ListaInsumos,0)),"Insumo no está en Insumos",IF(OR(D996="",E996="",F996=""),"Faltan datos",IF(INDEX(UnidadesBase,MATCH(E996,Unidades,0))&lt;&gt;INDEX(InsBase,MATCH(B996,ListaInsumos,0)),"Unidad incompatible",IF(A996="","Falta fecha","OK")))))</f>
        <v/>
      </c>
      <c r="J996" s="15"/>
    </row>
    <row r="997" customFormat="false" ht="15" hidden="false" customHeight="false" outlineLevel="0" collapsed="false">
      <c r="A997" s="26"/>
      <c r="B997" s="15"/>
      <c r="C997" s="15"/>
      <c r="D997" s="27"/>
      <c r="E997" s="15"/>
      <c r="F997" s="28"/>
      <c r="G997" s="25" t="str">
        <f aca="true">IF(OR(D997="",E997=""),"",IFERROR(D997*INDEX(UnidadesFactor,MATCH(E997,Unidades,0)),""))</f>
        <v/>
      </c>
      <c r="H997" s="17" t="str">
        <f aca="false">IF(I997&lt;&gt;"OK","",IF(G997=0,"",F997/G997))</f>
        <v/>
      </c>
      <c r="I997" s="20" t="str">
        <f aca="true">IF(B997="","",IF(ISNA(MATCH(B997,ListaInsumos,0)),"Insumo no está en Insumos",IF(OR(D997="",E997="",F997=""),"Faltan datos",IF(INDEX(UnidadesBase,MATCH(E997,Unidades,0))&lt;&gt;INDEX(InsBase,MATCH(B997,ListaInsumos,0)),"Unidad incompatible",IF(A997="","Falta fecha","OK")))))</f>
        <v/>
      </c>
      <c r="J997" s="15"/>
    </row>
    <row r="998" customFormat="false" ht="15" hidden="false" customHeight="false" outlineLevel="0" collapsed="false">
      <c r="A998" s="26"/>
      <c r="B998" s="15"/>
      <c r="C998" s="15"/>
      <c r="D998" s="27"/>
      <c r="E998" s="15"/>
      <c r="F998" s="28"/>
      <c r="G998" s="25" t="str">
        <f aca="true">IF(OR(D998="",E998=""),"",IFERROR(D998*INDEX(UnidadesFactor,MATCH(E998,Unidades,0)),""))</f>
        <v/>
      </c>
      <c r="H998" s="17" t="str">
        <f aca="false">IF(I998&lt;&gt;"OK","",IF(G998=0,"",F998/G998))</f>
        <v/>
      </c>
      <c r="I998" s="20" t="str">
        <f aca="true">IF(B998="","",IF(ISNA(MATCH(B998,ListaInsumos,0)),"Insumo no está en Insumos",IF(OR(D998="",E998="",F998=""),"Faltan datos",IF(INDEX(UnidadesBase,MATCH(E998,Unidades,0))&lt;&gt;INDEX(InsBase,MATCH(B998,ListaInsumos,0)),"Unidad incompatible",IF(A998="","Falta fecha","OK")))))</f>
        <v/>
      </c>
      <c r="J998" s="15"/>
    </row>
    <row r="999" customFormat="false" ht="15" hidden="false" customHeight="false" outlineLevel="0" collapsed="false">
      <c r="A999" s="26"/>
      <c r="B999" s="15"/>
      <c r="C999" s="15"/>
      <c r="D999" s="27"/>
      <c r="E999" s="15"/>
      <c r="F999" s="28"/>
      <c r="G999" s="25" t="str">
        <f aca="true">IF(OR(D999="",E999=""),"",IFERROR(D999*INDEX(UnidadesFactor,MATCH(E999,Unidades,0)),""))</f>
        <v/>
      </c>
      <c r="H999" s="17" t="str">
        <f aca="false">IF(I999&lt;&gt;"OK","",IF(G999=0,"",F999/G999))</f>
        <v/>
      </c>
      <c r="I999" s="20" t="str">
        <f aca="true">IF(B999="","",IF(ISNA(MATCH(B999,ListaInsumos,0)),"Insumo no está en Insumos",IF(OR(D999="",E999="",F999=""),"Faltan datos",IF(INDEX(UnidadesBase,MATCH(E999,Unidades,0))&lt;&gt;INDEX(InsBase,MATCH(B999,ListaInsumos,0)),"Unidad incompatible",IF(A999="","Falta fecha","OK")))))</f>
        <v/>
      </c>
      <c r="J999" s="15"/>
    </row>
    <row r="1000" customFormat="false" ht="15" hidden="false" customHeight="false" outlineLevel="0" collapsed="false">
      <c r="A1000" s="26"/>
      <c r="B1000" s="15"/>
      <c r="C1000" s="15"/>
      <c r="D1000" s="27"/>
      <c r="E1000" s="15"/>
      <c r="F1000" s="28"/>
      <c r="G1000" s="25" t="str">
        <f aca="true">IF(OR(D1000="",E1000=""),"",IFERROR(D1000*INDEX(UnidadesFactor,MATCH(E1000,Unidades,0)),""))</f>
        <v/>
      </c>
      <c r="H1000" s="17" t="str">
        <f aca="false">IF(I1000&lt;&gt;"OK","",IF(G1000=0,"",F1000/G1000))</f>
        <v/>
      </c>
      <c r="I1000" s="20" t="str">
        <f aca="true">IF(B1000="","",IF(ISNA(MATCH(B1000,ListaInsumos,0)),"Insumo no está en Insumos",IF(OR(D1000="",E1000="",F1000=""),"Faltan datos",IF(INDEX(UnidadesBase,MATCH(E1000,Unidades,0))&lt;&gt;INDEX(InsBase,MATCH(B1000,ListaInsumos,0)),"Unidad incompatible",IF(A1000="","Falta fecha","OK")))))</f>
        <v/>
      </c>
      <c r="J1000" s="15"/>
    </row>
    <row r="1001" customFormat="false" ht="15" hidden="false" customHeight="false" outlineLevel="0" collapsed="false">
      <c r="A1001" s="26"/>
      <c r="B1001" s="15"/>
      <c r="C1001" s="15"/>
      <c r="D1001" s="27"/>
      <c r="E1001" s="15"/>
      <c r="F1001" s="28"/>
      <c r="G1001" s="25" t="str">
        <f aca="true">IF(OR(D1001="",E1001=""),"",IFERROR(D1001*INDEX(UnidadesFactor,MATCH(E1001,Unidades,0)),""))</f>
        <v/>
      </c>
      <c r="H1001" s="17" t="str">
        <f aca="false">IF(I1001&lt;&gt;"OK","",IF(G1001=0,"",F1001/G1001))</f>
        <v/>
      </c>
      <c r="I1001" s="20" t="str">
        <f aca="true">IF(B1001="","",IF(ISNA(MATCH(B1001,ListaInsumos,0)),"Insumo no está en Insumos",IF(OR(D1001="",E1001="",F1001=""),"Faltan datos",IF(INDEX(UnidadesBase,MATCH(E1001,Unidades,0))&lt;&gt;INDEX(InsBase,MATCH(B1001,ListaInsumos,0)),"Unidad incompatible",IF(A1001="","Falta fecha","OK")))))</f>
        <v/>
      </c>
      <c r="J1001" s="15"/>
    </row>
    <row r="1002" customFormat="false" ht="15" hidden="false" customHeight="false" outlineLevel="0" collapsed="false">
      <c r="A1002" s="26"/>
      <c r="B1002" s="15"/>
      <c r="C1002" s="15"/>
      <c r="D1002" s="27"/>
      <c r="E1002" s="15"/>
      <c r="F1002" s="28"/>
      <c r="G1002" s="25" t="str">
        <f aca="true">IF(OR(D1002="",E1002=""),"",IFERROR(D1002*INDEX(UnidadesFactor,MATCH(E1002,Unidades,0)),""))</f>
        <v/>
      </c>
      <c r="H1002" s="17" t="str">
        <f aca="false">IF(I1002&lt;&gt;"OK","",IF(G1002=0,"",F1002/G1002))</f>
        <v/>
      </c>
      <c r="I1002" s="20" t="str">
        <f aca="true">IF(B1002="","",IF(ISNA(MATCH(B1002,ListaInsumos,0)),"Insumo no está en Insumos",IF(OR(D1002="",E1002="",F1002=""),"Faltan datos",IF(INDEX(UnidadesBase,MATCH(E1002,Unidades,0))&lt;&gt;INDEX(InsBase,MATCH(B1002,ListaInsumos,0)),"Unidad incompatible",IF(A1002="","Falta fecha","OK")))))</f>
        <v/>
      </c>
      <c r="J1002" s="15"/>
    </row>
    <row r="1003" customFormat="false" ht="15" hidden="false" customHeight="false" outlineLevel="0" collapsed="false">
      <c r="A1003" s="26"/>
      <c r="B1003" s="15"/>
      <c r="C1003" s="15"/>
      <c r="D1003" s="27"/>
      <c r="E1003" s="15"/>
      <c r="F1003" s="28"/>
      <c r="G1003" s="25" t="str">
        <f aca="true">IF(OR(D1003="",E1003=""),"",IFERROR(D1003*INDEX(UnidadesFactor,MATCH(E1003,Unidades,0)),""))</f>
        <v/>
      </c>
      <c r="H1003" s="17" t="str">
        <f aca="false">IF(I1003&lt;&gt;"OK","",IF(G1003=0,"",F1003/G1003))</f>
        <v/>
      </c>
      <c r="I1003" s="20" t="str">
        <f aca="true">IF(B1003="","",IF(ISNA(MATCH(B1003,ListaInsumos,0)),"Insumo no está en Insumos",IF(OR(D1003="",E1003="",F1003=""),"Faltan datos",IF(INDEX(UnidadesBase,MATCH(E1003,Unidades,0))&lt;&gt;INDEX(InsBase,MATCH(B1003,ListaInsumos,0)),"Unidad incompatible",IF(A1003="","Falta fecha","OK")))))</f>
        <v/>
      </c>
      <c r="J1003" s="15"/>
    </row>
    <row r="1004" customFormat="false" ht="15" hidden="false" customHeight="false" outlineLevel="0" collapsed="false">
      <c r="A1004" s="26"/>
      <c r="B1004" s="15"/>
      <c r="C1004" s="15"/>
      <c r="D1004" s="27"/>
      <c r="E1004" s="15"/>
      <c r="F1004" s="28"/>
      <c r="G1004" s="25" t="str">
        <f aca="true">IF(OR(D1004="",E1004=""),"",IFERROR(D1004*INDEX(UnidadesFactor,MATCH(E1004,Unidades,0)),""))</f>
        <v/>
      </c>
      <c r="H1004" s="17" t="str">
        <f aca="false">IF(I1004&lt;&gt;"OK","",IF(G1004=0,"",F1004/G1004))</f>
        <v/>
      </c>
      <c r="I1004" s="20" t="str">
        <f aca="true">IF(B1004="","",IF(ISNA(MATCH(B1004,ListaInsumos,0)),"Insumo no está en Insumos",IF(OR(D1004="",E1004="",F1004=""),"Faltan datos",IF(INDEX(UnidadesBase,MATCH(E1004,Unidades,0))&lt;&gt;INDEX(InsBase,MATCH(B1004,ListaInsumos,0)),"Unidad incompatible",IF(A1004="","Falta fecha","OK")))))</f>
        <v/>
      </c>
      <c r="J1004" s="15"/>
    </row>
    <row r="1005" customFormat="false" ht="15" hidden="false" customHeight="false" outlineLevel="0" collapsed="false">
      <c r="A1005" s="26"/>
      <c r="B1005" s="15"/>
      <c r="C1005" s="15"/>
      <c r="D1005" s="27"/>
      <c r="E1005" s="15"/>
      <c r="F1005" s="28"/>
      <c r="G1005" s="25" t="str">
        <f aca="true">IF(OR(D1005="",E1005=""),"",IFERROR(D1005*INDEX(UnidadesFactor,MATCH(E1005,Unidades,0)),""))</f>
        <v/>
      </c>
      <c r="H1005" s="17" t="str">
        <f aca="false">IF(I1005&lt;&gt;"OK","",IF(G1005=0,"",F1005/G1005))</f>
        <v/>
      </c>
      <c r="I1005" s="20" t="str">
        <f aca="true">IF(B1005="","",IF(ISNA(MATCH(B1005,ListaInsumos,0)),"Insumo no está en Insumos",IF(OR(D1005="",E1005="",F1005=""),"Faltan datos",IF(INDEX(UnidadesBase,MATCH(E1005,Unidades,0))&lt;&gt;INDEX(InsBase,MATCH(B1005,ListaInsumos,0)),"Unidad incompatible",IF(A1005="","Falta fecha","OK")))))</f>
        <v/>
      </c>
      <c r="J1005" s="15"/>
    </row>
    <row r="1006" customFormat="false" ht="15" hidden="false" customHeight="false" outlineLevel="0" collapsed="false">
      <c r="A1006" s="26"/>
      <c r="B1006" s="15"/>
      <c r="C1006" s="15"/>
      <c r="D1006" s="27"/>
      <c r="E1006" s="15"/>
      <c r="F1006" s="28"/>
      <c r="G1006" s="25" t="str">
        <f aca="true">IF(OR(D1006="",E1006=""),"",IFERROR(D1006*INDEX(UnidadesFactor,MATCH(E1006,Unidades,0)),""))</f>
        <v/>
      </c>
      <c r="H1006" s="17" t="str">
        <f aca="false">IF(I1006&lt;&gt;"OK","",IF(G1006=0,"",F1006/G1006))</f>
        <v/>
      </c>
      <c r="I1006" s="20" t="str">
        <f aca="true">IF(B1006="","",IF(ISNA(MATCH(B1006,ListaInsumos,0)),"Insumo no está en Insumos",IF(OR(D1006="",E1006="",F1006=""),"Faltan datos",IF(INDEX(UnidadesBase,MATCH(E1006,Unidades,0))&lt;&gt;INDEX(InsBase,MATCH(B1006,ListaInsumos,0)),"Unidad incompatible",IF(A1006="","Falta fecha","OK")))))</f>
        <v/>
      </c>
      <c r="J1006" s="15"/>
    </row>
    <row r="1007" customFormat="false" ht="15" hidden="false" customHeight="false" outlineLevel="0" collapsed="false">
      <c r="A1007" s="26"/>
      <c r="B1007" s="15"/>
      <c r="C1007" s="15"/>
      <c r="D1007" s="27"/>
      <c r="E1007" s="15"/>
      <c r="F1007" s="28"/>
      <c r="G1007" s="25" t="str">
        <f aca="true">IF(OR(D1007="",E1007=""),"",IFERROR(D1007*INDEX(UnidadesFactor,MATCH(E1007,Unidades,0)),""))</f>
        <v/>
      </c>
      <c r="H1007" s="17" t="str">
        <f aca="false">IF(I1007&lt;&gt;"OK","",IF(G1007=0,"",F1007/G1007))</f>
        <v/>
      </c>
      <c r="I1007" s="20" t="str">
        <f aca="true">IF(B1007="","",IF(ISNA(MATCH(B1007,ListaInsumos,0)),"Insumo no está en Insumos",IF(OR(D1007="",E1007="",F1007=""),"Faltan datos",IF(INDEX(UnidadesBase,MATCH(E1007,Unidades,0))&lt;&gt;INDEX(InsBase,MATCH(B1007,ListaInsumos,0)),"Unidad incompatible",IF(A1007="","Falta fecha","OK")))))</f>
        <v/>
      </c>
      <c r="J1007" s="15"/>
    </row>
    <row r="1008" customFormat="false" ht="15" hidden="false" customHeight="false" outlineLevel="0" collapsed="false">
      <c r="A1008" s="26"/>
      <c r="B1008" s="15"/>
      <c r="C1008" s="15"/>
      <c r="D1008" s="27"/>
      <c r="E1008" s="15"/>
      <c r="F1008" s="28"/>
      <c r="G1008" s="25" t="str">
        <f aca="true">IF(OR(D1008="",E1008=""),"",IFERROR(D1008*INDEX(UnidadesFactor,MATCH(E1008,Unidades,0)),""))</f>
        <v/>
      </c>
      <c r="H1008" s="17" t="str">
        <f aca="false">IF(I1008&lt;&gt;"OK","",IF(G1008=0,"",F1008/G1008))</f>
        <v/>
      </c>
      <c r="I1008" s="20" t="str">
        <f aca="true">IF(B1008="","",IF(ISNA(MATCH(B1008,ListaInsumos,0)),"Insumo no está en Insumos",IF(OR(D1008="",E1008="",F1008=""),"Faltan datos",IF(INDEX(UnidadesBase,MATCH(E1008,Unidades,0))&lt;&gt;INDEX(InsBase,MATCH(B1008,ListaInsumos,0)),"Unidad incompatible",IF(A1008="","Falta fecha","OK")))))</f>
        <v/>
      </c>
      <c r="J1008" s="15"/>
    </row>
    <row r="1009" customFormat="false" ht="15" hidden="false" customHeight="false" outlineLevel="0" collapsed="false">
      <c r="A1009" s="26"/>
      <c r="B1009" s="15"/>
      <c r="C1009" s="15"/>
      <c r="D1009" s="27"/>
      <c r="E1009" s="15"/>
      <c r="F1009" s="28"/>
      <c r="G1009" s="25" t="str">
        <f aca="true">IF(OR(D1009="",E1009=""),"",IFERROR(D1009*INDEX(UnidadesFactor,MATCH(E1009,Unidades,0)),""))</f>
        <v/>
      </c>
      <c r="H1009" s="17" t="str">
        <f aca="false">IF(I1009&lt;&gt;"OK","",IF(G1009=0,"",F1009/G1009))</f>
        <v/>
      </c>
      <c r="I1009" s="20" t="str">
        <f aca="true">IF(B1009="","",IF(ISNA(MATCH(B1009,ListaInsumos,0)),"Insumo no está en Insumos",IF(OR(D1009="",E1009="",F1009=""),"Faltan datos",IF(INDEX(UnidadesBase,MATCH(E1009,Unidades,0))&lt;&gt;INDEX(InsBase,MATCH(B1009,ListaInsumos,0)),"Unidad incompatible",IF(A1009="","Falta fecha","OK")))))</f>
        <v/>
      </c>
      <c r="J1009" s="15"/>
    </row>
    <row r="1010" customFormat="false" ht="15" hidden="false" customHeight="false" outlineLevel="0" collapsed="false">
      <c r="A1010" s="26"/>
      <c r="B1010" s="15"/>
      <c r="C1010" s="15"/>
      <c r="D1010" s="27"/>
      <c r="E1010" s="15"/>
      <c r="F1010" s="28"/>
      <c r="G1010" s="25" t="str">
        <f aca="true">IF(OR(D1010="",E1010=""),"",IFERROR(D1010*INDEX(UnidadesFactor,MATCH(E1010,Unidades,0)),""))</f>
        <v/>
      </c>
      <c r="H1010" s="17" t="str">
        <f aca="false">IF(I1010&lt;&gt;"OK","",IF(G1010=0,"",F1010/G1010))</f>
        <v/>
      </c>
      <c r="I1010" s="20" t="str">
        <f aca="true">IF(B1010="","",IF(ISNA(MATCH(B1010,ListaInsumos,0)),"Insumo no está en Insumos",IF(OR(D1010="",E1010="",F1010=""),"Faltan datos",IF(INDEX(UnidadesBase,MATCH(E1010,Unidades,0))&lt;&gt;INDEX(InsBase,MATCH(B1010,ListaInsumos,0)),"Unidad incompatible",IF(A1010="","Falta fecha","OK")))))</f>
        <v/>
      </c>
      <c r="J1010" s="15"/>
    </row>
    <row r="1011" customFormat="false" ht="15" hidden="false" customHeight="false" outlineLevel="0" collapsed="false">
      <c r="A1011" s="26"/>
      <c r="B1011" s="15"/>
      <c r="C1011" s="15"/>
      <c r="D1011" s="27"/>
      <c r="E1011" s="15"/>
      <c r="F1011" s="28"/>
      <c r="G1011" s="25" t="str">
        <f aca="true">IF(OR(D1011="",E1011=""),"",IFERROR(D1011*INDEX(UnidadesFactor,MATCH(E1011,Unidades,0)),""))</f>
        <v/>
      </c>
      <c r="H1011" s="17" t="str">
        <f aca="false">IF(I1011&lt;&gt;"OK","",IF(G1011=0,"",F1011/G1011))</f>
        <v/>
      </c>
      <c r="I1011" s="20" t="str">
        <f aca="true">IF(B1011="","",IF(ISNA(MATCH(B1011,ListaInsumos,0)),"Insumo no está en Insumos",IF(OR(D1011="",E1011="",F1011=""),"Faltan datos",IF(INDEX(UnidadesBase,MATCH(E1011,Unidades,0))&lt;&gt;INDEX(InsBase,MATCH(B1011,ListaInsumos,0)),"Unidad incompatible",IF(A1011="","Falta fecha","OK")))))</f>
        <v/>
      </c>
      <c r="J1011" s="15"/>
    </row>
    <row r="1012" customFormat="false" ht="15" hidden="false" customHeight="false" outlineLevel="0" collapsed="false">
      <c r="A1012" s="26"/>
      <c r="B1012" s="15"/>
      <c r="C1012" s="15"/>
      <c r="D1012" s="27"/>
      <c r="E1012" s="15"/>
      <c r="F1012" s="28"/>
      <c r="G1012" s="25" t="str">
        <f aca="true">IF(OR(D1012="",E1012=""),"",IFERROR(D1012*INDEX(UnidadesFactor,MATCH(E1012,Unidades,0)),""))</f>
        <v/>
      </c>
      <c r="H1012" s="17" t="str">
        <f aca="false">IF(I1012&lt;&gt;"OK","",IF(G1012=0,"",F1012/G1012))</f>
        <v/>
      </c>
      <c r="I1012" s="20" t="str">
        <f aca="true">IF(B1012="","",IF(ISNA(MATCH(B1012,ListaInsumos,0)),"Insumo no está en Insumos",IF(OR(D1012="",E1012="",F1012=""),"Faltan datos",IF(INDEX(UnidadesBase,MATCH(E1012,Unidades,0))&lt;&gt;INDEX(InsBase,MATCH(B1012,ListaInsumos,0)),"Unidad incompatible",IF(A1012="","Falta fecha","OK")))))</f>
        <v/>
      </c>
      <c r="J1012" s="15"/>
    </row>
    <row r="1013" customFormat="false" ht="15" hidden="false" customHeight="false" outlineLevel="0" collapsed="false">
      <c r="A1013" s="26"/>
      <c r="B1013" s="15"/>
      <c r="C1013" s="15"/>
      <c r="D1013" s="27"/>
      <c r="E1013" s="15"/>
      <c r="F1013" s="28"/>
      <c r="G1013" s="25" t="str">
        <f aca="true">IF(OR(D1013="",E1013=""),"",IFERROR(D1013*INDEX(UnidadesFactor,MATCH(E1013,Unidades,0)),""))</f>
        <v/>
      </c>
      <c r="H1013" s="17" t="str">
        <f aca="false">IF(I1013&lt;&gt;"OK","",IF(G1013=0,"",F1013/G1013))</f>
        <v/>
      </c>
      <c r="I1013" s="20" t="str">
        <f aca="true">IF(B1013="","",IF(ISNA(MATCH(B1013,ListaInsumos,0)),"Insumo no está en Insumos",IF(OR(D1013="",E1013="",F1013=""),"Faltan datos",IF(INDEX(UnidadesBase,MATCH(E1013,Unidades,0))&lt;&gt;INDEX(InsBase,MATCH(B1013,ListaInsumos,0)),"Unidad incompatible",IF(A1013="","Falta fecha","OK")))))</f>
        <v/>
      </c>
      <c r="J1013" s="15"/>
    </row>
    <row r="1014" customFormat="false" ht="15" hidden="false" customHeight="false" outlineLevel="0" collapsed="false">
      <c r="A1014" s="26"/>
      <c r="B1014" s="15"/>
      <c r="C1014" s="15"/>
      <c r="D1014" s="27"/>
      <c r="E1014" s="15"/>
      <c r="F1014" s="28"/>
      <c r="G1014" s="25" t="str">
        <f aca="true">IF(OR(D1014="",E1014=""),"",IFERROR(D1014*INDEX(UnidadesFactor,MATCH(E1014,Unidades,0)),""))</f>
        <v/>
      </c>
      <c r="H1014" s="17" t="str">
        <f aca="false">IF(I1014&lt;&gt;"OK","",IF(G1014=0,"",F1014/G1014))</f>
        <v/>
      </c>
      <c r="I1014" s="20" t="str">
        <f aca="true">IF(B1014="","",IF(ISNA(MATCH(B1014,ListaInsumos,0)),"Insumo no está en Insumos",IF(OR(D1014="",E1014="",F1014=""),"Faltan datos",IF(INDEX(UnidadesBase,MATCH(E1014,Unidades,0))&lt;&gt;INDEX(InsBase,MATCH(B1014,ListaInsumos,0)),"Unidad incompatible",IF(A1014="","Falta fecha","OK")))))</f>
        <v/>
      </c>
      <c r="J1014" s="15"/>
    </row>
    <row r="1015" customFormat="false" ht="15" hidden="false" customHeight="false" outlineLevel="0" collapsed="false">
      <c r="A1015" s="26"/>
      <c r="B1015" s="15"/>
      <c r="C1015" s="15"/>
      <c r="D1015" s="27"/>
      <c r="E1015" s="15"/>
      <c r="F1015" s="28"/>
      <c r="G1015" s="25" t="str">
        <f aca="true">IF(OR(D1015="",E1015=""),"",IFERROR(D1015*INDEX(UnidadesFactor,MATCH(E1015,Unidades,0)),""))</f>
        <v/>
      </c>
      <c r="H1015" s="17" t="str">
        <f aca="false">IF(I1015&lt;&gt;"OK","",IF(G1015=0,"",F1015/G1015))</f>
        <v/>
      </c>
      <c r="I1015" s="20" t="str">
        <f aca="true">IF(B1015="","",IF(ISNA(MATCH(B1015,ListaInsumos,0)),"Insumo no está en Insumos",IF(OR(D1015="",E1015="",F1015=""),"Faltan datos",IF(INDEX(UnidadesBase,MATCH(E1015,Unidades,0))&lt;&gt;INDEX(InsBase,MATCH(B1015,ListaInsumos,0)),"Unidad incompatible",IF(A1015="","Falta fecha","OK")))))</f>
        <v/>
      </c>
      <c r="J1015" s="15"/>
    </row>
    <row r="1016" customFormat="false" ht="15" hidden="false" customHeight="false" outlineLevel="0" collapsed="false">
      <c r="A1016" s="26"/>
      <c r="B1016" s="15"/>
      <c r="C1016" s="15"/>
      <c r="D1016" s="27"/>
      <c r="E1016" s="15"/>
      <c r="F1016" s="28"/>
      <c r="G1016" s="25" t="str">
        <f aca="true">IF(OR(D1016="",E1016=""),"",IFERROR(D1016*INDEX(UnidadesFactor,MATCH(E1016,Unidades,0)),""))</f>
        <v/>
      </c>
      <c r="H1016" s="17" t="str">
        <f aca="false">IF(I1016&lt;&gt;"OK","",IF(G1016=0,"",F1016/G1016))</f>
        <v/>
      </c>
      <c r="I1016" s="20" t="str">
        <f aca="true">IF(B1016="","",IF(ISNA(MATCH(B1016,ListaInsumos,0)),"Insumo no está en Insumos",IF(OR(D1016="",E1016="",F1016=""),"Faltan datos",IF(INDEX(UnidadesBase,MATCH(E1016,Unidades,0))&lt;&gt;INDEX(InsBase,MATCH(B1016,ListaInsumos,0)),"Unidad incompatible",IF(A1016="","Falta fecha","OK")))))</f>
        <v/>
      </c>
      <c r="J1016" s="15"/>
    </row>
    <row r="1017" customFormat="false" ht="15" hidden="false" customHeight="false" outlineLevel="0" collapsed="false">
      <c r="A1017" s="26"/>
      <c r="B1017" s="15"/>
      <c r="C1017" s="15"/>
      <c r="D1017" s="27"/>
      <c r="E1017" s="15"/>
      <c r="F1017" s="28"/>
      <c r="G1017" s="25" t="str">
        <f aca="true">IF(OR(D1017="",E1017=""),"",IFERROR(D1017*INDEX(UnidadesFactor,MATCH(E1017,Unidades,0)),""))</f>
        <v/>
      </c>
      <c r="H1017" s="17" t="str">
        <f aca="false">IF(I1017&lt;&gt;"OK","",IF(G1017=0,"",F1017/G1017))</f>
        <v/>
      </c>
      <c r="I1017" s="20" t="str">
        <f aca="true">IF(B1017="","",IF(ISNA(MATCH(B1017,ListaInsumos,0)),"Insumo no está en Insumos",IF(OR(D1017="",E1017="",F1017=""),"Faltan datos",IF(INDEX(UnidadesBase,MATCH(E1017,Unidades,0))&lt;&gt;INDEX(InsBase,MATCH(B1017,ListaInsumos,0)),"Unidad incompatible",IF(A1017="","Falta fecha","OK")))))</f>
        <v/>
      </c>
      <c r="J1017" s="15"/>
    </row>
    <row r="1018" customFormat="false" ht="15" hidden="false" customHeight="false" outlineLevel="0" collapsed="false">
      <c r="A1018" s="26"/>
      <c r="B1018" s="15"/>
      <c r="C1018" s="15"/>
      <c r="D1018" s="27"/>
      <c r="E1018" s="15"/>
      <c r="F1018" s="28"/>
      <c r="G1018" s="25" t="str">
        <f aca="true">IF(OR(D1018="",E1018=""),"",IFERROR(D1018*INDEX(UnidadesFactor,MATCH(E1018,Unidades,0)),""))</f>
        <v/>
      </c>
      <c r="H1018" s="17" t="str">
        <f aca="false">IF(I1018&lt;&gt;"OK","",IF(G1018=0,"",F1018/G1018))</f>
        <v/>
      </c>
      <c r="I1018" s="20" t="str">
        <f aca="true">IF(B1018="","",IF(ISNA(MATCH(B1018,ListaInsumos,0)),"Insumo no está en Insumos",IF(OR(D1018="",E1018="",F1018=""),"Faltan datos",IF(INDEX(UnidadesBase,MATCH(E1018,Unidades,0))&lt;&gt;INDEX(InsBase,MATCH(B1018,ListaInsumos,0)),"Unidad incompatible",IF(A1018="","Falta fecha","OK")))))</f>
        <v/>
      </c>
      <c r="J1018" s="15"/>
    </row>
    <row r="1019" customFormat="false" ht="15" hidden="false" customHeight="false" outlineLevel="0" collapsed="false">
      <c r="A1019" s="26"/>
      <c r="B1019" s="15"/>
      <c r="C1019" s="15"/>
      <c r="D1019" s="27"/>
      <c r="E1019" s="15"/>
      <c r="F1019" s="28"/>
      <c r="G1019" s="25" t="str">
        <f aca="true">IF(OR(D1019="",E1019=""),"",IFERROR(D1019*INDEX(UnidadesFactor,MATCH(E1019,Unidades,0)),""))</f>
        <v/>
      </c>
      <c r="H1019" s="17" t="str">
        <f aca="false">IF(I1019&lt;&gt;"OK","",IF(G1019=0,"",F1019/G1019))</f>
        <v/>
      </c>
      <c r="I1019" s="20" t="str">
        <f aca="true">IF(B1019="","",IF(ISNA(MATCH(B1019,ListaInsumos,0)),"Insumo no está en Insumos",IF(OR(D1019="",E1019="",F1019=""),"Faltan datos",IF(INDEX(UnidadesBase,MATCH(E1019,Unidades,0))&lt;&gt;INDEX(InsBase,MATCH(B1019,ListaInsumos,0)),"Unidad incompatible",IF(A1019="","Falta fecha","OK")))))</f>
        <v/>
      </c>
      <c r="J1019" s="15"/>
    </row>
    <row r="1020" customFormat="false" ht="15" hidden="false" customHeight="false" outlineLevel="0" collapsed="false">
      <c r="A1020" s="26"/>
      <c r="B1020" s="15"/>
      <c r="C1020" s="15"/>
      <c r="D1020" s="27"/>
      <c r="E1020" s="15"/>
      <c r="F1020" s="28"/>
      <c r="G1020" s="25" t="str">
        <f aca="true">IF(OR(D1020="",E1020=""),"",IFERROR(D1020*INDEX(UnidadesFactor,MATCH(E1020,Unidades,0)),""))</f>
        <v/>
      </c>
      <c r="H1020" s="17" t="str">
        <f aca="false">IF(I1020&lt;&gt;"OK","",IF(G1020=0,"",F1020/G1020))</f>
        <v/>
      </c>
      <c r="I1020" s="20" t="str">
        <f aca="true">IF(B1020="","",IF(ISNA(MATCH(B1020,ListaInsumos,0)),"Insumo no está en Insumos",IF(OR(D1020="",E1020="",F1020=""),"Faltan datos",IF(INDEX(UnidadesBase,MATCH(E1020,Unidades,0))&lt;&gt;INDEX(InsBase,MATCH(B1020,ListaInsumos,0)),"Unidad incompatible",IF(A1020="","Falta fecha","OK")))))</f>
        <v/>
      </c>
      <c r="J1020" s="15"/>
    </row>
    <row r="1021" customFormat="false" ht="15" hidden="false" customHeight="false" outlineLevel="0" collapsed="false">
      <c r="A1021" s="26"/>
      <c r="B1021" s="15"/>
      <c r="C1021" s="15"/>
      <c r="D1021" s="27"/>
      <c r="E1021" s="15"/>
      <c r="F1021" s="28"/>
      <c r="G1021" s="25" t="str">
        <f aca="true">IF(OR(D1021="",E1021=""),"",IFERROR(D1021*INDEX(UnidadesFactor,MATCH(E1021,Unidades,0)),""))</f>
        <v/>
      </c>
      <c r="H1021" s="17" t="str">
        <f aca="false">IF(I1021&lt;&gt;"OK","",IF(G1021=0,"",F1021/G1021))</f>
        <v/>
      </c>
      <c r="I1021" s="20" t="str">
        <f aca="true">IF(B1021="","",IF(ISNA(MATCH(B1021,ListaInsumos,0)),"Insumo no está en Insumos",IF(OR(D1021="",E1021="",F1021=""),"Faltan datos",IF(INDEX(UnidadesBase,MATCH(E1021,Unidades,0))&lt;&gt;INDEX(InsBase,MATCH(B1021,ListaInsumos,0)),"Unidad incompatible",IF(A1021="","Falta fecha","OK")))))</f>
        <v/>
      </c>
      <c r="J1021" s="15"/>
    </row>
    <row r="1022" customFormat="false" ht="15" hidden="false" customHeight="false" outlineLevel="0" collapsed="false">
      <c r="A1022" s="26"/>
      <c r="B1022" s="15"/>
      <c r="C1022" s="15"/>
      <c r="D1022" s="27"/>
      <c r="E1022" s="15"/>
      <c r="F1022" s="28"/>
      <c r="G1022" s="25" t="str">
        <f aca="true">IF(OR(D1022="",E1022=""),"",IFERROR(D1022*INDEX(UnidadesFactor,MATCH(E1022,Unidades,0)),""))</f>
        <v/>
      </c>
      <c r="H1022" s="17" t="str">
        <f aca="false">IF(I1022&lt;&gt;"OK","",IF(G1022=0,"",F1022/G1022))</f>
        <v/>
      </c>
      <c r="I1022" s="20" t="str">
        <f aca="true">IF(B1022="","",IF(ISNA(MATCH(B1022,ListaInsumos,0)),"Insumo no está en Insumos",IF(OR(D1022="",E1022="",F1022=""),"Faltan datos",IF(INDEX(UnidadesBase,MATCH(E1022,Unidades,0))&lt;&gt;INDEX(InsBase,MATCH(B1022,ListaInsumos,0)),"Unidad incompatible",IF(A1022="","Falta fecha","OK")))))</f>
        <v/>
      </c>
      <c r="J1022" s="15"/>
    </row>
    <row r="1023" customFormat="false" ht="15" hidden="false" customHeight="false" outlineLevel="0" collapsed="false">
      <c r="A1023" s="26"/>
      <c r="B1023" s="15"/>
      <c r="C1023" s="15"/>
      <c r="D1023" s="27"/>
      <c r="E1023" s="15"/>
      <c r="F1023" s="28"/>
      <c r="G1023" s="25" t="str">
        <f aca="true">IF(OR(D1023="",E1023=""),"",IFERROR(D1023*INDEX(UnidadesFactor,MATCH(E1023,Unidades,0)),""))</f>
        <v/>
      </c>
      <c r="H1023" s="17" t="str">
        <f aca="false">IF(I1023&lt;&gt;"OK","",IF(G1023=0,"",F1023/G1023))</f>
        <v/>
      </c>
      <c r="I1023" s="20" t="str">
        <f aca="true">IF(B1023="","",IF(ISNA(MATCH(B1023,ListaInsumos,0)),"Insumo no está en Insumos",IF(OR(D1023="",E1023="",F1023=""),"Faltan datos",IF(INDEX(UnidadesBase,MATCH(E1023,Unidades,0))&lt;&gt;INDEX(InsBase,MATCH(B1023,ListaInsumos,0)),"Unidad incompatible",IF(A1023="","Falta fecha","OK")))))</f>
        <v/>
      </c>
      <c r="J1023" s="15"/>
    </row>
    <row r="1024" customFormat="false" ht="15" hidden="false" customHeight="false" outlineLevel="0" collapsed="false">
      <c r="A1024" s="26"/>
      <c r="B1024" s="15"/>
      <c r="C1024" s="15"/>
      <c r="D1024" s="27"/>
      <c r="E1024" s="15"/>
      <c r="F1024" s="28"/>
      <c r="G1024" s="25" t="str">
        <f aca="true">IF(OR(D1024="",E1024=""),"",IFERROR(D1024*INDEX(UnidadesFactor,MATCH(E1024,Unidades,0)),""))</f>
        <v/>
      </c>
      <c r="H1024" s="17" t="str">
        <f aca="false">IF(I1024&lt;&gt;"OK","",IF(G1024=0,"",F1024/G1024))</f>
        <v/>
      </c>
      <c r="I1024" s="20" t="str">
        <f aca="true">IF(B1024="","",IF(ISNA(MATCH(B1024,ListaInsumos,0)),"Insumo no está en Insumos",IF(OR(D1024="",E1024="",F1024=""),"Faltan datos",IF(INDEX(UnidadesBase,MATCH(E1024,Unidades,0))&lt;&gt;INDEX(InsBase,MATCH(B1024,ListaInsumos,0)),"Unidad incompatible",IF(A1024="","Falta fecha","OK")))))</f>
        <v/>
      </c>
      <c r="J1024" s="15"/>
    </row>
    <row r="1025" customFormat="false" ht="15" hidden="false" customHeight="false" outlineLevel="0" collapsed="false">
      <c r="A1025" s="26"/>
      <c r="B1025" s="15"/>
      <c r="C1025" s="15"/>
      <c r="D1025" s="27"/>
      <c r="E1025" s="15"/>
      <c r="F1025" s="28"/>
      <c r="G1025" s="25" t="str">
        <f aca="true">IF(OR(D1025="",E1025=""),"",IFERROR(D1025*INDEX(UnidadesFactor,MATCH(E1025,Unidades,0)),""))</f>
        <v/>
      </c>
      <c r="H1025" s="17" t="str">
        <f aca="false">IF(I1025&lt;&gt;"OK","",IF(G1025=0,"",F1025/G1025))</f>
        <v/>
      </c>
      <c r="I1025" s="20" t="str">
        <f aca="true">IF(B1025="","",IF(ISNA(MATCH(B1025,ListaInsumos,0)),"Insumo no está en Insumos",IF(OR(D1025="",E1025="",F1025=""),"Faltan datos",IF(INDEX(UnidadesBase,MATCH(E1025,Unidades,0))&lt;&gt;INDEX(InsBase,MATCH(B1025,ListaInsumos,0)),"Unidad incompatible",IF(A1025="","Falta fecha","OK")))))</f>
        <v/>
      </c>
      <c r="J1025" s="15"/>
    </row>
    <row r="1026" customFormat="false" ht="15" hidden="false" customHeight="false" outlineLevel="0" collapsed="false">
      <c r="A1026" s="26"/>
      <c r="B1026" s="15"/>
      <c r="C1026" s="15"/>
      <c r="D1026" s="27"/>
      <c r="E1026" s="15"/>
      <c r="F1026" s="28"/>
      <c r="G1026" s="25" t="str">
        <f aca="true">IF(OR(D1026="",E1026=""),"",IFERROR(D1026*INDEX(UnidadesFactor,MATCH(E1026,Unidades,0)),""))</f>
        <v/>
      </c>
      <c r="H1026" s="17" t="str">
        <f aca="false">IF(I1026&lt;&gt;"OK","",IF(G1026=0,"",F1026/G1026))</f>
        <v/>
      </c>
      <c r="I1026" s="20" t="str">
        <f aca="true">IF(B1026="","",IF(ISNA(MATCH(B1026,ListaInsumos,0)),"Insumo no está en Insumos",IF(OR(D1026="",E1026="",F1026=""),"Faltan datos",IF(INDEX(UnidadesBase,MATCH(E1026,Unidades,0))&lt;&gt;INDEX(InsBase,MATCH(B1026,ListaInsumos,0)),"Unidad incompatible",IF(A1026="","Falta fecha","OK")))))</f>
        <v/>
      </c>
      <c r="J1026" s="15"/>
    </row>
    <row r="1027" customFormat="false" ht="15" hidden="false" customHeight="false" outlineLevel="0" collapsed="false">
      <c r="A1027" s="26"/>
      <c r="B1027" s="15"/>
      <c r="C1027" s="15"/>
      <c r="D1027" s="27"/>
      <c r="E1027" s="15"/>
      <c r="F1027" s="28"/>
      <c r="G1027" s="25" t="str">
        <f aca="true">IF(OR(D1027="",E1027=""),"",IFERROR(D1027*INDEX(UnidadesFactor,MATCH(E1027,Unidades,0)),""))</f>
        <v/>
      </c>
      <c r="H1027" s="17" t="str">
        <f aca="false">IF(I1027&lt;&gt;"OK","",IF(G1027=0,"",F1027/G1027))</f>
        <v/>
      </c>
      <c r="I1027" s="20" t="str">
        <f aca="true">IF(B1027="","",IF(ISNA(MATCH(B1027,ListaInsumos,0)),"Insumo no está en Insumos",IF(OR(D1027="",E1027="",F1027=""),"Faltan datos",IF(INDEX(UnidadesBase,MATCH(E1027,Unidades,0))&lt;&gt;INDEX(InsBase,MATCH(B1027,ListaInsumos,0)),"Unidad incompatible",IF(A1027="","Falta fecha","OK")))))</f>
        <v/>
      </c>
      <c r="J1027" s="15"/>
    </row>
    <row r="1028" customFormat="false" ht="15" hidden="false" customHeight="false" outlineLevel="0" collapsed="false">
      <c r="A1028" s="26"/>
      <c r="B1028" s="15"/>
      <c r="C1028" s="15"/>
      <c r="D1028" s="27"/>
      <c r="E1028" s="15"/>
      <c r="F1028" s="28"/>
      <c r="G1028" s="25" t="str">
        <f aca="true">IF(OR(D1028="",E1028=""),"",IFERROR(D1028*INDEX(UnidadesFactor,MATCH(E1028,Unidades,0)),""))</f>
        <v/>
      </c>
      <c r="H1028" s="17" t="str">
        <f aca="false">IF(I1028&lt;&gt;"OK","",IF(G1028=0,"",F1028/G1028))</f>
        <v/>
      </c>
      <c r="I1028" s="20" t="str">
        <f aca="true">IF(B1028="","",IF(ISNA(MATCH(B1028,ListaInsumos,0)),"Insumo no está en Insumos",IF(OR(D1028="",E1028="",F1028=""),"Faltan datos",IF(INDEX(UnidadesBase,MATCH(E1028,Unidades,0))&lt;&gt;INDEX(InsBase,MATCH(B1028,ListaInsumos,0)),"Unidad incompatible",IF(A1028="","Falta fecha","OK")))))</f>
        <v/>
      </c>
      <c r="J1028" s="15"/>
    </row>
    <row r="1029" customFormat="false" ht="15" hidden="false" customHeight="false" outlineLevel="0" collapsed="false">
      <c r="A1029" s="26"/>
      <c r="B1029" s="15"/>
      <c r="C1029" s="15"/>
      <c r="D1029" s="27"/>
      <c r="E1029" s="15"/>
      <c r="F1029" s="28"/>
      <c r="G1029" s="25" t="str">
        <f aca="true">IF(OR(D1029="",E1029=""),"",IFERROR(D1029*INDEX(UnidadesFactor,MATCH(E1029,Unidades,0)),""))</f>
        <v/>
      </c>
      <c r="H1029" s="17" t="str">
        <f aca="false">IF(I1029&lt;&gt;"OK","",IF(G1029=0,"",F1029/G1029))</f>
        <v/>
      </c>
      <c r="I1029" s="20" t="str">
        <f aca="true">IF(B1029="","",IF(ISNA(MATCH(B1029,ListaInsumos,0)),"Insumo no está en Insumos",IF(OR(D1029="",E1029="",F1029=""),"Faltan datos",IF(INDEX(UnidadesBase,MATCH(E1029,Unidades,0))&lt;&gt;INDEX(InsBase,MATCH(B1029,ListaInsumos,0)),"Unidad incompatible",IF(A1029="","Falta fecha","OK")))))</f>
        <v/>
      </c>
      <c r="J1029" s="15"/>
    </row>
    <row r="1030" customFormat="false" ht="15" hidden="false" customHeight="false" outlineLevel="0" collapsed="false">
      <c r="A1030" s="26"/>
      <c r="B1030" s="15"/>
      <c r="C1030" s="15"/>
      <c r="D1030" s="27"/>
      <c r="E1030" s="15"/>
      <c r="F1030" s="28"/>
      <c r="G1030" s="25" t="str">
        <f aca="true">IF(OR(D1030="",E1030=""),"",IFERROR(D1030*INDEX(UnidadesFactor,MATCH(E1030,Unidades,0)),""))</f>
        <v/>
      </c>
      <c r="H1030" s="17" t="str">
        <f aca="false">IF(I1030&lt;&gt;"OK","",IF(G1030=0,"",F1030/G1030))</f>
        <v/>
      </c>
      <c r="I1030" s="20" t="str">
        <f aca="true">IF(B1030="","",IF(ISNA(MATCH(B1030,ListaInsumos,0)),"Insumo no está en Insumos",IF(OR(D1030="",E1030="",F1030=""),"Faltan datos",IF(INDEX(UnidadesBase,MATCH(E1030,Unidades,0))&lt;&gt;INDEX(InsBase,MATCH(B1030,ListaInsumos,0)),"Unidad incompatible",IF(A1030="","Falta fecha","OK")))))</f>
        <v/>
      </c>
      <c r="J1030" s="15"/>
    </row>
    <row r="1031" customFormat="false" ht="15" hidden="false" customHeight="false" outlineLevel="0" collapsed="false">
      <c r="A1031" s="26"/>
      <c r="B1031" s="15"/>
      <c r="C1031" s="15"/>
      <c r="D1031" s="27"/>
      <c r="E1031" s="15"/>
      <c r="F1031" s="28"/>
      <c r="G1031" s="25" t="str">
        <f aca="true">IF(OR(D1031="",E1031=""),"",IFERROR(D1031*INDEX(UnidadesFactor,MATCH(E1031,Unidades,0)),""))</f>
        <v/>
      </c>
      <c r="H1031" s="17" t="str">
        <f aca="false">IF(I1031&lt;&gt;"OK","",IF(G1031=0,"",F1031/G1031))</f>
        <v/>
      </c>
      <c r="I1031" s="20" t="str">
        <f aca="true">IF(B1031="","",IF(ISNA(MATCH(B1031,ListaInsumos,0)),"Insumo no está en Insumos",IF(OR(D1031="",E1031="",F1031=""),"Faltan datos",IF(INDEX(UnidadesBase,MATCH(E1031,Unidades,0))&lt;&gt;INDEX(InsBase,MATCH(B1031,ListaInsumos,0)),"Unidad incompatible",IF(A1031="","Falta fecha","OK")))))</f>
        <v/>
      </c>
      <c r="J1031" s="15"/>
    </row>
    <row r="1032" customFormat="false" ht="15" hidden="false" customHeight="false" outlineLevel="0" collapsed="false">
      <c r="A1032" s="26"/>
      <c r="B1032" s="15"/>
      <c r="C1032" s="15"/>
      <c r="D1032" s="27"/>
      <c r="E1032" s="15"/>
      <c r="F1032" s="28"/>
      <c r="G1032" s="25" t="str">
        <f aca="true">IF(OR(D1032="",E1032=""),"",IFERROR(D1032*INDEX(UnidadesFactor,MATCH(E1032,Unidades,0)),""))</f>
        <v/>
      </c>
      <c r="H1032" s="17" t="str">
        <f aca="false">IF(I1032&lt;&gt;"OK","",IF(G1032=0,"",F1032/G1032))</f>
        <v/>
      </c>
      <c r="I1032" s="20" t="str">
        <f aca="true">IF(B1032="","",IF(ISNA(MATCH(B1032,ListaInsumos,0)),"Insumo no está en Insumos",IF(OR(D1032="",E1032="",F1032=""),"Faltan datos",IF(INDEX(UnidadesBase,MATCH(E1032,Unidades,0))&lt;&gt;INDEX(InsBase,MATCH(B1032,ListaInsumos,0)),"Unidad incompatible",IF(A1032="","Falta fecha","OK")))))</f>
        <v/>
      </c>
      <c r="J1032" s="15"/>
    </row>
    <row r="1033" customFormat="false" ht="15" hidden="false" customHeight="false" outlineLevel="0" collapsed="false">
      <c r="A1033" s="26"/>
      <c r="B1033" s="15"/>
      <c r="C1033" s="15"/>
      <c r="D1033" s="27"/>
      <c r="E1033" s="15"/>
      <c r="F1033" s="28"/>
      <c r="G1033" s="25" t="str">
        <f aca="true">IF(OR(D1033="",E1033=""),"",IFERROR(D1033*INDEX(UnidadesFactor,MATCH(E1033,Unidades,0)),""))</f>
        <v/>
      </c>
      <c r="H1033" s="17" t="str">
        <f aca="false">IF(I1033&lt;&gt;"OK","",IF(G1033=0,"",F1033/G1033))</f>
        <v/>
      </c>
      <c r="I1033" s="20" t="str">
        <f aca="true">IF(B1033="","",IF(ISNA(MATCH(B1033,ListaInsumos,0)),"Insumo no está en Insumos",IF(OR(D1033="",E1033="",F1033=""),"Faltan datos",IF(INDEX(UnidadesBase,MATCH(E1033,Unidades,0))&lt;&gt;INDEX(InsBase,MATCH(B1033,ListaInsumos,0)),"Unidad incompatible",IF(A1033="","Falta fecha","OK")))))</f>
        <v/>
      </c>
      <c r="J1033" s="15"/>
    </row>
    <row r="1034" customFormat="false" ht="15" hidden="false" customHeight="false" outlineLevel="0" collapsed="false">
      <c r="A1034" s="26"/>
      <c r="B1034" s="15"/>
      <c r="C1034" s="15"/>
      <c r="D1034" s="27"/>
      <c r="E1034" s="15"/>
      <c r="F1034" s="28"/>
      <c r="G1034" s="25" t="str">
        <f aca="true">IF(OR(D1034="",E1034=""),"",IFERROR(D1034*INDEX(UnidadesFactor,MATCH(E1034,Unidades,0)),""))</f>
        <v/>
      </c>
      <c r="H1034" s="17" t="str">
        <f aca="false">IF(I1034&lt;&gt;"OK","",IF(G1034=0,"",F1034/G1034))</f>
        <v/>
      </c>
      <c r="I1034" s="20" t="str">
        <f aca="true">IF(B1034="","",IF(ISNA(MATCH(B1034,ListaInsumos,0)),"Insumo no está en Insumos",IF(OR(D1034="",E1034="",F1034=""),"Faltan datos",IF(INDEX(UnidadesBase,MATCH(E1034,Unidades,0))&lt;&gt;INDEX(InsBase,MATCH(B1034,ListaInsumos,0)),"Unidad incompatible",IF(A1034="","Falta fecha","OK")))))</f>
        <v/>
      </c>
      <c r="J1034" s="15"/>
    </row>
    <row r="1035" customFormat="false" ht="15" hidden="false" customHeight="false" outlineLevel="0" collapsed="false">
      <c r="A1035" s="26"/>
      <c r="B1035" s="15"/>
      <c r="C1035" s="15"/>
      <c r="D1035" s="27"/>
      <c r="E1035" s="15"/>
      <c r="F1035" s="28"/>
      <c r="G1035" s="25" t="str">
        <f aca="true">IF(OR(D1035="",E1035=""),"",IFERROR(D1035*INDEX(UnidadesFactor,MATCH(E1035,Unidades,0)),""))</f>
        <v/>
      </c>
      <c r="H1035" s="17" t="str">
        <f aca="false">IF(I1035&lt;&gt;"OK","",IF(G1035=0,"",F1035/G1035))</f>
        <v/>
      </c>
      <c r="I1035" s="20" t="str">
        <f aca="true">IF(B1035="","",IF(ISNA(MATCH(B1035,ListaInsumos,0)),"Insumo no está en Insumos",IF(OR(D1035="",E1035="",F1035=""),"Faltan datos",IF(INDEX(UnidadesBase,MATCH(E1035,Unidades,0))&lt;&gt;INDEX(InsBase,MATCH(B1035,ListaInsumos,0)),"Unidad incompatible",IF(A1035="","Falta fecha","OK")))))</f>
        <v/>
      </c>
      <c r="J1035" s="15"/>
    </row>
    <row r="1036" customFormat="false" ht="15" hidden="false" customHeight="false" outlineLevel="0" collapsed="false">
      <c r="A1036" s="26"/>
      <c r="B1036" s="15"/>
      <c r="C1036" s="15"/>
      <c r="D1036" s="27"/>
      <c r="E1036" s="15"/>
      <c r="F1036" s="28"/>
      <c r="G1036" s="25" t="str">
        <f aca="true">IF(OR(D1036="",E1036=""),"",IFERROR(D1036*INDEX(UnidadesFactor,MATCH(E1036,Unidades,0)),""))</f>
        <v/>
      </c>
      <c r="H1036" s="17" t="str">
        <f aca="false">IF(I1036&lt;&gt;"OK","",IF(G1036=0,"",F1036/G1036))</f>
        <v/>
      </c>
      <c r="I1036" s="20" t="str">
        <f aca="true">IF(B1036="","",IF(ISNA(MATCH(B1036,ListaInsumos,0)),"Insumo no está en Insumos",IF(OR(D1036="",E1036="",F1036=""),"Faltan datos",IF(INDEX(UnidadesBase,MATCH(E1036,Unidades,0))&lt;&gt;INDEX(InsBase,MATCH(B1036,ListaInsumos,0)),"Unidad incompatible",IF(A1036="","Falta fecha","OK")))))</f>
        <v/>
      </c>
      <c r="J1036" s="15"/>
    </row>
    <row r="1037" customFormat="false" ht="15" hidden="false" customHeight="false" outlineLevel="0" collapsed="false">
      <c r="A1037" s="26"/>
      <c r="B1037" s="15"/>
      <c r="C1037" s="15"/>
      <c r="D1037" s="27"/>
      <c r="E1037" s="15"/>
      <c r="F1037" s="28"/>
      <c r="G1037" s="25" t="str">
        <f aca="true">IF(OR(D1037="",E1037=""),"",IFERROR(D1037*INDEX(UnidadesFactor,MATCH(E1037,Unidades,0)),""))</f>
        <v/>
      </c>
      <c r="H1037" s="17" t="str">
        <f aca="false">IF(I1037&lt;&gt;"OK","",IF(G1037=0,"",F1037/G1037))</f>
        <v/>
      </c>
      <c r="I1037" s="20" t="str">
        <f aca="true">IF(B1037="","",IF(ISNA(MATCH(B1037,ListaInsumos,0)),"Insumo no está en Insumos",IF(OR(D1037="",E1037="",F1037=""),"Faltan datos",IF(INDEX(UnidadesBase,MATCH(E1037,Unidades,0))&lt;&gt;INDEX(InsBase,MATCH(B1037,ListaInsumos,0)),"Unidad incompatible",IF(A1037="","Falta fecha","OK")))))</f>
        <v/>
      </c>
      <c r="J1037" s="15"/>
    </row>
    <row r="1038" customFormat="false" ht="15" hidden="false" customHeight="false" outlineLevel="0" collapsed="false">
      <c r="A1038" s="26"/>
      <c r="B1038" s="15"/>
      <c r="C1038" s="15"/>
      <c r="D1038" s="27"/>
      <c r="E1038" s="15"/>
      <c r="F1038" s="28"/>
      <c r="G1038" s="25" t="str">
        <f aca="true">IF(OR(D1038="",E1038=""),"",IFERROR(D1038*INDEX(UnidadesFactor,MATCH(E1038,Unidades,0)),""))</f>
        <v/>
      </c>
      <c r="H1038" s="17" t="str">
        <f aca="false">IF(I1038&lt;&gt;"OK","",IF(G1038=0,"",F1038/G1038))</f>
        <v/>
      </c>
      <c r="I1038" s="20" t="str">
        <f aca="true">IF(B1038="","",IF(ISNA(MATCH(B1038,ListaInsumos,0)),"Insumo no está en Insumos",IF(OR(D1038="",E1038="",F1038=""),"Faltan datos",IF(INDEX(UnidadesBase,MATCH(E1038,Unidades,0))&lt;&gt;INDEX(InsBase,MATCH(B1038,ListaInsumos,0)),"Unidad incompatible",IF(A1038="","Falta fecha","OK")))))</f>
        <v/>
      </c>
      <c r="J1038" s="15"/>
    </row>
    <row r="1039" customFormat="false" ht="15" hidden="false" customHeight="false" outlineLevel="0" collapsed="false">
      <c r="A1039" s="26"/>
      <c r="B1039" s="15"/>
      <c r="C1039" s="15"/>
      <c r="D1039" s="27"/>
      <c r="E1039" s="15"/>
      <c r="F1039" s="28"/>
      <c r="G1039" s="25" t="str">
        <f aca="true">IF(OR(D1039="",E1039=""),"",IFERROR(D1039*INDEX(UnidadesFactor,MATCH(E1039,Unidades,0)),""))</f>
        <v/>
      </c>
      <c r="H1039" s="17" t="str">
        <f aca="false">IF(I1039&lt;&gt;"OK","",IF(G1039=0,"",F1039/G1039))</f>
        <v/>
      </c>
      <c r="I1039" s="20" t="str">
        <f aca="true">IF(B1039="","",IF(ISNA(MATCH(B1039,ListaInsumos,0)),"Insumo no está en Insumos",IF(OR(D1039="",E1039="",F1039=""),"Faltan datos",IF(INDEX(UnidadesBase,MATCH(E1039,Unidades,0))&lt;&gt;INDEX(InsBase,MATCH(B1039,ListaInsumos,0)),"Unidad incompatible",IF(A1039="","Falta fecha","OK")))))</f>
        <v/>
      </c>
      <c r="J1039" s="15"/>
    </row>
    <row r="1040" customFormat="false" ht="15" hidden="false" customHeight="false" outlineLevel="0" collapsed="false">
      <c r="A1040" s="26"/>
      <c r="B1040" s="15"/>
      <c r="C1040" s="15"/>
      <c r="D1040" s="27"/>
      <c r="E1040" s="15"/>
      <c r="F1040" s="28"/>
      <c r="G1040" s="25" t="str">
        <f aca="true">IF(OR(D1040="",E1040=""),"",IFERROR(D1040*INDEX(UnidadesFactor,MATCH(E1040,Unidades,0)),""))</f>
        <v/>
      </c>
      <c r="H1040" s="17" t="str">
        <f aca="false">IF(I1040&lt;&gt;"OK","",IF(G1040=0,"",F1040/G1040))</f>
        <v/>
      </c>
      <c r="I1040" s="20" t="str">
        <f aca="true">IF(B1040="","",IF(ISNA(MATCH(B1040,ListaInsumos,0)),"Insumo no está en Insumos",IF(OR(D1040="",E1040="",F1040=""),"Faltan datos",IF(INDEX(UnidadesBase,MATCH(E1040,Unidades,0))&lt;&gt;INDEX(InsBase,MATCH(B1040,ListaInsumos,0)),"Unidad incompatible",IF(A1040="","Falta fecha","OK")))))</f>
        <v/>
      </c>
      <c r="J1040" s="15"/>
    </row>
    <row r="1041" customFormat="false" ht="15" hidden="false" customHeight="false" outlineLevel="0" collapsed="false">
      <c r="A1041" s="26"/>
      <c r="B1041" s="15"/>
      <c r="C1041" s="15"/>
      <c r="D1041" s="27"/>
      <c r="E1041" s="15"/>
      <c r="F1041" s="28"/>
      <c r="G1041" s="25" t="str">
        <f aca="true">IF(OR(D1041="",E1041=""),"",IFERROR(D1041*INDEX(UnidadesFactor,MATCH(E1041,Unidades,0)),""))</f>
        <v/>
      </c>
      <c r="H1041" s="17" t="str">
        <f aca="false">IF(I1041&lt;&gt;"OK","",IF(G1041=0,"",F1041/G1041))</f>
        <v/>
      </c>
      <c r="I1041" s="20" t="str">
        <f aca="true">IF(B1041="","",IF(ISNA(MATCH(B1041,ListaInsumos,0)),"Insumo no está en Insumos",IF(OR(D1041="",E1041="",F1041=""),"Faltan datos",IF(INDEX(UnidadesBase,MATCH(E1041,Unidades,0))&lt;&gt;INDEX(InsBase,MATCH(B1041,ListaInsumos,0)),"Unidad incompatible",IF(A1041="","Falta fecha","OK")))))</f>
        <v/>
      </c>
      <c r="J1041" s="15"/>
    </row>
    <row r="1042" customFormat="false" ht="15" hidden="false" customHeight="false" outlineLevel="0" collapsed="false">
      <c r="A1042" s="26"/>
      <c r="B1042" s="15"/>
      <c r="C1042" s="15"/>
      <c r="D1042" s="27"/>
      <c r="E1042" s="15"/>
      <c r="F1042" s="28"/>
      <c r="G1042" s="25" t="str">
        <f aca="true">IF(OR(D1042="",E1042=""),"",IFERROR(D1042*INDEX(UnidadesFactor,MATCH(E1042,Unidades,0)),""))</f>
        <v/>
      </c>
      <c r="H1042" s="17" t="str">
        <f aca="false">IF(I1042&lt;&gt;"OK","",IF(G1042=0,"",F1042/G1042))</f>
        <v/>
      </c>
      <c r="I1042" s="20" t="str">
        <f aca="true">IF(B1042="","",IF(ISNA(MATCH(B1042,ListaInsumos,0)),"Insumo no está en Insumos",IF(OR(D1042="",E1042="",F1042=""),"Faltan datos",IF(INDEX(UnidadesBase,MATCH(E1042,Unidades,0))&lt;&gt;INDEX(InsBase,MATCH(B1042,ListaInsumos,0)),"Unidad incompatible",IF(A1042="","Falta fecha","OK")))))</f>
        <v/>
      </c>
      <c r="J1042" s="15"/>
    </row>
    <row r="1043" customFormat="false" ht="15" hidden="false" customHeight="false" outlineLevel="0" collapsed="false">
      <c r="A1043" s="26"/>
      <c r="B1043" s="15"/>
      <c r="C1043" s="15"/>
      <c r="D1043" s="27"/>
      <c r="E1043" s="15"/>
      <c r="F1043" s="28"/>
      <c r="G1043" s="25" t="str">
        <f aca="true">IF(OR(D1043="",E1043=""),"",IFERROR(D1043*INDEX(UnidadesFactor,MATCH(E1043,Unidades,0)),""))</f>
        <v/>
      </c>
      <c r="H1043" s="17" t="str">
        <f aca="false">IF(I1043&lt;&gt;"OK","",IF(G1043=0,"",F1043/G1043))</f>
        <v/>
      </c>
      <c r="I1043" s="20" t="str">
        <f aca="true">IF(B1043="","",IF(ISNA(MATCH(B1043,ListaInsumos,0)),"Insumo no está en Insumos",IF(OR(D1043="",E1043="",F1043=""),"Faltan datos",IF(INDEX(UnidadesBase,MATCH(E1043,Unidades,0))&lt;&gt;INDEX(InsBase,MATCH(B1043,ListaInsumos,0)),"Unidad incompatible",IF(A1043="","Falta fecha","OK")))))</f>
        <v/>
      </c>
      <c r="J1043" s="15"/>
    </row>
    <row r="1044" customFormat="false" ht="15" hidden="false" customHeight="false" outlineLevel="0" collapsed="false">
      <c r="A1044" s="26"/>
      <c r="B1044" s="15"/>
      <c r="C1044" s="15"/>
      <c r="D1044" s="27"/>
      <c r="E1044" s="15"/>
      <c r="F1044" s="28"/>
      <c r="G1044" s="25" t="str">
        <f aca="true">IF(OR(D1044="",E1044=""),"",IFERROR(D1044*INDEX(UnidadesFactor,MATCH(E1044,Unidades,0)),""))</f>
        <v/>
      </c>
      <c r="H1044" s="17" t="str">
        <f aca="false">IF(I1044&lt;&gt;"OK","",IF(G1044=0,"",F1044/G1044))</f>
        <v/>
      </c>
      <c r="I1044" s="20" t="str">
        <f aca="true">IF(B1044="","",IF(ISNA(MATCH(B1044,ListaInsumos,0)),"Insumo no está en Insumos",IF(OR(D1044="",E1044="",F1044=""),"Faltan datos",IF(INDEX(UnidadesBase,MATCH(E1044,Unidades,0))&lt;&gt;INDEX(InsBase,MATCH(B1044,ListaInsumos,0)),"Unidad incompatible",IF(A1044="","Falta fecha","OK")))))</f>
        <v/>
      </c>
      <c r="J1044" s="15"/>
    </row>
    <row r="1045" customFormat="false" ht="15" hidden="false" customHeight="false" outlineLevel="0" collapsed="false">
      <c r="A1045" s="26"/>
      <c r="B1045" s="15"/>
      <c r="C1045" s="15"/>
      <c r="D1045" s="27"/>
      <c r="E1045" s="15"/>
      <c r="F1045" s="28"/>
      <c r="G1045" s="25" t="str">
        <f aca="true">IF(OR(D1045="",E1045=""),"",IFERROR(D1045*INDEX(UnidadesFactor,MATCH(E1045,Unidades,0)),""))</f>
        <v/>
      </c>
      <c r="H1045" s="17" t="str">
        <f aca="false">IF(I1045&lt;&gt;"OK","",IF(G1045=0,"",F1045/G1045))</f>
        <v/>
      </c>
      <c r="I1045" s="20" t="str">
        <f aca="true">IF(B1045="","",IF(ISNA(MATCH(B1045,ListaInsumos,0)),"Insumo no está en Insumos",IF(OR(D1045="",E1045="",F1045=""),"Faltan datos",IF(INDEX(UnidadesBase,MATCH(E1045,Unidades,0))&lt;&gt;INDEX(InsBase,MATCH(B1045,ListaInsumos,0)),"Unidad incompatible",IF(A1045="","Falta fecha","OK")))))</f>
        <v/>
      </c>
      <c r="J1045" s="15"/>
    </row>
    <row r="1046" customFormat="false" ht="15" hidden="false" customHeight="false" outlineLevel="0" collapsed="false">
      <c r="A1046" s="26"/>
      <c r="B1046" s="15"/>
      <c r="C1046" s="15"/>
      <c r="D1046" s="27"/>
      <c r="E1046" s="15"/>
      <c r="F1046" s="28"/>
      <c r="G1046" s="25" t="str">
        <f aca="true">IF(OR(D1046="",E1046=""),"",IFERROR(D1046*INDEX(UnidadesFactor,MATCH(E1046,Unidades,0)),""))</f>
        <v/>
      </c>
      <c r="H1046" s="17" t="str">
        <f aca="false">IF(I1046&lt;&gt;"OK","",IF(G1046=0,"",F1046/G1046))</f>
        <v/>
      </c>
      <c r="I1046" s="20" t="str">
        <f aca="true">IF(B1046="","",IF(ISNA(MATCH(B1046,ListaInsumos,0)),"Insumo no está en Insumos",IF(OR(D1046="",E1046="",F1046=""),"Faltan datos",IF(INDEX(UnidadesBase,MATCH(E1046,Unidades,0))&lt;&gt;INDEX(InsBase,MATCH(B1046,ListaInsumos,0)),"Unidad incompatible",IF(A1046="","Falta fecha","OK")))))</f>
        <v/>
      </c>
      <c r="J1046" s="15"/>
    </row>
    <row r="1047" customFormat="false" ht="15" hidden="false" customHeight="false" outlineLevel="0" collapsed="false">
      <c r="A1047" s="26"/>
      <c r="B1047" s="15"/>
      <c r="C1047" s="15"/>
      <c r="D1047" s="27"/>
      <c r="E1047" s="15"/>
      <c r="F1047" s="28"/>
      <c r="G1047" s="25" t="str">
        <f aca="true">IF(OR(D1047="",E1047=""),"",IFERROR(D1047*INDEX(UnidadesFactor,MATCH(E1047,Unidades,0)),""))</f>
        <v/>
      </c>
      <c r="H1047" s="17" t="str">
        <f aca="false">IF(I1047&lt;&gt;"OK","",IF(G1047=0,"",F1047/G1047))</f>
        <v/>
      </c>
      <c r="I1047" s="20" t="str">
        <f aca="true">IF(B1047="","",IF(ISNA(MATCH(B1047,ListaInsumos,0)),"Insumo no está en Insumos",IF(OR(D1047="",E1047="",F1047=""),"Faltan datos",IF(INDEX(UnidadesBase,MATCH(E1047,Unidades,0))&lt;&gt;INDEX(InsBase,MATCH(B1047,ListaInsumos,0)),"Unidad incompatible",IF(A1047="","Falta fecha","OK")))))</f>
        <v/>
      </c>
      <c r="J1047" s="15"/>
    </row>
    <row r="1048" customFormat="false" ht="15" hidden="false" customHeight="false" outlineLevel="0" collapsed="false">
      <c r="A1048" s="26"/>
      <c r="B1048" s="15"/>
      <c r="C1048" s="15"/>
      <c r="D1048" s="27"/>
      <c r="E1048" s="15"/>
      <c r="F1048" s="28"/>
      <c r="G1048" s="25" t="str">
        <f aca="true">IF(OR(D1048="",E1048=""),"",IFERROR(D1048*INDEX(UnidadesFactor,MATCH(E1048,Unidades,0)),""))</f>
        <v/>
      </c>
      <c r="H1048" s="17" t="str">
        <f aca="false">IF(I1048&lt;&gt;"OK","",IF(G1048=0,"",F1048/G1048))</f>
        <v/>
      </c>
      <c r="I1048" s="20" t="str">
        <f aca="true">IF(B1048="","",IF(ISNA(MATCH(B1048,ListaInsumos,0)),"Insumo no está en Insumos",IF(OR(D1048="",E1048="",F1048=""),"Faltan datos",IF(INDEX(UnidadesBase,MATCH(E1048,Unidades,0))&lt;&gt;INDEX(InsBase,MATCH(B1048,ListaInsumos,0)),"Unidad incompatible",IF(A1048="","Falta fecha","OK")))))</f>
        <v/>
      </c>
      <c r="J1048" s="15"/>
    </row>
    <row r="1049" customFormat="false" ht="15" hidden="false" customHeight="false" outlineLevel="0" collapsed="false">
      <c r="A1049" s="26"/>
      <c r="B1049" s="15"/>
      <c r="C1049" s="15"/>
      <c r="D1049" s="27"/>
      <c r="E1049" s="15"/>
      <c r="F1049" s="28"/>
      <c r="G1049" s="25" t="str">
        <f aca="true">IF(OR(D1049="",E1049=""),"",IFERROR(D1049*INDEX(UnidadesFactor,MATCH(E1049,Unidades,0)),""))</f>
        <v/>
      </c>
      <c r="H1049" s="17" t="str">
        <f aca="false">IF(I1049&lt;&gt;"OK","",IF(G1049=0,"",F1049/G1049))</f>
        <v/>
      </c>
      <c r="I1049" s="20" t="str">
        <f aca="true">IF(B1049="","",IF(ISNA(MATCH(B1049,ListaInsumos,0)),"Insumo no está en Insumos",IF(OR(D1049="",E1049="",F1049=""),"Faltan datos",IF(INDEX(UnidadesBase,MATCH(E1049,Unidades,0))&lt;&gt;INDEX(InsBase,MATCH(B1049,ListaInsumos,0)),"Unidad incompatible",IF(A1049="","Falta fecha","OK")))))</f>
        <v/>
      </c>
      <c r="J1049" s="15"/>
    </row>
    <row r="1050" customFormat="false" ht="15" hidden="false" customHeight="false" outlineLevel="0" collapsed="false">
      <c r="A1050" s="26"/>
      <c r="B1050" s="15"/>
      <c r="C1050" s="15"/>
      <c r="D1050" s="27"/>
      <c r="E1050" s="15"/>
      <c r="F1050" s="28"/>
      <c r="G1050" s="25" t="str">
        <f aca="true">IF(OR(D1050="",E1050=""),"",IFERROR(D1050*INDEX(UnidadesFactor,MATCH(E1050,Unidades,0)),""))</f>
        <v/>
      </c>
      <c r="H1050" s="17" t="str">
        <f aca="false">IF(I1050&lt;&gt;"OK","",IF(G1050=0,"",F1050/G1050))</f>
        <v/>
      </c>
      <c r="I1050" s="20" t="str">
        <f aca="true">IF(B1050="","",IF(ISNA(MATCH(B1050,ListaInsumos,0)),"Insumo no está en Insumos",IF(OR(D1050="",E1050="",F1050=""),"Faltan datos",IF(INDEX(UnidadesBase,MATCH(E1050,Unidades,0))&lt;&gt;INDEX(InsBase,MATCH(B1050,ListaInsumos,0)),"Unidad incompatible",IF(A1050="","Falta fecha","OK")))))</f>
        <v/>
      </c>
      <c r="J1050" s="15"/>
    </row>
    <row r="1051" customFormat="false" ht="15" hidden="false" customHeight="false" outlineLevel="0" collapsed="false">
      <c r="A1051" s="26"/>
      <c r="B1051" s="15"/>
      <c r="C1051" s="15"/>
      <c r="D1051" s="27"/>
      <c r="E1051" s="15"/>
      <c r="F1051" s="28"/>
      <c r="G1051" s="25" t="str">
        <f aca="true">IF(OR(D1051="",E1051=""),"",IFERROR(D1051*INDEX(UnidadesFactor,MATCH(E1051,Unidades,0)),""))</f>
        <v/>
      </c>
      <c r="H1051" s="17" t="str">
        <f aca="false">IF(I1051&lt;&gt;"OK","",IF(G1051=0,"",F1051/G1051))</f>
        <v/>
      </c>
      <c r="I1051" s="20" t="str">
        <f aca="true">IF(B1051="","",IF(ISNA(MATCH(B1051,ListaInsumos,0)),"Insumo no está en Insumos",IF(OR(D1051="",E1051="",F1051=""),"Faltan datos",IF(INDEX(UnidadesBase,MATCH(E1051,Unidades,0))&lt;&gt;INDEX(InsBase,MATCH(B1051,ListaInsumos,0)),"Unidad incompatible",IF(A1051="","Falta fecha","OK")))))</f>
        <v/>
      </c>
      <c r="J1051" s="15"/>
    </row>
    <row r="1052" customFormat="false" ht="15" hidden="false" customHeight="false" outlineLevel="0" collapsed="false">
      <c r="A1052" s="26"/>
      <c r="B1052" s="15"/>
      <c r="C1052" s="15"/>
      <c r="D1052" s="27"/>
      <c r="E1052" s="15"/>
      <c r="F1052" s="28"/>
      <c r="G1052" s="25" t="str">
        <f aca="true">IF(OR(D1052="",E1052=""),"",IFERROR(D1052*INDEX(UnidadesFactor,MATCH(E1052,Unidades,0)),""))</f>
        <v/>
      </c>
      <c r="H1052" s="17" t="str">
        <f aca="false">IF(I1052&lt;&gt;"OK","",IF(G1052=0,"",F1052/G1052))</f>
        <v/>
      </c>
      <c r="I1052" s="20" t="str">
        <f aca="true">IF(B1052="","",IF(ISNA(MATCH(B1052,ListaInsumos,0)),"Insumo no está en Insumos",IF(OR(D1052="",E1052="",F1052=""),"Faltan datos",IF(INDEX(UnidadesBase,MATCH(E1052,Unidades,0))&lt;&gt;INDEX(InsBase,MATCH(B1052,ListaInsumos,0)),"Unidad incompatible",IF(A1052="","Falta fecha","OK")))))</f>
        <v/>
      </c>
      <c r="J1052" s="15"/>
    </row>
    <row r="1053" customFormat="false" ht="15" hidden="false" customHeight="false" outlineLevel="0" collapsed="false">
      <c r="A1053" s="26"/>
      <c r="B1053" s="15"/>
      <c r="C1053" s="15"/>
      <c r="D1053" s="27"/>
      <c r="E1053" s="15"/>
      <c r="F1053" s="28"/>
      <c r="G1053" s="25" t="str">
        <f aca="true">IF(OR(D1053="",E1053=""),"",IFERROR(D1053*INDEX(UnidadesFactor,MATCH(E1053,Unidades,0)),""))</f>
        <v/>
      </c>
      <c r="H1053" s="17" t="str">
        <f aca="false">IF(I1053&lt;&gt;"OK","",IF(G1053=0,"",F1053/G1053))</f>
        <v/>
      </c>
      <c r="I1053" s="20" t="str">
        <f aca="true">IF(B1053="","",IF(ISNA(MATCH(B1053,ListaInsumos,0)),"Insumo no está en Insumos",IF(OR(D1053="",E1053="",F1053=""),"Faltan datos",IF(INDEX(UnidadesBase,MATCH(E1053,Unidades,0))&lt;&gt;INDEX(InsBase,MATCH(B1053,ListaInsumos,0)),"Unidad incompatible",IF(A1053="","Falta fecha","OK")))))</f>
        <v/>
      </c>
      <c r="J1053" s="15"/>
    </row>
    <row r="1054" customFormat="false" ht="15" hidden="false" customHeight="false" outlineLevel="0" collapsed="false">
      <c r="A1054" s="26"/>
      <c r="B1054" s="15"/>
      <c r="C1054" s="15"/>
      <c r="D1054" s="27"/>
      <c r="E1054" s="15"/>
      <c r="F1054" s="28"/>
      <c r="G1054" s="25" t="str">
        <f aca="true">IF(OR(D1054="",E1054=""),"",IFERROR(D1054*INDEX(UnidadesFactor,MATCH(E1054,Unidades,0)),""))</f>
        <v/>
      </c>
      <c r="H1054" s="17" t="str">
        <f aca="false">IF(I1054&lt;&gt;"OK","",IF(G1054=0,"",F1054/G1054))</f>
        <v/>
      </c>
      <c r="I1054" s="20" t="str">
        <f aca="true">IF(B1054="","",IF(ISNA(MATCH(B1054,ListaInsumos,0)),"Insumo no está en Insumos",IF(OR(D1054="",E1054="",F1054=""),"Faltan datos",IF(INDEX(UnidadesBase,MATCH(E1054,Unidades,0))&lt;&gt;INDEX(InsBase,MATCH(B1054,ListaInsumos,0)),"Unidad incompatible",IF(A1054="","Falta fecha","OK")))))</f>
        <v/>
      </c>
      <c r="J1054" s="15"/>
    </row>
    <row r="1055" customFormat="false" ht="15" hidden="false" customHeight="false" outlineLevel="0" collapsed="false">
      <c r="A1055" s="26"/>
      <c r="B1055" s="15"/>
      <c r="C1055" s="15"/>
      <c r="D1055" s="27"/>
      <c r="E1055" s="15"/>
      <c r="F1055" s="28"/>
      <c r="G1055" s="25" t="str">
        <f aca="true">IF(OR(D1055="",E1055=""),"",IFERROR(D1055*INDEX(UnidadesFactor,MATCH(E1055,Unidades,0)),""))</f>
        <v/>
      </c>
      <c r="H1055" s="17" t="str">
        <f aca="false">IF(I1055&lt;&gt;"OK","",IF(G1055=0,"",F1055/G1055))</f>
        <v/>
      </c>
      <c r="I1055" s="20" t="str">
        <f aca="true">IF(B1055="","",IF(ISNA(MATCH(B1055,ListaInsumos,0)),"Insumo no está en Insumos",IF(OR(D1055="",E1055="",F1055=""),"Faltan datos",IF(INDEX(UnidadesBase,MATCH(E1055,Unidades,0))&lt;&gt;INDEX(InsBase,MATCH(B1055,ListaInsumos,0)),"Unidad incompatible",IF(A1055="","Falta fecha","OK")))))</f>
        <v/>
      </c>
      <c r="J1055" s="15"/>
    </row>
    <row r="1056" customFormat="false" ht="15" hidden="false" customHeight="false" outlineLevel="0" collapsed="false">
      <c r="A1056" s="26"/>
      <c r="B1056" s="15"/>
      <c r="C1056" s="15"/>
      <c r="D1056" s="27"/>
      <c r="E1056" s="15"/>
      <c r="F1056" s="28"/>
      <c r="G1056" s="25" t="str">
        <f aca="true">IF(OR(D1056="",E1056=""),"",IFERROR(D1056*INDEX(UnidadesFactor,MATCH(E1056,Unidades,0)),""))</f>
        <v/>
      </c>
      <c r="H1056" s="17" t="str">
        <f aca="false">IF(I1056&lt;&gt;"OK","",IF(G1056=0,"",F1056/G1056))</f>
        <v/>
      </c>
      <c r="I1056" s="20" t="str">
        <f aca="true">IF(B1056="","",IF(ISNA(MATCH(B1056,ListaInsumos,0)),"Insumo no está en Insumos",IF(OR(D1056="",E1056="",F1056=""),"Faltan datos",IF(INDEX(UnidadesBase,MATCH(E1056,Unidades,0))&lt;&gt;INDEX(InsBase,MATCH(B1056,ListaInsumos,0)),"Unidad incompatible",IF(A1056="","Falta fecha","OK")))))</f>
        <v/>
      </c>
      <c r="J1056" s="15"/>
    </row>
    <row r="1057" customFormat="false" ht="15" hidden="false" customHeight="false" outlineLevel="0" collapsed="false">
      <c r="A1057" s="26"/>
      <c r="B1057" s="15"/>
      <c r="C1057" s="15"/>
      <c r="D1057" s="27"/>
      <c r="E1057" s="15"/>
      <c r="F1057" s="28"/>
      <c r="G1057" s="25" t="str">
        <f aca="true">IF(OR(D1057="",E1057=""),"",IFERROR(D1057*INDEX(UnidadesFactor,MATCH(E1057,Unidades,0)),""))</f>
        <v/>
      </c>
      <c r="H1057" s="17" t="str">
        <f aca="false">IF(I1057&lt;&gt;"OK","",IF(G1057=0,"",F1057/G1057))</f>
        <v/>
      </c>
      <c r="I1057" s="20" t="str">
        <f aca="true">IF(B1057="","",IF(ISNA(MATCH(B1057,ListaInsumos,0)),"Insumo no está en Insumos",IF(OR(D1057="",E1057="",F1057=""),"Faltan datos",IF(INDEX(UnidadesBase,MATCH(E1057,Unidades,0))&lt;&gt;INDEX(InsBase,MATCH(B1057,ListaInsumos,0)),"Unidad incompatible",IF(A1057="","Falta fecha","OK")))))</f>
        <v/>
      </c>
      <c r="J1057" s="15"/>
    </row>
    <row r="1058" customFormat="false" ht="15" hidden="false" customHeight="false" outlineLevel="0" collapsed="false">
      <c r="A1058" s="26"/>
      <c r="B1058" s="15"/>
      <c r="C1058" s="15"/>
      <c r="D1058" s="27"/>
      <c r="E1058" s="15"/>
      <c r="F1058" s="28"/>
      <c r="G1058" s="25" t="str">
        <f aca="true">IF(OR(D1058="",E1058=""),"",IFERROR(D1058*INDEX(UnidadesFactor,MATCH(E1058,Unidades,0)),""))</f>
        <v/>
      </c>
      <c r="H1058" s="17" t="str">
        <f aca="false">IF(I1058&lt;&gt;"OK","",IF(G1058=0,"",F1058/G1058))</f>
        <v/>
      </c>
      <c r="I1058" s="20" t="str">
        <f aca="true">IF(B1058="","",IF(ISNA(MATCH(B1058,ListaInsumos,0)),"Insumo no está en Insumos",IF(OR(D1058="",E1058="",F1058=""),"Faltan datos",IF(INDEX(UnidadesBase,MATCH(E1058,Unidades,0))&lt;&gt;INDEX(InsBase,MATCH(B1058,ListaInsumos,0)),"Unidad incompatible",IF(A1058="","Falta fecha","OK")))))</f>
        <v/>
      </c>
      <c r="J1058" s="15"/>
    </row>
    <row r="1059" customFormat="false" ht="15" hidden="false" customHeight="false" outlineLevel="0" collapsed="false">
      <c r="A1059" s="26"/>
      <c r="B1059" s="15"/>
      <c r="C1059" s="15"/>
      <c r="D1059" s="27"/>
      <c r="E1059" s="15"/>
      <c r="F1059" s="28"/>
      <c r="G1059" s="25" t="str">
        <f aca="true">IF(OR(D1059="",E1059=""),"",IFERROR(D1059*INDEX(UnidadesFactor,MATCH(E1059,Unidades,0)),""))</f>
        <v/>
      </c>
      <c r="H1059" s="17" t="str">
        <f aca="false">IF(I1059&lt;&gt;"OK","",IF(G1059=0,"",F1059/G1059))</f>
        <v/>
      </c>
      <c r="I1059" s="20" t="str">
        <f aca="true">IF(B1059="","",IF(ISNA(MATCH(B1059,ListaInsumos,0)),"Insumo no está en Insumos",IF(OR(D1059="",E1059="",F1059=""),"Faltan datos",IF(INDEX(UnidadesBase,MATCH(E1059,Unidades,0))&lt;&gt;INDEX(InsBase,MATCH(B1059,ListaInsumos,0)),"Unidad incompatible",IF(A1059="","Falta fecha","OK")))))</f>
        <v/>
      </c>
      <c r="J1059" s="15"/>
    </row>
    <row r="1060" customFormat="false" ht="15" hidden="false" customHeight="false" outlineLevel="0" collapsed="false">
      <c r="A1060" s="26"/>
      <c r="B1060" s="15"/>
      <c r="C1060" s="15"/>
      <c r="D1060" s="27"/>
      <c r="E1060" s="15"/>
      <c r="F1060" s="28"/>
      <c r="G1060" s="25" t="str">
        <f aca="true">IF(OR(D1060="",E1060=""),"",IFERROR(D1060*INDEX(UnidadesFactor,MATCH(E1060,Unidades,0)),""))</f>
        <v/>
      </c>
      <c r="H1060" s="17" t="str">
        <f aca="false">IF(I1060&lt;&gt;"OK","",IF(G1060=0,"",F1060/G1060))</f>
        <v/>
      </c>
      <c r="I1060" s="20" t="str">
        <f aca="true">IF(B1060="","",IF(ISNA(MATCH(B1060,ListaInsumos,0)),"Insumo no está en Insumos",IF(OR(D1060="",E1060="",F1060=""),"Faltan datos",IF(INDEX(UnidadesBase,MATCH(E1060,Unidades,0))&lt;&gt;INDEX(InsBase,MATCH(B1060,ListaInsumos,0)),"Unidad incompatible",IF(A1060="","Falta fecha","OK")))))</f>
        <v/>
      </c>
      <c r="J1060" s="15"/>
    </row>
    <row r="1061" customFormat="false" ht="15" hidden="false" customHeight="false" outlineLevel="0" collapsed="false">
      <c r="A1061" s="26"/>
      <c r="B1061" s="15"/>
      <c r="C1061" s="15"/>
      <c r="D1061" s="27"/>
      <c r="E1061" s="15"/>
      <c r="F1061" s="28"/>
      <c r="G1061" s="25" t="str">
        <f aca="true">IF(OR(D1061="",E1061=""),"",IFERROR(D1061*INDEX(UnidadesFactor,MATCH(E1061,Unidades,0)),""))</f>
        <v/>
      </c>
      <c r="H1061" s="17" t="str">
        <f aca="false">IF(I1061&lt;&gt;"OK","",IF(G1061=0,"",F1061/G1061))</f>
        <v/>
      </c>
      <c r="I1061" s="20" t="str">
        <f aca="true">IF(B1061="","",IF(ISNA(MATCH(B1061,ListaInsumos,0)),"Insumo no está en Insumos",IF(OR(D1061="",E1061="",F1061=""),"Faltan datos",IF(INDEX(UnidadesBase,MATCH(E1061,Unidades,0))&lt;&gt;INDEX(InsBase,MATCH(B1061,ListaInsumos,0)),"Unidad incompatible",IF(A1061="","Falta fecha","OK")))))</f>
        <v/>
      </c>
      <c r="J1061" s="15"/>
    </row>
    <row r="1062" customFormat="false" ht="15" hidden="false" customHeight="false" outlineLevel="0" collapsed="false">
      <c r="A1062" s="26"/>
      <c r="B1062" s="15"/>
      <c r="C1062" s="15"/>
      <c r="D1062" s="27"/>
      <c r="E1062" s="15"/>
      <c r="F1062" s="28"/>
      <c r="G1062" s="25" t="str">
        <f aca="true">IF(OR(D1062="",E1062=""),"",IFERROR(D1062*INDEX(UnidadesFactor,MATCH(E1062,Unidades,0)),""))</f>
        <v/>
      </c>
      <c r="H1062" s="17" t="str">
        <f aca="false">IF(I1062&lt;&gt;"OK","",IF(G1062=0,"",F1062/G1062))</f>
        <v/>
      </c>
      <c r="I1062" s="20" t="str">
        <f aca="true">IF(B1062="","",IF(ISNA(MATCH(B1062,ListaInsumos,0)),"Insumo no está en Insumos",IF(OR(D1062="",E1062="",F1062=""),"Faltan datos",IF(INDEX(UnidadesBase,MATCH(E1062,Unidades,0))&lt;&gt;INDEX(InsBase,MATCH(B1062,ListaInsumos,0)),"Unidad incompatible",IF(A1062="","Falta fecha","OK")))))</f>
        <v/>
      </c>
      <c r="J1062" s="15"/>
    </row>
    <row r="1063" customFormat="false" ht="15" hidden="false" customHeight="false" outlineLevel="0" collapsed="false">
      <c r="A1063" s="26"/>
      <c r="B1063" s="15"/>
      <c r="C1063" s="15"/>
      <c r="D1063" s="27"/>
      <c r="E1063" s="15"/>
      <c r="F1063" s="28"/>
      <c r="G1063" s="25" t="str">
        <f aca="true">IF(OR(D1063="",E1063=""),"",IFERROR(D1063*INDEX(UnidadesFactor,MATCH(E1063,Unidades,0)),""))</f>
        <v/>
      </c>
      <c r="H1063" s="17" t="str">
        <f aca="false">IF(I1063&lt;&gt;"OK","",IF(G1063=0,"",F1063/G1063))</f>
        <v/>
      </c>
      <c r="I1063" s="20" t="str">
        <f aca="true">IF(B1063="","",IF(ISNA(MATCH(B1063,ListaInsumos,0)),"Insumo no está en Insumos",IF(OR(D1063="",E1063="",F1063=""),"Faltan datos",IF(INDEX(UnidadesBase,MATCH(E1063,Unidades,0))&lt;&gt;INDEX(InsBase,MATCH(B1063,ListaInsumos,0)),"Unidad incompatible",IF(A1063="","Falta fecha","OK")))))</f>
        <v/>
      </c>
      <c r="J1063" s="15"/>
    </row>
    <row r="1064" customFormat="false" ht="15" hidden="false" customHeight="false" outlineLevel="0" collapsed="false">
      <c r="A1064" s="26"/>
      <c r="B1064" s="15"/>
      <c r="C1064" s="15"/>
      <c r="D1064" s="27"/>
      <c r="E1064" s="15"/>
      <c r="F1064" s="28"/>
      <c r="G1064" s="25" t="str">
        <f aca="true">IF(OR(D1064="",E1064=""),"",IFERROR(D1064*INDEX(UnidadesFactor,MATCH(E1064,Unidades,0)),""))</f>
        <v/>
      </c>
      <c r="H1064" s="17" t="str">
        <f aca="false">IF(I1064&lt;&gt;"OK","",IF(G1064=0,"",F1064/G1064))</f>
        <v/>
      </c>
      <c r="I1064" s="20" t="str">
        <f aca="true">IF(B1064="","",IF(ISNA(MATCH(B1064,ListaInsumos,0)),"Insumo no está en Insumos",IF(OR(D1064="",E1064="",F1064=""),"Faltan datos",IF(INDEX(UnidadesBase,MATCH(E1064,Unidades,0))&lt;&gt;INDEX(InsBase,MATCH(B1064,ListaInsumos,0)),"Unidad incompatible",IF(A1064="","Falta fecha","OK")))))</f>
        <v/>
      </c>
      <c r="J1064" s="15"/>
    </row>
    <row r="1065" customFormat="false" ht="15" hidden="false" customHeight="false" outlineLevel="0" collapsed="false">
      <c r="A1065" s="26"/>
      <c r="B1065" s="15"/>
      <c r="C1065" s="15"/>
      <c r="D1065" s="27"/>
      <c r="E1065" s="15"/>
      <c r="F1065" s="28"/>
      <c r="G1065" s="25" t="str">
        <f aca="true">IF(OR(D1065="",E1065=""),"",IFERROR(D1065*INDEX(UnidadesFactor,MATCH(E1065,Unidades,0)),""))</f>
        <v/>
      </c>
      <c r="H1065" s="17" t="str">
        <f aca="false">IF(I1065&lt;&gt;"OK","",IF(G1065=0,"",F1065/G1065))</f>
        <v/>
      </c>
      <c r="I1065" s="20" t="str">
        <f aca="true">IF(B1065="","",IF(ISNA(MATCH(B1065,ListaInsumos,0)),"Insumo no está en Insumos",IF(OR(D1065="",E1065="",F1065=""),"Faltan datos",IF(INDEX(UnidadesBase,MATCH(E1065,Unidades,0))&lt;&gt;INDEX(InsBase,MATCH(B1065,ListaInsumos,0)),"Unidad incompatible",IF(A1065="","Falta fecha","OK")))))</f>
        <v/>
      </c>
      <c r="J1065" s="15"/>
    </row>
    <row r="1066" customFormat="false" ht="15" hidden="false" customHeight="false" outlineLevel="0" collapsed="false">
      <c r="A1066" s="26"/>
      <c r="B1066" s="15"/>
      <c r="C1066" s="15"/>
      <c r="D1066" s="27"/>
      <c r="E1066" s="15"/>
      <c r="F1066" s="28"/>
      <c r="G1066" s="25" t="str">
        <f aca="true">IF(OR(D1066="",E1066=""),"",IFERROR(D1066*INDEX(UnidadesFactor,MATCH(E1066,Unidades,0)),""))</f>
        <v/>
      </c>
      <c r="H1066" s="17" t="str">
        <f aca="false">IF(I1066&lt;&gt;"OK","",IF(G1066=0,"",F1066/G1066))</f>
        <v/>
      </c>
      <c r="I1066" s="20" t="str">
        <f aca="true">IF(B1066="","",IF(ISNA(MATCH(B1066,ListaInsumos,0)),"Insumo no está en Insumos",IF(OR(D1066="",E1066="",F1066=""),"Faltan datos",IF(INDEX(UnidadesBase,MATCH(E1066,Unidades,0))&lt;&gt;INDEX(InsBase,MATCH(B1066,ListaInsumos,0)),"Unidad incompatible",IF(A1066="","Falta fecha","OK")))))</f>
        <v/>
      </c>
      <c r="J1066" s="15"/>
    </row>
    <row r="1067" customFormat="false" ht="15" hidden="false" customHeight="false" outlineLevel="0" collapsed="false">
      <c r="A1067" s="26"/>
      <c r="B1067" s="15"/>
      <c r="C1067" s="15"/>
      <c r="D1067" s="27"/>
      <c r="E1067" s="15"/>
      <c r="F1067" s="28"/>
      <c r="G1067" s="25" t="str">
        <f aca="true">IF(OR(D1067="",E1067=""),"",IFERROR(D1067*INDEX(UnidadesFactor,MATCH(E1067,Unidades,0)),""))</f>
        <v/>
      </c>
      <c r="H1067" s="17" t="str">
        <f aca="false">IF(I1067&lt;&gt;"OK","",IF(G1067=0,"",F1067/G1067))</f>
        <v/>
      </c>
      <c r="I1067" s="20" t="str">
        <f aca="true">IF(B1067="","",IF(ISNA(MATCH(B1067,ListaInsumos,0)),"Insumo no está en Insumos",IF(OR(D1067="",E1067="",F1067=""),"Faltan datos",IF(INDEX(UnidadesBase,MATCH(E1067,Unidades,0))&lt;&gt;INDEX(InsBase,MATCH(B1067,ListaInsumos,0)),"Unidad incompatible",IF(A1067="","Falta fecha","OK")))))</f>
        <v/>
      </c>
      <c r="J1067" s="15"/>
    </row>
    <row r="1068" customFormat="false" ht="15" hidden="false" customHeight="false" outlineLevel="0" collapsed="false">
      <c r="A1068" s="26"/>
      <c r="B1068" s="15"/>
      <c r="C1068" s="15"/>
      <c r="D1068" s="27"/>
      <c r="E1068" s="15"/>
      <c r="F1068" s="28"/>
      <c r="G1068" s="25" t="str">
        <f aca="true">IF(OR(D1068="",E1068=""),"",IFERROR(D1068*INDEX(UnidadesFactor,MATCH(E1068,Unidades,0)),""))</f>
        <v/>
      </c>
      <c r="H1068" s="17" t="str">
        <f aca="false">IF(I1068&lt;&gt;"OK","",IF(G1068=0,"",F1068/G1068))</f>
        <v/>
      </c>
      <c r="I1068" s="20" t="str">
        <f aca="true">IF(B1068="","",IF(ISNA(MATCH(B1068,ListaInsumos,0)),"Insumo no está en Insumos",IF(OR(D1068="",E1068="",F1068=""),"Faltan datos",IF(INDEX(UnidadesBase,MATCH(E1068,Unidades,0))&lt;&gt;INDEX(InsBase,MATCH(B1068,ListaInsumos,0)),"Unidad incompatible",IF(A1068="","Falta fecha","OK")))))</f>
        <v/>
      </c>
      <c r="J1068" s="15"/>
    </row>
    <row r="1069" customFormat="false" ht="15" hidden="false" customHeight="false" outlineLevel="0" collapsed="false">
      <c r="A1069" s="26"/>
      <c r="B1069" s="15"/>
      <c r="C1069" s="15"/>
      <c r="D1069" s="27"/>
      <c r="E1069" s="15"/>
      <c r="F1069" s="28"/>
      <c r="G1069" s="25" t="str">
        <f aca="true">IF(OR(D1069="",E1069=""),"",IFERROR(D1069*INDEX(UnidadesFactor,MATCH(E1069,Unidades,0)),""))</f>
        <v/>
      </c>
      <c r="H1069" s="17" t="str">
        <f aca="false">IF(I1069&lt;&gt;"OK","",IF(G1069=0,"",F1069/G1069))</f>
        <v/>
      </c>
      <c r="I1069" s="20" t="str">
        <f aca="true">IF(B1069="","",IF(ISNA(MATCH(B1069,ListaInsumos,0)),"Insumo no está en Insumos",IF(OR(D1069="",E1069="",F1069=""),"Faltan datos",IF(INDEX(UnidadesBase,MATCH(E1069,Unidades,0))&lt;&gt;INDEX(InsBase,MATCH(B1069,ListaInsumos,0)),"Unidad incompatible",IF(A1069="","Falta fecha","OK")))))</f>
        <v/>
      </c>
      <c r="J1069" s="15"/>
    </row>
    <row r="1070" customFormat="false" ht="15" hidden="false" customHeight="false" outlineLevel="0" collapsed="false">
      <c r="A1070" s="26"/>
      <c r="B1070" s="15"/>
      <c r="C1070" s="15"/>
      <c r="D1070" s="27"/>
      <c r="E1070" s="15"/>
      <c r="F1070" s="28"/>
      <c r="G1070" s="25" t="str">
        <f aca="true">IF(OR(D1070="",E1070=""),"",IFERROR(D1070*INDEX(UnidadesFactor,MATCH(E1070,Unidades,0)),""))</f>
        <v/>
      </c>
      <c r="H1070" s="17" t="str">
        <f aca="false">IF(I1070&lt;&gt;"OK","",IF(G1070=0,"",F1070/G1070))</f>
        <v/>
      </c>
      <c r="I1070" s="20" t="str">
        <f aca="true">IF(B1070="","",IF(ISNA(MATCH(B1070,ListaInsumos,0)),"Insumo no está en Insumos",IF(OR(D1070="",E1070="",F1070=""),"Faltan datos",IF(INDEX(UnidadesBase,MATCH(E1070,Unidades,0))&lt;&gt;INDEX(InsBase,MATCH(B1070,ListaInsumos,0)),"Unidad incompatible",IF(A1070="","Falta fecha","OK")))))</f>
        <v/>
      </c>
      <c r="J1070" s="15"/>
    </row>
    <row r="1071" customFormat="false" ht="15" hidden="false" customHeight="false" outlineLevel="0" collapsed="false">
      <c r="A1071" s="26"/>
      <c r="B1071" s="15"/>
      <c r="C1071" s="15"/>
      <c r="D1071" s="27"/>
      <c r="E1071" s="15"/>
      <c r="F1071" s="28"/>
      <c r="G1071" s="25" t="str">
        <f aca="true">IF(OR(D1071="",E1071=""),"",IFERROR(D1071*INDEX(UnidadesFactor,MATCH(E1071,Unidades,0)),""))</f>
        <v/>
      </c>
      <c r="H1071" s="17" t="str">
        <f aca="false">IF(I1071&lt;&gt;"OK","",IF(G1071=0,"",F1071/G1071))</f>
        <v/>
      </c>
      <c r="I1071" s="20" t="str">
        <f aca="true">IF(B1071="","",IF(ISNA(MATCH(B1071,ListaInsumos,0)),"Insumo no está en Insumos",IF(OR(D1071="",E1071="",F1071=""),"Faltan datos",IF(INDEX(UnidadesBase,MATCH(E1071,Unidades,0))&lt;&gt;INDEX(InsBase,MATCH(B1071,ListaInsumos,0)),"Unidad incompatible",IF(A1071="","Falta fecha","OK")))))</f>
        <v/>
      </c>
      <c r="J1071" s="15"/>
    </row>
    <row r="1072" customFormat="false" ht="15" hidden="false" customHeight="false" outlineLevel="0" collapsed="false">
      <c r="A1072" s="26"/>
      <c r="B1072" s="15"/>
      <c r="C1072" s="15"/>
      <c r="D1072" s="27"/>
      <c r="E1072" s="15"/>
      <c r="F1072" s="28"/>
      <c r="G1072" s="25" t="str">
        <f aca="true">IF(OR(D1072="",E1072=""),"",IFERROR(D1072*INDEX(UnidadesFactor,MATCH(E1072,Unidades,0)),""))</f>
        <v/>
      </c>
      <c r="H1072" s="17" t="str">
        <f aca="false">IF(I1072&lt;&gt;"OK","",IF(G1072=0,"",F1072/G1072))</f>
        <v/>
      </c>
      <c r="I1072" s="20" t="str">
        <f aca="true">IF(B1072="","",IF(ISNA(MATCH(B1072,ListaInsumos,0)),"Insumo no está en Insumos",IF(OR(D1072="",E1072="",F1072=""),"Faltan datos",IF(INDEX(UnidadesBase,MATCH(E1072,Unidades,0))&lt;&gt;INDEX(InsBase,MATCH(B1072,ListaInsumos,0)),"Unidad incompatible",IF(A1072="","Falta fecha","OK")))))</f>
        <v/>
      </c>
      <c r="J1072" s="15"/>
    </row>
    <row r="1073" customFormat="false" ht="15" hidden="false" customHeight="false" outlineLevel="0" collapsed="false">
      <c r="A1073" s="26"/>
      <c r="B1073" s="15"/>
      <c r="C1073" s="15"/>
      <c r="D1073" s="27"/>
      <c r="E1073" s="15"/>
      <c r="F1073" s="28"/>
      <c r="G1073" s="25" t="str">
        <f aca="true">IF(OR(D1073="",E1073=""),"",IFERROR(D1073*INDEX(UnidadesFactor,MATCH(E1073,Unidades,0)),""))</f>
        <v/>
      </c>
      <c r="H1073" s="17" t="str">
        <f aca="false">IF(I1073&lt;&gt;"OK","",IF(G1073=0,"",F1073/G1073))</f>
        <v/>
      </c>
      <c r="I1073" s="20" t="str">
        <f aca="true">IF(B1073="","",IF(ISNA(MATCH(B1073,ListaInsumos,0)),"Insumo no está en Insumos",IF(OR(D1073="",E1073="",F1073=""),"Faltan datos",IF(INDEX(UnidadesBase,MATCH(E1073,Unidades,0))&lt;&gt;INDEX(InsBase,MATCH(B1073,ListaInsumos,0)),"Unidad incompatible",IF(A1073="","Falta fecha","OK")))))</f>
        <v/>
      </c>
      <c r="J1073" s="15"/>
    </row>
    <row r="1074" customFormat="false" ht="15" hidden="false" customHeight="false" outlineLevel="0" collapsed="false">
      <c r="A1074" s="26"/>
      <c r="B1074" s="15"/>
      <c r="C1074" s="15"/>
      <c r="D1074" s="27"/>
      <c r="E1074" s="15"/>
      <c r="F1074" s="28"/>
      <c r="G1074" s="25" t="str">
        <f aca="true">IF(OR(D1074="",E1074=""),"",IFERROR(D1074*INDEX(UnidadesFactor,MATCH(E1074,Unidades,0)),""))</f>
        <v/>
      </c>
      <c r="H1074" s="17" t="str">
        <f aca="false">IF(I1074&lt;&gt;"OK","",IF(G1074=0,"",F1074/G1074))</f>
        <v/>
      </c>
      <c r="I1074" s="20" t="str">
        <f aca="true">IF(B1074="","",IF(ISNA(MATCH(B1074,ListaInsumos,0)),"Insumo no está en Insumos",IF(OR(D1074="",E1074="",F1074=""),"Faltan datos",IF(INDEX(UnidadesBase,MATCH(E1074,Unidades,0))&lt;&gt;INDEX(InsBase,MATCH(B1074,ListaInsumos,0)),"Unidad incompatible",IF(A1074="","Falta fecha","OK")))))</f>
        <v/>
      </c>
      <c r="J1074" s="15"/>
    </row>
    <row r="1075" customFormat="false" ht="15" hidden="false" customHeight="false" outlineLevel="0" collapsed="false">
      <c r="A1075" s="26"/>
      <c r="B1075" s="15"/>
      <c r="C1075" s="15"/>
      <c r="D1075" s="27"/>
      <c r="E1075" s="15"/>
      <c r="F1075" s="28"/>
      <c r="G1075" s="25" t="str">
        <f aca="true">IF(OR(D1075="",E1075=""),"",IFERROR(D1075*INDEX(UnidadesFactor,MATCH(E1075,Unidades,0)),""))</f>
        <v/>
      </c>
      <c r="H1075" s="17" t="str">
        <f aca="false">IF(I1075&lt;&gt;"OK","",IF(G1075=0,"",F1075/G1075))</f>
        <v/>
      </c>
      <c r="I1075" s="20" t="str">
        <f aca="true">IF(B1075="","",IF(ISNA(MATCH(B1075,ListaInsumos,0)),"Insumo no está en Insumos",IF(OR(D1075="",E1075="",F1075=""),"Faltan datos",IF(INDEX(UnidadesBase,MATCH(E1075,Unidades,0))&lt;&gt;INDEX(InsBase,MATCH(B1075,ListaInsumos,0)),"Unidad incompatible",IF(A1075="","Falta fecha","OK")))))</f>
        <v/>
      </c>
      <c r="J1075" s="15"/>
    </row>
    <row r="1076" customFormat="false" ht="15" hidden="false" customHeight="false" outlineLevel="0" collapsed="false">
      <c r="A1076" s="26"/>
      <c r="B1076" s="15"/>
      <c r="C1076" s="15"/>
      <c r="D1076" s="27"/>
      <c r="E1076" s="15"/>
      <c r="F1076" s="28"/>
      <c r="G1076" s="25" t="str">
        <f aca="true">IF(OR(D1076="",E1076=""),"",IFERROR(D1076*INDEX(UnidadesFactor,MATCH(E1076,Unidades,0)),""))</f>
        <v/>
      </c>
      <c r="H1076" s="17" t="str">
        <f aca="false">IF(I1076&lt;&gt;"OK","",IF(G1076=0,"",F1076/G1076))</f>
        <v/>
      </c>
      <c r="I1076" s="20" t="str">
        <f aca="true">IF(B1076="","",IF(ISNA(MATCH(B1076,ListaInsumos,0)),"Insumo no está en Insumos",IF(OR(D1076="",E1076="",F1076=""),"Faltan datos",IF(INDEX(UnidadesBase,MATCH(E1076,Unidades,0))&lt;&gt;INDEX(InsBase,MATCH(B1076,ListaInsumos,0)),"Unidad incompatible",IF(A1076="","Falta fecha","OK")))))</f>
        <v/>
      </c>
      <c r="J1076" s="15"/>
    </row>
    <row r="1077" customFormat="false" ht="15" hidden="false" customHeight="false" outlineLevel="0" collapsed="false">
      <c r="A1077" s="26"/>
      <c r="B1077" s="15"/>
      <c r="C1077" s="15"/>
      <c r="D1077" s="27"/>
      <c r="E1077" s="15"/>
      <c r="F1077" s="28"/>
      <c r="G1077" s="25" t="str">
        <f aca="true">IF(OR(D1077="",E1077=""),"",IFERROR(D1077*INDEX(UnidadesFactor,MATCH(E1077,Unidades,0)),""))</f>
        <v/>
      </c>
      <c r="H1077" s="17" t="str">
        <f aca="false">IF(I1077&lt;&gt;"OK","",IF(G1077=0,"",F1077/G1077))</f>
        <v/>
      </c>
      <c r="I1077" s="20" t="str">
        <f aca="true">IF(B1077="","",IF(ISNA(MATCH(B1077,ListaInsumos,0)),"Insumo no está en Insumos",IF(OR(D1077="",E1077="",F1077=""),"Faltan datos",IF(INDEX(UnidadesBase,MATCH(E1077,Unidades,0))&lt;&gt;INDEX(InsBase,MATCH(B1077,ListaInsumos,0)),"Unidad incompatible",IF(A1077="","Falta fecha","OK")))))</f>
        <v/>
      </c>
      <c r="J1077" s="15"/>
    </row>
    <row r="1078" customFormat="false" ht="15" hidden="false" customHeight="false" outlineLevel="0" collapsed="false">
      <c r="A1078" s="26"/>
      <c r="B1078" s="15"/>
      <c r="C1078" s="15"/>
      <c r="D1078" s="27"/>
      <c r="E1078" s="15"/>
      <c r="F1078" s="28"/>
      <c r="G1078" s="25" t="str">
        <f aca="true">IF(OR(D1078="",E1078=""),"",IFERROR(D1078*INDEX(UnidadesFactor,MATCH(E1078,Unidades,0)),""))</f>
        <v/>
      </c>
      <c r="H1078" s="17" t="str">
        <f aca="false">IF(I1078&lt;&gt;"OK","",IF(G1078=0,"",F1078/G1078))</f>
        <v/>
      </c>
      <c r="I1078" s="20" t="str">
        <f aca="true">IF(B1078="","",IF(ISNA(MATCH(B1078,ListaInsumos,0)),"Insumo no está en Insumos",IF(OR(D1078="",E1078="",F1078=""),"Faltan datos",IF(INDEX(UnidadesBase,MATCH(E1078,Unidades,0))&lt;&gt;INDEX(InsBase,MATCH(B1078,ListaInsumos,0)),"Unidad incompatible",IF(A1078="","Falta fecha","OK")))))</f>
        <v/>
      </c>
      <c r="J1078" s="15"/>
    </row>
    <row r="1079" customFormat="false" ht="15" hidden="false" customHeight="false" outlineLevel="0" collapsed="false">
      <c r="A1079" s="26"/>
      <c r="B1079" s="15"/>
      <c r="C1079" s="15"/>
      <c r="D1079" s="27"/>
      <c r="E1079" s="15"/>
      <c r="F1079" s="28"/>
      <c r="G1079" s="25" t="str">
        <f aca="true">IF(OR(D1079="",E1079=""),"",IFERROR(D1079*INDEX(UnidadesFactor,MATCH(E1079,Unidades,0)),""))</f>
        <v/>
      </c>
      <c r="H1079" s="17" t="str">
        <f aca="false">IF(I1079&lt;&gt;"OK","",IF(G1079=0,"",F1079/G1079))</f>
        <v/>
      </c>
      <c r="I1079" s="20" t="str">
        <f aca="true">IF(B1079="","",IF(ISNA(MATCH(B1079,ListaInsumos,0)),"Insumo no está en Insumos",IF(OR(D1079="",E1079="",F1079=""),"Faltan datos",IF(INDEX(UnidadesBase,MATCH(E1079,Unidades,0))&lt;&gt;INDEX(InsBase,MATCH(B1079,ListaInsumos,0)),"Unidad incompatible",IF(A1079="","Falta fecha","OK")))))</f>
        <v/>
      </c>
      <c r="J1079" s="15"/>
    </row>
    <row r="1080" customFormat="false" ht="15" hidden="false" customHeight="false" outlineLevel="0" collapsed="false">
      <c r="A1080" s="26"/>
      <c r="B1080" s="15"/>
      <c r="C1080" s="15"/>
      <c r="D1080" s="27"/>
      <c r="E1080" s="15"/>
      <c r="F1080" s="28"/>
      <c r="G1080" s="25" t="str">
        <f aca="true">IF(OR(D1080="",E1080=""),"",IFERROR(D1080*INDEX(UnidadesFactor,MATCH(E1080,Unidades,0)),""))</f>
        <v/>
      </c>
      <c r="H1080" s="17" t="str">
        <f aca="false">IF(I1080&lt;&gt;"OK","",IF(G1080=0,"",F1080/G1080))</f>
        <v/>
      </c>
      <c r="I1080" s="20" t="str">
        <f aca="true">IF(B1080="","",IF(ISNA(MATCH(B1080,ListaInsumos,0)),"Insumo no está en Insumos",IF(OR(D1080="",E1080="",F1080=""),"Faltan datos",IF(INDEX(UnidadesBase,MATCH(E1080,Unidades,0))&lt;&gt;INDEX(InsBase,MATCH(B1080,ListaInsumos,0)),"Unidad incompatible",IF(A1080="","Falta fecha","OK")))))</f>
        <v/>
      </c>
      <c r="J1080" s="15"/>
    </row>
    <row r="1081" customFormat="false" ht="15" hidden="false" customHeight="false" outlineLevel="0" collapsed="false">
      <c r="A1081" s="26"/>
      <c r="B1081" s="15"/>
      <c r="C1081" s="15"/>
      <c r="D1081" s="27"/>
      <c r="E1081" s="15"/>
      <c r="F1081" s="28"/>
      <c r="G1081" s="25" t="str">
        <f aca="true">IF(OR(D1081="",E1081=""),"",IFERROR(D1081*INDEX(UnidadesFactor,MATCH(E1081,Unidades,0)),""))</f>
        <v/>
      </c>
      <c r="H1081" s="17" t="str">
        <f aca="false">IF(I1081&lt;&gt;"OK","",IF(G1081=0,"",F1081/G1081))</f>
        <v/>
      </c>
      <c r="I1081" s="20" t="str">
        <f aca="true">IF(B1081="","",IF(ISNA(MATCH(B1081,ListaInsumos,0)),"Insumo no está en Insumos",IF(OR(D1081="",E1081="",F1081=""),"Faltan datos",IF(INDEX(UnidadesBase,MATCH(E1081,Unidades,0))&lt;&gt;INDEX(InsBase,MATCH(B1081,ListaInsumos,0)),"Unidad incompatible",IF(A1081="","Falta fecha","OK")))))</f>
        <v/>
      </c>
      <c r="J1081" s="15"/>
    </row>
    <row r="1082" customFormat="false" ht="15" hidden="false" customHeight="false" outlineLevel="0" collapsed="false">
      <c r="A1082" s="26"/>
      <c r="B1082" s="15"/>
      <c r="C1082" s="15"/>
      <c r="D1082" s="27"/>
      <c r="E1082" s="15"/>
      <c r="F1082" s="28"/>
      <c r="G1082" s="25" t="str">
        <f aca="true">IF(OR(D1082="",E1082=""),"",IFERROR(D1082*INDEX(UnidadesFactor,MATCH(E1082,Unidades,0)),""))</f>
        <v/>
      </c>
      <c r="H1082" s="17" t="str">
        <f aca="false">IF(I1082&lt;&gt;"OK","",IF(G1082=0,"",F1082/G1082))</f>
        <v/>
      </c>
      <c r="I1082" s="20" t="str">
        <f aca="true">IF(B1082="","",IF(ISNA(MATCH(B1082,ListaInsumos,0)),"Insumo no está en Insumos",IF(OR(D1082="",E1082="",F1082=""),"Faltan datos",IF(INDEX(UnidadesBase,MATCH(E1082,Unidades,0))&lt;&gt;INDEX(InsBase,MATCH(B1082,ListaInsumos,0)),"Unidad incompatible",IF(A1082="","Falta fecha","OK")))))</f>
        <v/>
      </c>
      <c r="J1082" s="15"/>
    </row>
    <row r="1083" customFormat="false" ht="15" hidden="false" customHeight="false" outlineLevel="0" collapsed="false">
      <c r="A1083" s="26"/>
      <c r="B1083" s="15"/>
      <c r="C1083" s="15"/>
      <c r="D1083" s="27"/>
      <c r="E1083" s="15"/>
      <c r="F1083" s="28"/>
      <c r="G1083" s="25" t="str">
        <f aca="true">IF(OR(D1083="",E1083=""),"",IFERROR(D1083*INDEX(UnidadesFactor,MATCH(E1083,Unidades,0)),""))</f>
        <v/>
      </c>
      <c r="H1083" s="17" t="str">
        <f aca="false">IF(I1083&lt;&gt;"OK","",IF(G1083=0,"",F1083/G1083))</f>
        <v/>
      </c>
      <c r="I1083" s="20" t="str">
        <f aca="true">IF(B1083="","",IF(ISNA(MATCH(B1083,ListaInsumos,0)),"Insumo no está en Insumos",IF(OR(D1083="",E1083="",F1083=""),"Faltan datos",IF(INDEX(UnidadesBase,MATCH(E1083,Unidades,0))&lt;&gt;INDEX(InsBase,MATCH(B1083,ListaInsumos,0)),"Unidad incompatible",IF(A1083="","Falta fecha","OK")))))</f>
        <v/>
      </c>
      <c r="J1083" s="15"/>
    </row>
    <row r="1084" customFormat="false" ht="15" hidden="false" customHeight="false" outlineLevel="0" collapsed="false">
      <c r="A1084" s="26"/>
      <c r="B1084" s="15"/>
      <c r="C1084" s="15"/>
      <c r="D1084" s="27"/>
      <c r="E1084" s="15"/>
      <c r="F1084" s="28"/>
      <c r="G1084" s="25" t="str">
        <f aca="true">IF(OR(D1084="",E1084=""),"",IFERROR(D1084*INDEX(UnidadesFactor,MATCH(E1084,Unidades,0)),""))</f>
        <v/>
      </c>
      <c r="H1084" s="17" t="str">
        <f aca="false">IF(I1084&lt;&gt;"OK","",IF(G1084=0,"",F1084/G1084))</f>
        <v/>
      </c>
      <c r="I1084" s="20" t="str">
        <f aca="true">IF(B1084="","",IF(ISNA(MATCH(B1084,ListaInsumos,0)),"Insumo no está en Insumos",IF(OR(D1084="",E1084="",F1084=""),"Faltan datos",IF(INDEX(UnidadesBase,MATCH(E1084,Unidades,0))&lt;&gt;INDEX(InsBase,MATCH(B1084,ListaInsumos,0)),"Unidad incompatible",IF(A1084="","Falta fecha","OK")))))</f>
        <v/>
      </c>
      <c r="J1084" s="15"/>
    </row>
    <row r="1085" customFormat="false" ht="15" hidden="false" customHeight="false" outlineLevel="0" collapsed="false">
      <c r="A1085" s="26"/>
      <c r="B1085" s="15"/>
      <c r="C1085" s="15"/>
      <c r="D1085" s="27"/>
      <c r="E1085" s="15"/>
      <c r="F1085" s="28"/>
      <c r="G1085" s="25" t="str">
        <f aca="true">IF(OR(D1085="",E1085=""),"",IFERROR(D1085*INDEX(UnidadesFactor,MATCH(E1085,Unidades,0)),""))</f>
        <v/>
      </c>
      <c r="H1085" s="17" t="str">
        <f aca="false">IF(I1085&lt;&gt;"OK","",IF(G1085=0,"",F1085/G1085))</f>
        <v/>
      </c>
      <c r="I1085" s="20" t="str">
        <f aca="true">IF(B1085="","",IF(ISNA(MATCH(B1085,ListaInsumos,0)),"Insumo no está en Insumos",IF(OR(D1085="",E1085="",F1085=""),"Faltan datos",IF(INDEX(UnidadesBase,MATCH(E1085,Unidades,0))&lt;&gt;INDEX(InsBase,MATCH(B1085,ListaInsumos,0)),"Unidad incompatible",IF(A1085="","Falta fecha","OK")))))</f>
        <v/>
      </c>
      <c r="J1085" s="15"/>
    </row>
    <row r="1086" customFormat="false" ht="15" hidden="false" customHeight="false" outlineLevel="0" collapsed="false">
      <c r="A1086" s="26"/>
      <c r="B1086" s="15"/>
      <c r="C1086" s="15"/>
      <c r="D1086" s="27"/>
      <c r="E1086" s="15"/>
      <c r="F1086" s="28"/>
      <c r="G1086" s="25" t="str">
        <f aca="true">IF(OR(D1086="",E1086=""),"",IFERROR(D1086*INDEX(UnidadesFactor,MATCH(E1086,Unidades,0)),""))</f>
        <v/>
      </c>
      <c r="H1086" s="17" t="str">
        <f aca="false">IF(I1086&lt;&gt;"OK","",IF(G1086=0,"",F1086/G1086))</f>
        <v/>
      </c>
      <c r="I1086" s="20" t="str">
        <f aca="true">IF(B1086="","",IF(ISNA(MATCH(B1086,ListaInsumos,0)),"Insumo no está en Insumos",IF(OR(D1086="",E1086="",F1086=""),"Faltan datos",IF(INDEX(UnidadesBase,MATCH(E1086,Unidades,0))&lt;&gt;INDEX(InsBase,MATCH(B1086,ListaInsumos,0)),"Unidad incompatible",IF(A1086="","Falta fecha","OK")))))</f>
        <v/>
      </c>
      <c r="J1086" s="15"/>
    </row>
    <row r="1087" customFormat="false" ht="15" hidden="false" customHeight="false" outlineLevel="0" collapsed="false">
      <c r="A1087" s="26"/>
      <c r="B1087" s="15"/>
      <c r="C1087" s="15"/>
      <c r="D1087" s="27"/>
      <c r="E1087" s="15"/>
      <c r="F1087" s="28"/>
      <c r="G1087" s="25" t="str">
        <f aca="true">IF(OR(D1087="",E1087=""),"",IFERROR(D1087*INDEX(UnidadesFactor,MATCH(E1087,Unidades,0)),""))</f>
        <v/>
      </c>
      <c r="H1087" s="17" t="str">
        <f aca="false">IF(I1087&lt;&gt;"OK","",IF(G1087=0,"",F1087/G1087))</f>
        <v/>
      </c>
      <c r="I1087" s="20" t="str">
        <f aca="true">IF(B1087="","",IF(ISNA(MATCH(B1087,ListaInsumos,0)),"Insumo no está en Insumos",IF(OR(D1087="",E1087="",F1087=""),"Faltan datos",IF(INDEX(UnidadesBase,MATCH(E1087,Unidades,0))&lt;&gt;INDEX(InsBase,MATCH(B1087,ListaInsumos,0)),"Unidad incompatible",IF(A1087="","Falta fecha","OK")))))</f>
        <v/>
      </c>
      <c r="J1087" s="15"/>
    </row>
    <row r="1088" customFormat="false" ht="15" hidden="false" customHeight="false" outlineLevel="0" collapsed="false">
      <c r="A1088" s="26"/>
      <c r="B1088" s="15"/>
      <c r="C1088" s="15"/>
      <c r="D1088" s="27"/>
      <c r="E1088" s="15"/>
      <c r="F1088" s="28"/>
      <c r="G1088" s="25" t="str">
        <f aca="true">IF(OR(D1088="",E1088=""),"",IFERROR(D1088*INDEX(UnidadesFactor,MATCH(E1088,Unidades,0)),""))</f>
        <v/>
      </c>
      <c r="H1088" s="17" t="str">
        <f aca="false">IF(I1088&lt;&gt;"OK","",IF(G1088=0,"",F1088/G1088))</f>
        <v/>
      </c>
      <c r="I1088" s="20" t="str">
        <f aca="true">IF(B1088="","",IF(ISNA(MATCH(B1088,ListaInsumos,0)),"Insumo no está en Insumos",IF(OR(D1088="",E1088="",F1088=""),"Faltan datos",IF(INDEX(UnidadesBase,MATCH(E1088,Unidades,0))&lt;&gt;INDEX(InsBase,MATCH(B1088,ListaInsumos,0)),"Unidad incompatible",IF(A1088="","Falta fecha","OK")))))</f>
        <v/>
      </c>
      <c r="J1088" s="15"/>
    </row>
    <row r="1089" customFormat="false" ht="15" hidden="false" customHeight="false" outlineLevel="0" collapsed="false">
      <c r="A1089" s="26"/>
      <c r="B1089" s="15"/>
      <c r="C1089" s="15"/>
      <c r="D1089" s="27"/>
      <c r="E1089" s="15"/>
      <c r="F1089" s="28"/>
      <c r="G1089" s="25" t="str">
        <f aca="true">IF(OR(D1089="",E1089=""),"",IFERROR(D1089*INDEX(UnidadesFactor,MATCH(E1089,Unidades,0)),""))</f>
        <v/>
      </c>
      <c r="H1089" s="17" t="str">
        <f aca="false">IF(I1089&lt;&gt;"OK","",IF(G1089=0,"",F1089/G1089))</f>
        <v/>
      </c>
      <c r="I1089" s="20" t="str">
        <f aca="true">IF(B1089="","",IF(ISNA(MATCH(B1089,ListaInsumos,0)),"Insumo no está en Insumos",IF(OR(D1089="",E1089="",F1089=""),"Faltan datos",IF(INDEX(UnidadesBase,MATCH(E1089,Unidades,0))&lt;&gt;INDEX(InsBase,MATCH(B1089,ListaInsumos,0)),"Unidad incompatible",IF(A1089="","Falta fecha","OK")))))</f>
        <v/>
      </c>
      <c r="J1089" s="15"/>
    </row>
    <row r="1090" customFormat="false" ht="15" hidden="false" customHeight="false" outlineLevel="0" collapsed="false">
      <c r="A1090" s="26"/>
      <c r="B1090" s="15"/>
      <c r="C1090" s="15"/>
      <c r="D1090" s="27"/>
      <c r="E1090" s="15"/>
      <c r="F1090" s="28"/>
      <c r="G1090" s="25" t="str">
        <f aca="true">IF(OR(D1090="",E1090=""),"",IFERROR(D1090*INDEX(UnidadesFactor,MATCH(E1090,Unidades,0)),""))</f>
        <v/>
      </c>
      <c r="H1090" s="17" t="str">
        <f aca="false">IF(I1090&lt;&gt;"OK","",IF(G1090=0,"",F1090/G1090))</f>
        <v/>
      </c>
      <c r="I1090" s="20" t="str">
        <f aca="true">IF(B1090="","",IF(ISNA(MATCH(B1090,ListaInsumos,0)),"Insumo no está en Insumos",IF(OR(D1090="",E1090="",F1090=""),"Faltan datos",IF(INDEX(UnidadesBase,MATCH(E1090,Unidades,0))&lt;&gt;INDEX(InsBase,MATCH(B1090,ListaInsumos,0)),"Unidad incompatible",IF(A1090="","Falta fecha","OK")))))</f>
        <v/>
      </c>
      <c r="J1090" s="15"/>
    </row>
    <row r="1091" customFormat="false" ht="15" hidden="false" customHeight="false" outlineLevel="0" collapsed="false">
      <c r="A1091" s="26"/>
      <c r="B1091" s="15"/>
      <c r="C1091" s="15"/>
      <c r="D1091" s="27"/>
      <c r="E1091" s="15"/>
      <c r="F1091" s="28"/>
      <c r="G1091" s="25" t="str">
        <f aca="true">IF(OR(D1091="",E1091=""),"",IFERROR(D1091*INDEX(UnidadesFactor,MATCH(E1091,Unidades,0)),""))</f>
        <v/>
      </c>
      <c r="H1091" s="17" t="str">
        <f aca="false">IF(I1091&lt;&gt;"OK","",IF(G1091=0,"",F1091/G1091))</f>
        <v/>
      </c>
      <c r="I1091" s="20" t="str">
        <f aca="true">IF(B1091="","",IF(ISNA(MATCH(B1091,ListaInsumos,0)),"Insumo no está en Insumos",IF(OR(D1091="",E1091="",F1091=""),"Faltan datos",IF(INDEX(UnidadesBase,MATCH(E1091,Unidades,0))&lt;&gt;INDEX(InsBase,MATCH(B1091,ListaInsumos,0)),"Unidad incompatible",IF(A1091="","Falta fecha","OK")))))</f>
        <v/>
      </c>
      <c r="J1091" s="15"/>
    </row>
    <row r="1092" customFormat="false" ht="15" hidden="false" customHeight="false" outlineLevel="0" collapsed="false">
      <c r="A1092" s="26"/>
      <c r="B1092" s="15"/>
      <c r="C1092" s="15"/>
      <c r="D1092" s="27"/>
      <c r="E1092" s="15"/>
      <c r="F1092" s="28"/>
      <c r="G1092" s="25" t="str">
        <f aca="true">IF(OR(D1092="",E1092=""),"",IFERROR(D1092*INDEX(UnidadesFactor,MATCH(E1092,Unidades,0)),""))</f>
        <v/>
      </c>
      <c r="H1092" s="17" t="str">
        <f aca="false">IF(I1092&lt;&gt;"OK","",IF(G1092=0,"",F1092/G1092))</f>
        <v/>
      </c>
      <c r="I1092" s="20" t="str">
        <f aca="true">IF(B1092="","",IF(ISNA(MATCH(B1092,ListaInsumos,0)),"Insumo no está en Insumos",IF(OR(D1092="",E1092="",F1092=""),"Faltan datos",IF(INDEX(UnidadesBase,MATCH(E1092,Unidades,0))&lt;&gt;INDEX(InsBase,MATCH(B1092,ListaInsumos,0)),"Unidad incompatible",IF(A1092="","Falta fecha","OK")))))</f>
        <v/>
      </c>
      <c r="J1092" s="15"/>
    </row>
    <row r="1093" customFormat="false" ht="15" hidden="false" customHeight="false" outlineLevel="0" collapsed="false">
      <c r="A1093" s="26"/>
      <c r="B1093" s="15"/>
      <c r="C1093" s="15"/>
      <c r="D1093" s="27"/>
      <c r="E1093" s="15"/>
      <c r="F1093" s="28"/>
      <c r="G1093" s="25" t="str">
        <f aca="true">IF(OR(D1093="",E1093=""),"",IFERROR(D1093*INDEX(UnidadesFactor,MATCH(E1093,Unidades,0)),""))</f>
        <v/>
      </c>
      <c r="H1093" s="17" t="str">
        <f aca="false">IF(I1093&lt;&gt;"OK","",IF(G1093=0,"",F1093/G1093))</f>
        <v/>
      </c>
      <c r="I1093" s="20" t="str">
        <f aca="true">IF(B1093="","",IF(ISNA(MATCH(B1093,ListaInsumos,0)),"Insumo no está en Insumos",IF(OR(D1093="",E1093="",F1093=""),"Faltan datos",IF(INDEX(UnidadesBase,MATCH(E1093,Unidades,0))&lt;&gt;INDEX(InsBase,MATCH(B1093,ListaInsumos,0)),"Unidad incompatible",IF(A1093="","Falta fecha","OK")))))</f>
        <v/>
      </c>
      <c r="J1093" s="15"/>
    </row>
    <row r="1094" customFormat="false" ht="15" hidden="false" customHeight="false" outlineLevel="0" collapsed="false">
      <c r="A1094" s="26"/>
      <c r="B1094" s="15"/>
      <c r="C1094" s="15"/>
      <c r="D1094" s="27"/>
      <c r="E1094" s="15"/>
      <c r="F1094" s="28"/>
      <c r="G1094" s="25" t="str">
        <f aca="true">IF(OR(D1094="",E1094=""),"",IFERROR(D1094*INDEX(UnidadesFactor,MATCH(E1094,Unidades,0)),""))</f>
        <v/>
      </c>
      <c r="H1094" s="17" t="str">
        <f aca="false">IF(I1094&lt;&gt;"OK","",IF(G1094=0,"",F1094/G1094))</f>
        <v/>
      </c>
      <c r="I1094" s="20" t="str">
        <f aca="true">IF(B1094="","",IF(ISNA(MATCH(B1094,ListaInsumos,0)),"Insumo no está en Insumos",IF(OR(D1094="",E1094="",F1094=""),"Faltan datos",IF(INDEX(UnidadesBase,MATCH(E1094,Unidades,0))&lt;&gt;INDEX(InsBase,MATCH(B1094,ListaInsumos,0)),"Unidad incompatible",IF(A1094="","Falta fecha","OK")))))</f>
        <v/>
      </c>
      <c r="J1094" s="15"/>
    </row>
    <row r="1095" customFormat="false" ht="15" hidden="false" customHeight="false" outlineLevel="0" collapsed="false">
      <c r="A1095" s="26"/>
      <c r="B1095" s="15"/>
      <c r="C1095" s="15"/>
      <c r="D1095" s="27"/>
      <c r="E1095" s="15"/>
      <c r="F1095" s="28"/>
      <c r="G1095" s="25" t="str">
        <f aca="true">IF(OR(D1095="",E1095=""),"",IFERROR(D1095*INDEX(UnidadesFactor,MATCH(E1095,Unidades,0)),""))</f>
        <v/>
      </c>
      <c r="H1095" s="17" t="str">
        <f aca="false">IF(I1095&lt;&gt;"OK","",IF(G1095=0,"",F1095/G1095))</f>
        <v/>
      </c>
      <c r="I1095" s="20" t="str">
        <f aca="true">IF(B1095="","",IF(ISNA(MATCH(B1095,ListaInsumos,0)),"Insumo no está en Insumos",IF(OR(D1095="",E1095="",F1095=""),"Faltan datos",IF(INDEX(UnidadesBase,MATCH(E1095,Unidades,0))&lt;&gt;INDEX(InsBase,MATCH(B1095,ListaInsumos,0)),"Unidad incompatible",IF(A1095="","Falta fecha","OK")))))</f>
        <v/>
      </c>
      <c r="J1095" s="15"/>
    </row>
    <row r="1096" customFormat="false" ht="15" hidden="false" customHeight="false" outlineLevel="0" collapsed="false">
      <c r="A1096" s="26"/>
      <c r="B1096" s="15"/>
      <c r="C1096" s="15"/>
      <c r="D1096" s="27"/>
      <c r="E1096" s="15"/>
      <c r="F1096" s="28"/>
      <c r="G1096" s="25" t="str">
        <f aca="true">IF(OR(D1096="",E1096=""),"",IFERROR(D1096*INDEX(UnidadesFactor,MATCH(E1096,Unidades,0)),""))</f>
        <v/>
      </c>
      <c r="H1096" s="17" t="str">
        <f aca="false">IF(I1096&lt;&gt;"OK","",IF(G1096=0,"",F1096/G1096))</f>
        <v/>
      </c>
      <c r="I1096" s="20" t="str">
        <f aca="true">IF(B1096="","",IF(ISNA(MATCH(B1096,ListaInsumos,0)),"Insumo no está en Insumos",IF(OR(D1096="",E1096="",F1096=""),"Faltan datos",IF(INDEX(UnidadesBase,MATCH(E1096,Unidades,0))&lt;&gt;INDEX(InsBase,MATCH(B1096,ListaInsumos,0)),"Unidad incompatible",IF(A1096="","Falta fecha","OK")))))</f>
        <v/>
      </c>
      <c r="J1096" s="15"/>
    </row>
    <row r="1097" customFormat="false" ht="15" hidden="false" customHeight="false" outlineLevel="0" collapsed="false">
      <c r="A1097" s="26"/>
      <c r="B1097" s="15"/>
      <c r="C1097" s="15"/>
      <c r="D1097" s="27"/>
      <c r="E1097" s="15"/>
      <c r="F1097" s="28"/>
      <c r="G1097" s="25" t="str">
        <f aca="true">IF(OR(D1097="",E1097=""),"",IFERROR(D1097*INDEX(UnidadesFactor,MATCH(E1097,Unidades,0)),""))</f>
        <v/>
      </c>
      <c r="H1097" s="17" t="str">
        <f aca="false">IF(I1097&lt;&gt;"OK","",IF(G1097=0,"",F1097/G1097))</f>
        <v/>
      </c>
      <c r="I1097" s="20" t="str">
        <f aca="true">IF(B1097="","",IF(ISNA(MATCH(B1097,ListaInsumos,0)),"Insumo no está en Insumos",IF(OR(D1097="",E1097="",F1097=""),"Faltan datos",IF(INDEX(UnidadesBase,MATCH(E1097,Unidades,0))&lt;&gt;INDEX(InsBase,MATCH(B1097,ListaInsumos,0)),"Unidad incompatible",IF(A1097="","Falta fecha","OK")))))</f>
        <v/>
      </c>
      <c r="J1097" s="15"/>
    </row>
    <row r="1098" customFormat="false" ht="15" hidden="false" customHeight="false" outlineLevel="0" collapsed="false">
      <c r="A1098" s="26"/>
      <c r="B1098" s="15"/>
      <c r="C1098" s="15"/>
      <c r="D1098" s="27"/>
      <c r="E1098" s="15"/>
      <c r="F1098" s="28"/>
      <c r="G1098" s="25" t="str">
        <f aca="true">IF(OR(D1098="",E1098=""),"",IFERROR(D1098*INDEX(UnidadesFactor,MATCH(E1098,Unidades,0)),""))</f>
        <v/>
      </c>
      <c r="H1098" s="17" t="str">
        <f aca="false">IF(I1098&lt;&gt;"OK","",IF(G1098=0,"",F1098/G1098))</f>
        <v/>
      </c>
      <c r="I1098" s="20" t="str">
        <f aca="true">IF(B1098="","",IF(ISNA(MATCH(B1098,ListaInsumos,0)),"Insumo no está en Insumos",IF(OR(D1098="",E1098="",F1098=""),"Faltan datos",IF(INDEX(UnidadesBase,MATCH(E1098,Unidades,0))&lt;&gt;INDEX(InsBase,MATCH(B1098,ListaInsumos,0)),"Unidad incompatible",IF(A1098="","Falta fecha","OK")))))</f>
        <v/>
      </c>
      <c r="J1098" s="15"/>
    </row>
    <row r="1099" customFormat="false" ht="15" hidden="false" customHeight="false" outlineLevel="0" collapsed="false">
      <c r="A1099" s="26"/>
      <c r="B1099" s="15"/>
      <c r="C1099" s="15"/>
      <c r="D1099" s="27"/>
      <c r="E1099" s="15"/>
      <c r="F1099" s="28"/>
      <c r="G1099" s="25" t="str">
        <f aca="true">IF(OR(D1099="",E1099=""),"",IFERROR(D1099*INDEX(UnidadesFactor,MATCH(E1099,Unidades,0)),""))</f>
        <v/>
      </c>
      <c r="H1099" s="17" t="str">
        <f aca="false">IF(I1099&lt;&gt;"OK","",IF(G1099=0,"",F1099/G1099))</f>
        <v/>
      </c>
      <c r="I1099" s="20" t="str">
        <f aca="true">IF(B1099="","",IF(ISNA(MATCH(B1099,ListaInsumos,0)),"Insumo no está en Insumos",IF(OR(D1099="",E1099="",F1099=""),"Faltan datos",IF(INDEX(UnidadesBase,MATCH(E1099,Unidades,0))&lt;&gt;INDEX(InsBase,MATCH(B1099,ListaInsumos,0)),"Unidad incompatible",IF(A1099="","Falta fecha","OK")))))</f>
        <v/>
      </c>
      <c r="J1099" s="15"/>
    </row>
    <row r="1100" customFormat="false" ht="15" hidden="false" customHeight="false" outlineLevel="0" collapsed="false">
      <c r="A1100" s="26"/>
      <c r="B1100" s="15"/>
      <c r="C1100" s="15"/>
      <c r="D1100" s="27"/>
      <c r="E1100" s="15"/>
      <c r="F1100" s="28"/>
      <c r="G1100" s="25" t="str">
        <f aca="true">IF(OR(D1100="",E1100=""),"",IFERROR(D1100*INDEX(UnidadesFactor,MATCH(E1100,Unidades,0)),""))</f>
        <v/>
      </c>
      <c r="H1100" s="17" t="str">
        <f aca="false">IF(I1100&lt;&gt;"OK","",IF(G1100=0,"",F1100/G1100))</f>
        <v/>
      </c>
      <c r="I1100" s="20" t="str">
        <f aca="true">IF(B1100="","",IF(ISNA(MATCH(B1100,ListaInsumos,0)),"Insumo no está en Insumos",IF(OR(D1100="",E1100="",F1100=""),"Faltan datos",IF(INDEX(UnidadesBase,MATCH(E1100,Unidades,0))&lt;&gt;INDEX(InsBase,MATCH(B1100,ListaInsumos,0)),"Unidad incompatible",IF(A1100="","Falta fecha","OK")))))</f>
        <v/>
      </c>
      <c r="J1100" s="15"/>
    </row>
    <row r="1101" customFormat="false" ht="15" hidden="false" customHeight="false" outlineLevel="0" collapsed="false">
      <c r="A1101" s="26"/>
      <c r="B1101" s="15"/>
      <c r="C1101" s="15"/>
      <c r="D1101" s="27"/>
      <c r="E1101" s="15"/>
      <c r="F1101" s="28"/>
      <c r="G1101" s="25" t="str">
        <f aca="true">IF(OR(D1101="",E1101=""),"",IFERROR(D1101*INDEX(UnidadesFactor,MATCH(E1101,Unidades,0)),""))</f>
        <v/>
      </c>
      <c r="H1101" s="17" t="str">
        <f aca="false">IF(I1101&lt;&gt;"OK","",IF(G1101=0,"",F1101/G1101))</f>
        <v/>
      </c>
      <c r="I1101" s="20" t="str">
        <f aca="true">IF(B1101="","",IF(ISNA(MATCH(B1101,ListaInsumos,0)),"Insumo no está en Insumos",IF(OR(D1101="",E1101="",F1101=""),"Faltan datos",IF(INDEX(UnidadesBase,MATCH(E1101,Unidades,0))&lt;&gt;INDEX(InsBase,MATCH(B1101,ListaInsumos,0)),"Unidad incompatible",IF(A1101="","Falta fecha","OK")))))</f>
        <v/>
      </c>
      <c r="J1101" s="15"/>
    </row>
    <row r="1102" customFormat="false" ht="15" hidden="false" customHeight="false" outlineLevel="0" collapsed="false">
      <c r="A1102" s="26"/>
      <c r="B1102" s="15"/>
      <c r="C1102" s="15"/>
      <c r="D1102" s="27"/>
      <c r="E1102" s="15"/>
      <c r="F1102" s="28"/>
      <c r="G1102" s="25" t="str">
        <f aca="true">IF(OR(D1102="",E1102=""),"",IFERROR(D1102*INDEX(UnidadesFactor,MATCH(E1102,Unidades,0)),""))</f>
        <v/>
      </c>
      <c r="H1102" s="17" t="str">
        <f aca="false">IF(I1102&lt;&gt;"OK","",IF(G1102=0,"",F1102/G1102))</f>
        <v/>
      </c>
      <c r="I1102" s="20" t="str">
        <f aca="true">IF(B1102="","",IF(ISNA(MATCH(B1102,ListaInsumos,0)),"Insumo no está en Insumos",IF(OR(D1102="",E1102="",F1102=""),"Faltan datos",IF(INDEX(UnidadesBase,MATCH(E1102,Unidades,0))&lt;&gt;INDEX(InsBase,MATCH(B1102,ListaInsumos,0)),"Unidad incompatible",IF(A1102="","Falta fecha","OK")))))</f>
        <v/>
      </c>
      <c r="J1102" s="15"/>
    </row>
    <row r="1103" customFormat="false" ht="15" hidden="false" customHeight="false" outlineLevel="0" collapsed="false">
      <c r="A1103" s="26"/>
      <c r="B1103" s="15"/>
      <c r="C1103" s="15"/>
      <c r="D1103" s="27"/>
      <c r="E1103" s="15"/>
      <c r="F1103" s="28"/>
      <c r="G1103" s="25" t="str">
        <f aca="true">IF(OR(D1103="",E1103=""),"",IFERROR(D1103*INDEX(UnidadesFactor,MATCH(E1103,Unidades,0)),""))</f>
        <v/>
      </c>
      <c r="H1103" s="17" t="str">
        <f aca="false">IF(I1103&lt;&gt;"OK","",IF(G1103=0,"",F1103/G1103))</f>
        <v/>
      </c>
      <c r="I1103" s="20" t="str">
        <f aca="true">IF(B1103="","",IF(ISNA(MATCH(B1103,ListaInsumos,0)),"Insumo no está en Insumos",IF(OR(D1103="",E1103="",F1103=""),"Faltan datos",IF(INDEX(UnidadesBase,MATCH(E1103,Unidades,0))&lt;&gt;INDEX(InsBase,MATCH(B1103,ListaInsumos,0)),"Unidad incompatible",IF(A1103="","Falta fecha","OK")))))</f>
        <v/>
      </c>
      <c r="J1103" s="15"/>
    </row>
    <row r="1104" customFormat="false" ht="15" hidden="false" customHeight="false" outlineLevel="0" collapsed="false">
      <c r="A1104" s="26"/>
      <c r="B1104" s="15"/>
      <c r="C1104" s="15"/>
      <c r="D1104" s="27"/>
      <c r="E1104" s="15"/>
      <c r="F1104" s="28"/>
      <c r="G1104" s="25" t="str">
        <f aca="true">IF(OR(D1104="",E1104=""),"",IFERROR(D1104*INDEX(UnidadesFactor,MATCH(E1104,Unidades,0)),""))</f>
        <v/>
      </c>
      <c r="H1104" s="17" t="str">
        <f aca="false">IF(I1104&lt;&gt;"OK","",IF(G1104=0,"",F1104/G1104))</f>
        <v/>
      </c>
      <c r="I1104" s="20" t="str">
        <f aca="true">IF(B1104="","",IF(ISNA(MATCH(B1104,ListaInsumos,0)),"Insumo no está en Insumos",IF(OR(D1104="",E1104="",F1104=""),"Faltan datos",IF(INDEX(UnidadesBase,MATCH(E1104,Unidades,0))&lt;&gt;INDEX(InsBase,MATCH(B1104,ListaInsumos,0)),"Unidad incompatible",IF(A1104="","Falta fecha","OK")))))</f>
        <v/>
      </c>
      <c r="J1104" s="15"/>
    </row>
    <row r="1105" customFormat="false" ht="15" hidden="false" customHeight="false" outlineLevel="0" collapsed="false">
      <c r="A1105" s="26"/>
      <c r="B1105" s="15"/>
      <c r="C1105" s="15"/>
      <c r="D1105" s="27"/>
      <c r="E1105" s="15"/>
      <c r="F1105" s="28"/>
      <c r="G1105" s="25" t="str">
        <f aca="true">IF(OR(D1105="",E1105=""),"",IFERROR(D1105*INDEX(UnidadesFactor,MATCH(E1105,Unidades,0)),""))</f>
        <v/>
      </c>
      <c r="H1105" s="17" t="str">
        <f aca="false">IF(I1105&lt;&gt;"OK","",IF(G1105=0,"",F1105/G1105))</f>
        <v/>
      </c>
      <c r="I1105" s="20" t="str">
        <f aca="true">IF(B1105="","",IF(ISNA(MATCH(B1105,ListaInsumos,0)),"Insumo no está en Insumos",IF(OR(D1105="",E1105="",F1105=""),"Faltan datos",IF(INDEX(UnidadesBase,MATCH(E1105,Unidades,0))&lt;&gt;INDEX(InsBase,MATCH(B1105,ListaInsumos,0)),"Unidad incompatible",IF(A1105="","Falta fecha","OK")))))</f>
        <v/>
      </c>
      <c r="J1105" s="15"/>
    </row>
    <row r="1106" customFormat="false" ht="15" hidden="false" customHeight="false" outlineLevel="0" collapsed="false">
      <c r="A1106" s="26"/>
      <c r="B1106" s="15"/>
      <c r="C1106" s="15"/>
      <c r="D1106" s="27"/>
      <c r="E1106" s="15"/>
      <c r="F1106" s="28"/>
      <c r="G1106" s="25" t="str">
        <f aca="true">IF(OR(D1106="",E1106=""),"",IFERROR(D1106*INDEX(UnidadesFactor,MATCH(E1106,Unidades,0)),""))</f>
        <v/>
      </c>
      <c r="H1106" s="17" t="str">
        <f aca="false">IF(I1106&lt;&gt;"OK","",IF(G1106=0,"",F1106/G1106))</f>
        <v/>
      </c>
      <c r="I1106" s="20" t="str">
        <f aca="true">IF(B1106="","",IF(ISNA(MATCH(B1106,ListaInsumos,0)),"Insumo no está en Insumos",IF(OR(D1106="",E1106="",F1106=""),"Faltan datos",IF(INDEX(UnidadesBase,MATCH(E1106,Unidades,0))&lt;&gt;INDEX(InsBase,MATCH(B1106,ListaInsumos,0)),"Unidad incompatible",IF(A1106="","Falta fecha","OK")))))</f>
        <v/>
      </c>
      <c r="J1106" s="15"/>
    </row>
    <row r="1107" customFormat="false" ht="15" hidden="false" customHeight="false" outlineLevel="0" collapsed="false">
      <c r="A1107" s="26"/>
      <c r="B1107" s="15"/>
      <c r="C1107" s="15"/>
      <c r="D1107" s="27"/>
      <c r="E1107" s="15"/>
      <c r="F1107" s="28"/>
      <c r="G1107" s="25" t="str">
        <f aca="true">IF(OR(D1107="",E1107=""),"",IFERROR(D1107*INDEX(UnidadesFactor,MATCH(E1107,Unidades,0)),""))</f>
        <v/>
      </c>
      <c r="H1107" s="17" t="str">
        <f aca="false">IF(I1107&lt;&gt;"OK","",IF(G1107=0,"",F1107/G1107))</f>
        <v/>
      </c>
      <c r="I1107" s="20" t="str">
        <f aca="true">IF(B1107="","",IF(ISNA(MATCH(B1107,ListaInsumos,0)),"Insumo no está en Insumos",IF(OR(D1107="",E1107="",F1107=""),"Faltan datos",IF(INDEX(UnidadesBase,MATCH(E1107,Unidades,0))&lt;&gt;INDEX(InsBase,MATCH(B1107,ListaInsumos,0)),"Unidad incompatible",IF(A1107="","Falta fecha","OK")))))</f>
        <v/>
      </c>
      <c r="J1107" s="15"/>
    </row>
    <row r="1108" customFormat="false" ht="15" hidden="false" customHeight="false" outlineLevel="0" collapsed="false">
      <c r="A1108" s="26"/>
      <c r="B1108" s="15"/>
      <c r="C1108" s="15"/>
      <c r="D1108" s="27"/>
      <c r="E1108" s="15"/>
      <c r="F1108" s="28"/>
      <c r="G1108" s="25" t="str">
        <f aca="true">IF(OR(D1108="",E1108=""),"",IFERROR(D1108*INDEX(UnidadesFactor,MATCH(E1108,Unidades,0)),""))</f>
        <v/>
      </c>
      <c r="H1108" s="17" t="str">
        <f aca="false">IF(I1108&lt;&gt;"OK","",IF(G1108=0,"",F1108/G1108))</f>
        <v/>
      </c>
      <c r="I1108" s="20" t="str">
        <f aca="true">IF(B1108="","",IF(ISNA(MATCH(B1108,ListaInsumos,0)),"Insumo no está en Insumos",IF(OR(D1108="",E1108="",F1108=""),"Faltan datos",IF(INDEX(UnidadesBase,MATCH(E1108,Unidades,0))&lt;&gt;INDEX(InsBase,MATCH(B1108,ListaInsumos,0)),"Unidad incompatible",IF(A1108="","Falta fecha","OK")))))</f>
        <v/>
      </c>
      <c r="J1108" s="15"/>
    </row>
    <row r="1109" customFormat="false" ht="15" hidden="false" customHeight="false" outlineLevel="0" collapsed="false">
      <c r="A1109" s="26"/>
      <c r="B1109" s="15"/>
      <c r="C1109" s="15"/>
      <c r="D1109" s="27"/>
      <c r="E1109" s="15"/>
      <c r="F1109" s="28"/>
      <c r="G1109" s="25" t="str">
        <f aca="true">IF(OR(D1109="",E1109=""),"",IFERROR(D1109*INDEX(UnidadesFactor,MATCH(E1109,Unidades,0)),""))</f>
        <v/>
      </c>
      <c r="H1109" s="17" t="str">
        <f aca="false">IF(I1109&lt;&gt;"OK","",IF(G1109=0,"",F1109/G1109))</f>
        <v/>
      </c>
      <c r="I1109" s="20" t="str">
        <f aca="true">IF(B1109="","",IF(ISNA(MATCH(B1109,ListaInsumos,0)),"Insumo no está en Insumos",IF(OR(D1109="",E1109="",F1109=""),"Faltan datos",IF(INDEX(UnidadesBase,MATCH(E1109,Unidades,0))&lt;&gt;INDEX(InsBase,MATCH(B1109,ListaInsumos,0)),"Unidad incompatible",IF(A1109="","Falta fecha","OK")))))</f>
        <v/>
      </c>
      <c r="J1109" s="15"/>
    </row>
    <row r="1110" customFormat="false" ht="15" hidden="false" customHeight="false" outlineLevel="0" collapsed="false">
      <c r="A1110" s="26"/>
      <c r="B1110" s="15"/>
      <c r="C1110" s="15"/>
      <c r="D1110" s="27"/>
      <c r="E1110" s="15"/>
      <c r="F1110" s="28"/>
      <c r="G1110" s="25" t="str">
        <f aca="true">IF(OR(D1110="",E1110=""),"",IFERROR(D1110*INDEX(UnidadesFactor,MATCH(E1110,Unidades,0)),""))</f>
        <v/>
      </c>
      <c r="H1110" s="17" t="str">
        <f aca="false">IF(I1110&lt;&gt;"OK","",IF(G1110=0,"",F1110/G1110))</f>
        <v/>
      </c>
      <c r="I1110" s="20" t="str">
        <f aca="true">IF(B1110="","",IF(ISNA(MATCH(B1110,ListaInsumos,0)),"Insumo no está en Insumos",IF(OR(D1110="",E1110="",F1110=""),"Faltan datos",IF(INDEX(UnidadesBase,MATCH(E1110,Unidades,0))&lt;&gt;INDEX(InsBase,MATCH(B1110,ListaInsumos,0)),"Unidad incompatible",IF(A1110="","Falta fecha","OK")))))</f>
        <v/>
      </c>
      <c r="J1110" s="15"/>
    </row>
    <row r="1111" customFormat="false" ht="15" hidden="false" customHeight="false" outlineLevel="0" collapsed="false">
      <c r="A1111" s="26"/>
      <c r="B1111" s="15"/>
      <c r="C1111" s="15"/>
      <c r="D1111" s="27"/>
      <c r="E1111" s="15"/>
      <c r="F1111" s="28"/>
      <c r="G1111" s="25" t="str">
        <f aca="true">IF(OR(D1111="",E1111=""),"",IFERROR(D1111*INDEX(UnidadesFactor,MATCH(E1111,Unidades,0)),""))</f>
        <v/>
      </c>
      <c r="H1111" s="17" t="str">
        <f aca="false">IF(I1111&lt;&gt;"OK","",IF(G1111=0,"",F1111/G1111))</f>
        <v/>
      </c>
      <c r="I1111" s="20" t="str">
        <f aca="true">IF(B1111="","",IF(ISNA(MATCH(B1111,ListaInsumos,0)),"Insumo no está en Insumos",IF(OR(D1111="",E1111="",F1111=""),"Faltan datos",IF(INDEX(UnidadesBase,MATCH(E1111,Unidades,0))&lt;&gt;INDEX(InsBase,MATCH(B1111,ListaInsumos,0)),"Unidad incompatible",IF(A1111="","Falta fecha","OK")))))</f>
        <v/>
      </c>
      <c r="J1111" s="15"/>
    </row>
    <row r="1112" customFormat="false" ht="15" hidden="false" customHeight="false" outlineLevel="0" collapsed="false">
      <c r="A1112" s="26"/>
      <c r="B1112" s="15"/>
      <c r="C1112" s="15"/>
      <c r="D1112" s="27"/>
      <c r="E1112" s="15"/>
      <c r="F1112" s="28"/>
      <c r="G1112" s="25" t="str">
        <f aca="true">IF(OR(D1112="",E1112=""),"",IFERROR(D1112*INDEX(UnidadesFactor,MATCH(E1112,Unidades,0)),""))</f>
        <v/>
      </c>
      <c r="H1112" s="17" t="str">
        <f aca="false">IF(I1112&lt;&gt;"OK","",IF(G1112=0,"",F1112/G1112))</f>
        <v/>
      </c>
      <c r="I1112" s="20" t="str">
        <f aca="true">IF(B1112="","",IF(ISNA(MATCH(B1112,ListaInsumos,0)),"Insumo no está en Insumos",IF(OR(D1112="",E1112="",F1112=""),"Faltan datos",IF(INDEX(UnidadesBase,MATCH(E1112,Unidades,0))&lt;&gt;INDEX(InsBase,MATCH(B1112,ListaInsumos,0)),"Unidad incompatible",IF(A1112="","Falta fecha","OK")))))</f>
        <v/>
      </c>
      <c r="J1112" s="15"/>
    </row>
    <row r="1113" customFormat="false" ht="15" hidden="false" customHeight="false" outlineLevel="0" collapsed="false">
      <c r="A1113" s="26"/>
      <c r="B1113" s="15"/>
      <c r="C1113" s="15"/>
      <c r="D1113" s="27"/>
      <c r="E1113" s="15"/>
      <c r="F1113" s="28"/>
      <c r="G1113" s="25" t="str">
        <f aca="true">IF(OR(D1113="",E1113=""),"",IFERROR(D1113*INDEX(UnidadesFactor,MATCH(E1113,Unidades,0)),""))</f>
        <v/>
      </c>
      <c r="H1113" s="17" t="str">
        <f aca="false">IF(I1113&lt;&gt;"OK","",IF(G1113=0,"",F1113/G1113))</f>
        <v/>
      </c>
      <c r="I1113" s="20" t="str">
        <f aca="true">IF(B1113="","",IF(ISNA(MATCH(B1113,ListaInsumos,0)),"Insumo no está en Insumos",IF(OR(D1113="",E1113="",F1113=""),"Faltan datos",IF(INDEX(UnidadesBase,MATCH(E1113,Unidades,0))&lt;&gt;INDEX(InsBase,MATCH(B1113,ListaInsumos,0)),"Unidad incompatible",IF(A1113="","Falta fecha","OK")))))</f>
        <v/>
      </c>
      <c r="J1113" s="15"/>
    </row>
    <row r="1114" customFormat="false" ht="15" hidden="false" customHeight="false" outlineLevel="0" collapsed="false">
      <c r="A1114" s="26"/>
      <c r="B1114" s="15"/>
      <c r="C1114" s="15"/>
      <c r="D1114" s="27"/>
      <c r="E1114" s="15"/>
      <c r="F1114" s="28"/>
      <c r="G1114" s="25" t="str">
        <f aca="true">IF(OR(D1114="",E1114=""),"",IFERROR(D1114*INDEX(UnidadesFactor,MATCH(E1114,Unidades,0)),""))</f>
        <v/>
      </c>
      <c r="H1114" s="17" t="str">
        <f aca="false">IF(I1114&lt;&gt;"OK","",IF(G1114=0,"",F1114/G1114))</f>
        <v/>
      </c>
      <c r="I1114" s="20" t="str">
        <f aca="true">IF(B1114="","",IF(ISNA(MATCH(B1114,ListaInsumos,0)),"Insumo no está en Insumos",IF(OR(D1114="",E1114="",F1114=""),"Faltan datos",IF(INDEX(UnidadesBase,MATCH(E1114,Unidades,0))&lt;&gt;INDEX(InsBase,MATCH(B1114,ListaInsumos,0)),"Unidad incompatible",IF(A1114="","Falta fecha","OK")))))</f>
        <v/>
      </c>
      <c r="J1114" s="15"/>
    </row>
    <row r="1115" customFormat="false" ht="15" hidden="false" customHeight="false" outlineLevel="0" collapsed="false">
      <c r="A1115" s="26"/>
      <c r="B1115" s="15"/>
      <c r="C1115" s="15"/>
      <c r="D1115" s="27"/>
      <c r="E1115" s="15"/>
      <c r="F1115" s="28"/>
      <c r="G1115" s="25" t="str">
        <f aca="true">IF(OR(D1115="",E1115=""),"",IFERROR(D1115*INDEX(UnidadesFactor,MATCH(E1115,Unidades,0)),""))</f>
        <v/>
      </c>
      <c r="H1115" s="17" t="str">
        <f aca="false">IF(I1115&lt;&gt;"OK","",IF(G1115=0,"",F1115/G1115))</f>
        <v/>
      </c>
      <c r="I1115" s="20" t="str">
        <f aca="true">IF(B1115="","",IF(ISNA(MATCH(B1115,ListaInsumos,0)),"Insumo no está en Insumos",IF(OR(D1115="",E1115="",F1115=""),"Faltan datos",IF(INDEX(UnidadesBase,MATCH(E1115,Unidades,0))&lt;&gt;INDEX(InsBase,MATCH(B1115,ListaInsumos,0)),"Unidad incompatible",IF(A1115="","Falta fecha","OK")))))</f>
        <v/>
      </c>
      <c r="J1115" s="15"/>
    </row>
    <row r="1116" customFormat="false" ht="15" hidden="false" customHeight="false" outlineLevel="0" collapsed="false">
      <c r="A1116" s="26"/>
      <c r="B1116" s="15"/>
      <c r="C1116" s="15"/>
      <c r="D1116" s="27"/>
      <c r="E1116" s="15"/>
      <c r="F1116" s="28"/>
      <c r="G1116" s="25" t="str">
        <f aca="true">IF(OR(D1116="",E1116=""),"",IFERROR(D1116*INDEX(UnidadesFactor,MATCH(E1116,Unidades,0)),""))</f>
        <v/>
      </c>
      <c r="H1116" s="17" t="str">
        <f aca="false">IF(I1116&lt;&gt;"OK","",IF(G1116=0,"",F1116/G1116))</f>
        <v/>
      </c>
      <c r="I1116" s="20" t="str">
        <f aca="true">IF(B1116="","",IF(ISNA(MATCH(B1116,ListaInsumos,0)),"Insumo no está en Insumos",IF(OR(D1116="",E1116="",F1116=""),"Faltan datos",IF(INDEX(UnidadesBase,MATCH(E1116,Unidades,0))&lt;&gt;INDEX(InsBase,MATCH(B1116,ListaInsumos,0)),"Unidad incompatible",IF(A1116="","Falta fecha","OK")))))</f>
        <v/>
      </c>
      <c r="J1116" s="15"/>
    </row>
    <row r="1117" customFormat="false" ht="15" hidden="false" customHeight="false" outlineLevel="0" collapsed="false">
      <c r="A1117" s="26"/>
      <c r="B1117" s="15"/>
      <c r="C1117" s="15"/>
      <c r="D1117" s="27"/>
      <c r="E1117" s="15"/>
      <c r="F1117" s="28"/>
      <c r="G1117" s="25" t="str">
        <f aca="true">IF(OR(D1117="",E1117=""),"",IFERROR(D1117*INDEX(UnidadesFactor,MATCH(E1117,Unidades,0)),""))</f>
        <v/>
      </c>
      <c r="H1117" s="17" t="str">
        <f aca="false">IF(I1117&lt;&gt;"OK","",IF(G1117=0,"",F1117/G1117))</f>
        <v/>
      </c>
      <c r="I1117" s="20" t="str">
        <f aca="true">IF(B1117="","",IF(ISNA(MATCH(B1117,ListaInsumos,0)),"Insumo no está en Insumos",IF(OR(D1117="",E1117="",F1117=""),"Faltan datos",IF(INDEX(UnidadesBase,MATCH(E1117,Unidades,0))&lt;&gt;INDEX(InsBase,MATCH(B1117,ListaInsumos,0)),"Unidad incompatible",IF(A1117="","Falta fecha","OK")))))</f>
        <v/>
      </c>
      <c r="J1117" s="15"/>
    </row>
    <row r="1118" customFormat="false" ht="15" hidden="false" customHeight="false" outlineLevel="0" collapsed="false">
      <c r="A1118" s="26"/>
      <c r="B1118" s="15"/>
      <c r="C1118" s="15"/>
      <c r="D1118" s="27"/>
      <c r="E1118" s="15"/>
      <c r="F1118" s="28"/>
      <c r="G1118" s="25" t="str">
        <f aca="true">IF(OR(D1118="",E1118=""),"",IFERROR(D1118*INDEX(UnidadesFactor,MATCH(E1118,Unidades,0)),""))</f>
        <v/>
      </c>
      <c r="H1118" s="17" t="str">
        <f aca="false">IF(I1118&lt;&gt;"OK","",IF(G1118=0,"",F1118/G1118))</f>
        <v/>
      </c>
      <c r="I1118" s="20" t="str">
        <f aca="true">IF(B1118="","",IF(ISNA(MATCH(B1118,ListaInsumos,0)),"Insumo no está en Insumos",IF(OR(D1118="",E1118="",F1118=""),"Faltan datos",IF(INDEX(UnidadesBase,MATCH(E1118,Unidades,0))&lt;&gt;INDEX(InsBase,MATCH(B1118,ListaInsumos,0)),"Unidad incompatible",IF(A1118="","Falta fecha","OK")))))</f>
        <v/>
      </c>
      <c r="J1118" s="15"/>
    </row>
    <row r="1119" customFormat="false" ht="15" hidden="false" customHeight="false" outlineLevel="0" collapsed="false">
      <c r="A1119" s="26"/>
      <c r="B1119" s="15"/>
      <c r="C1119" s="15"/>
      <c r="D1119" s="27"/>
      <c r="E1119" s="15"/>
      <c r="F1119" s="28"/>
      <c r="G1119" s="25" t="str">
        <f aca="true">IF(OR(D1119="",E1119=""),"",IFERROR(D1119*INDEX(UnidadesFactor,MATCH(E1119,Unidades,0)),""))</f>
        <v/>
      </c>
      <c r="H1119" s="17" t="str">
        <f aca="false">IF(I1119&lt;&gt;"OK","",IF(G1119=0,"",F1119/G1119))</f>
        <v/>
      </c>
      <c r="I1119" s="20" t="str">
        <f aca="true">IF(B1119="","",IF(ISNA(MATCH(B1119,ListaInsumos,0)),"Insumo no está en Insumos",IF(OR(D1119="",E1119="",F1119=""),"Faltan datos",IF(INDEX(UnidadesBase,MATCH(E1119,Unidades,0))&lt;&gt;INDEX(InsBase,MATCH(B1119,ListaInsumos,0)),"Unidad incompatible",IF(A1119="","Falta fecha","OK")))))</f>
        <v/>
      </c>
      <c r="J1119" s="15"/>
    </row>
    <row r="1120" customFormat="false" ht="15" hidden="false" customHeight="false" outlineLevel="0" collapsed="false">
      <c r="A1120" s="26"/>
      <c r="B1120" s="15"/>
      <c r="C1120" s="15"/>
      <c r="D1120" s="27"/>
      <c r="E1120" s="15"/>
      <c r="F1120" s="28"/>
      <c r="G1120" s="25" t="str">
        <f aca="true">IF(OR(D1120="",E1120=""),"",IFERROR(D1120*INDEX(UnidadesFactor,MATCH(E1120,Unidades,0)),""))</f>
        <v/>
      </c>
      <c r="H1120" s="17" t="str">
        <f aca="false">IF(I1120&lt;&gt;"OK","",IF(G1120=0,"",F1120/G1120))</f>
        <v/>
      </c>
      <c r="I1120" s="20" t="str">
        <f aca="true">IF(B1120="","",IF(ISNA(MATCH(B1120,ListaInsumos,0)),"Insumo no está en Insumos",IF(OR(D1120="",E1120="",F1120=""),"Faltan datos",IF(INDEX(UnidadesBase,MATCH(E1120,Unidades,0))&lt;&gt;INDEX(InsBase,MATCH(B1120,ListaInsumos,0)),"Unidad incompatible",IF(A1120="","Falta fecha","OK")))))</f>
        <v/>
      </c>
      <c r="J1120" s="15"/>
    </row>
    <row r="1121" customFormat="false" ht="15" hidden="false" customHeight="false" outlineLevel="0" collapsed="false">
      <c r="A1121" s="26"/>
      <c r="B1121" s="15"/>
      <c r="C1121" s="15"/>
      <c r="D1121" s="27"/>
      <c r="E1121" s="15"/>
      <c r="F1121" s="28"/>
      <c r="G1121" s="25" t="str">
        <f aca="true">IF(OR(D1121="",E1121=""),"",IFERROR(D1121*INDEX(UnidadesFactor,MATCH(E1121,Unidades,0)),""))</f>
        <v/>
      </c>
      <c r="H1121" s="17" t="str">
        <f aca="false">IF(I1121&lt;&gt;"OK","",IF(G1121=0,"",F1121/G1121))</f>
        <v/>
      </c>
      <c r="I1121" s="20" t="str">
        <f aca="true">IF(B1121="","",IF(ISNA(MATCH(B1121,ListaInsumos,0)),"Insumo no está en Insumos",IF(OR(D1121="",E1121="",F1121=""),"Faltan datos",IF(INDEX(UnidadesBase,MATCH(E1121,Unidades,0))&lt;&gt;INDEX(InsBase,MATCH(B1121,ListaInsumos,0)),"Unidad incompatible",IF(A1121="","Falta fecha","OK")))))</f>
        <v/>
      </c>
      <c r="J1121" s="15"/>
    </row>
    <row r="1122" customFormat="false" ht="15" hidden="false" customHeight="false" outlineLevel="0" collapsed="false">
      <c r="A1122" s="26"/>
      <c r="B1122" s="15"/>
      <c r="C1122" s="15"/>
      <c r="D1122" s="27"/>
      <c r="E1122" s="15"/>
      <c r="F1122" s="28"/>
      <c r="G1122" s="25" t="str">
        <f aca="true">IF(OR(D1122="",E1122=""),"",IFERROR(D1122*INDEX(UnidadesFactor,MATCH(E1122,Unidades,0)),""))</f>
        <v/>
      </c>
      <c r="H1122" s="17" t="str">
        <f aca="false">IF(I1122&lt;&gt;"OK","",IF(G1122=0,"",F1122/G1122))</f>
        <v/>
      </c>
      <c r="I1122" s="20" t="str">
        <f aca="true">IF(B1122="","",IF(ISNA(MATCH(B1122,ListaInsumos,0)),"Insumo no está en Insumos",IF(OR(D1122="",E1122="",F1122=""),"Faltan datos",IF(INDEX(UnidadesBase,MATCH(E1122,Unidades,0))&lt;&gt;INDEX(InsBase,MATCH(B1122,ListaInsumos,0)),"Unidad incompatible",IF(A1122="","Falta fecha","OK")))))</f>
        <v/>
      </c>
      <c r="J1122" s="15"/>
    </row>
    <row r="1123" customFormat="false" ht="15" hidden="false" customHeight="false" outlineLevel="0" collapsed="false">
      <c r="A1123" s="26"/>
      <c r="B1123" s="15"/>
      <c r="C1123" s="15"/>
      <c r="D1123" s="27"/>
      <c r="E1123" s="15"/>
      <c r="F1123" s="28"/>
      <c r="G1123" s="25" t="str">
        <f aca="true">IF(OR(D1123="",E1123=""),"",IFERROR(D1123*INDEX(UnidadesFactor,MATCH(E1123,Unidades,0)),""))</f>
        <v/>
      </c>
      <c r="H1123" s="17" t="str">
        <f aca="false">IF(I1123&lt;&gt;"OK","",IF(G1123=0,"",F1123/G1123))</f>
        <v/>
      </c>
      <c r="I1123" s="20" t="str">
        <f aca="true">IF(B1123="","",IF(ISNA(MATCH(B1123,ListaInsumos,0)),"Insumo no está en Insumos",IF(OR(D1123="",E1123="",F1123=""),"Faltan datos",IF(INDEX(UnidadesBase,MATCH(E1123,Unidades,0))&lt;&gt;INDEX(InsBase,MATCH(B1123,ListaInsumos,0)),"Unidad incompatible",IF(A1123="","Falta fecha","OK")))))</f>
        <v/>
      </c>
      <c r="J1123" s="15"/>
    </row>
    <row r="1124" customFormat="false" ht="15" hidden="false" customHeight="false" outlineLevel="0" collapsed="false">
      <c r="A1124" s="26"/>
      <c r="B1124" s="15"/>
      <c r="C1124" s="15"/>
      <c r="D1124" s="27"/>
      <c r="E1124" s="15"/>
      <c r="F1124" s="28"/>
      <c r="G1124" s="25" t="str">
        <f aca="true">IF(OR(D1124="",E1124=""),"",IFERROR(D1124*INDEX(UnidadesFactor,MATCH(E1124,Unidades,0)),""))</f>
        <v/>
      </c>
      <c r="H1124" s="17" t="str">
        <f aca="false">IF(I1124&lt;&gt;"OK","",IF(G1124=0,"",F1124/G1124))</f>
        <v/>
      </c>
      <c r="I1124" s="20" t="str">
        <f aca="true">IF(B1124="","",IF(ISNA(MATCH(B1124,ListaInsumos,0)),"Insumo no está en Insumos",IF(OR(D1124="",E1124="",F1124=""),"Faltan datos",IF(INDEX(UnidadesBase,MATCH(E1124,Unidades,0))&lt;&gt;INDEX(InsBase,MATCH(B1124,ListaInsumos,0)),"Unidad incompatible",IF(A1124="","Falta fecha","OK")))))</f>
        <v/>
      </c>
      <c r="J1124" s="15"/>
    </row>
    <row r="1125" customFormat="false" ht="15" hidden="false" customHeight="false" outlineLevel="0" collapsed="false">
      <c r="A1125" s="26"/>
      <c r="B1125" s="15"/>
      <c r="C1125" s="15"/>
      <c r="D1125" s="27"/>
      <c r="E1125" s="15"/>
      <c r="F1125" s="28"/>
      <c r="G1125" s="25" t="str">
        <f aca="true">IF(OR(D1125="",E1125=""),"",IFERROR(D1125*INDEX(UnidadesFactor,MATCH(E1125,Unidades,0)),""))</f>
        <v/>
      </c>
      <c r="H1125" s="17" t="str">
        <f aca="false">IF(I1125&lt;&gt;"OK","",IF(G1125=0,"",F1125/G1125))</f>
        <v/>
      </c>
      <c r="I1125" s="20" t="str">
        <f aca="true">IF(B1125="","",IF(ISNA(MATCH(B1125,ListaInsumos,0)),"Insumo no está en Insumos",IF(OR(D1125="",E1125="",F1125=""),"Faltan datos",IF(INDEX(UnidadesBase,MATCH(E1125,Unidades,0))&lt;&gt;INDEX(InsBase,MATCH(B1125,ListaInsumos,0)),"Unidad incompatible",IF(A1125="","Falta fecha","OK")))))</f>
        <v/>
      </c>
      <c r="J1125" s="15"/>
    </row>
    <row r="1126" customFormat="false" ht="15" hidden="false" customHeight="false" outlineLevel="0" collapsed="false">
      <c r="A1126" s="26"/>
      <c r="B1126" s="15"/>
      <c r="C1126" s="15"/>
      <c r="D1126" s="27"/>
      <c r="E1126" s="15"/>
      <c r="F1126" s="28"/>
      <c r="G1126" s="25" t="str">
        <f aca="true">IF(OR(D1126="",E1126=""),"",IFERROR(D1126*INDEX(UnidadesFactor,MATCH(E1126,Unidades,0)),""))</f>
        <v/>
      </c>
      <c r="H1126" s="17" t="str">
        <f aca="false">IF(I1126&lt;&gt;"OK","",IF(G1126=0,"",F1126/G1126))</f>
        <v/>
      </c>
      <c r="I1126" s="20" t="str">
        <f aca="true">IF(B1126="","",IF(ISNA(MATCH(B1126,ListaInsumos,0)),"Insumo no está en Insumos",IF(OR(D1126="",E1126="",F1126=""),"Faltan datos",IF(INDEX(UnidadesBase,MATCH(E1126,Unidades,0))&lt;&gt;INDEX(InsBase,MATCH(B1126,ListaInsumos,0)),"Unidad incompatible",IF(A1126="","Falta fecha","OK")))))</f>
        <v/>
      </c>
      <c r="J1126" s="15"/>
    </row>
    <row r="1127" customFormat="false" ht="15" hidden="false" customHeight="false" outlineLevel="0" collapsed="false">
      <c r="A1127" s="26"/>
      <c r="B1127" s="15"/>
      <c r="C1127" s="15"/>
      <c r="D1127" s="27"/>
      <c r="E1127" s="15"/>
      <c r="F1127" s="28"/>
      <c r="G1127" s="25" t="str">
        <f aca="true">IF(OR(D1127="",E1127=""),"",IFERROR(D1127*INDEX(UnidadesFactor,MATCH(E1127,Unidades,0)),""))</f>
        <v/>
      </c>
      <c r="H1127" s="17" t="str">
        <f aca="false">IF(I1127&lt;&gt;"OK","",IF(G1127=0,"",F1127/G1127))</f>
        <v/>
      </c>
      <c r="I1127" s="20" t="str">
        <f aca="true">IF(B1127="","",IF(ISNA(MATCH(B1127,ListaInsumos,0)),"Insumo no está en Insumos",IF(OR(D1127="",E1127="",F1127=""),"Faltan datos",IF(INDEX(UnidadesBase,MATCH(E1127,Unidades,0))&lt;&gt;INDEX(InsBase,MATCH(B1127,ListaInsumos,0)),"Unidad incompatible",IF(A1127="","Falta fecha","OK")))))</f>
        <v/>
      </c>
      <c r="J1127" s="15"/>
    </row>
    <row r="1128" customFormat="false" ht="15" hidden="false" customHeight="false" outlineLevel="0" collapsed="false">
      <c r="A1128" s="26"/>
      <c r="B1128" s="15"/>
      <c r="C1128" s="15"/>
      <c r="D1128" s="27"/>
      <c r="E1128" s="15"/>
      <c r="F1128" s="28"/>
      <c r="G1128" s="25" t="str">
        <f aca="true">IF(OR(D1128="",E1128=""),"",IFERROR(D1128*INDEX(UnidadesFactor,MATCH(E1128,Unidades,0)),""))</f>
        <v/>
      </c>
      <c r="H1128" s="17" t="str">
        <f aca="false">IF(I1128&lt;&gt;"OK","",IF(G1128=0,"",F1128/G1128))</f>
        <v/>
      </c>
      <c r="I1128" s="20" t="str">
        <f aca="true">IF(B1128="","",IF(ISNA(MATCH(B1128,ListaInsumos,0)),"Insumo no está en Insumos",IF(OR(D1128="",E1128="",F1128=""),"Faltan datos",IF(INDEX(UnidadesBase,MATCH(E1128,Unidades,0))&lt;&gt;INDEX(InsBase,MATCH(B1128,ListaInsumos,0)),"Unidad incompatible",IF(A1128="","Falta fecha","OK")))))</f>
        <v/>
      </c>
      <c r="J1128" s="15"/>
    </row>
    <row r="1129" customFormat="false" ht="15" hidden="false" customHeight="false" outlineLevel="0" collapsed="false">
      <c r="A1129" s="26"/>
      <c r="B1129" s="15"/>
      <c r="C1129" s="15"/>
      <c r="D1129" s="27"/>
      <c r="E1129" s="15"/>
      <c r="F1129" s="28"/>
      <c r="G1129" s="25" t="str">
        <f aca="true">IF(OR(D1129="",E1129=""),"",IFERROR(D1129*INDEX(UnidadesFactor,MATCH(E1129,Unidades,0)),""))</f>
        <v/>
      </c>
      <c r="H1129" s="17" t="str">
        <f aca="false">IF(I1129&lt;&gt;"OK","",IF(G1129=0,"",F1129/G1129))</f>
        <v/>
      </c>
      <c r="I1129" s="20" t="str">
        <f aca="true">IF(B1129="","",IF(ISNA(MATCH(B1129,ListaInsumos,0)),"Insumo no está en Insumos",IF(OR(D1129="",E1129="",F1129=""),"Faltan datos",IF(INDEX(UnidadesBase,MATCH(E1129,Unidades,0))&lt;&gt;INDEX(InsBase,MATCH(B1129,ListaInsumos,0)),"Unidad incompatible",IF(A1129="","Falta fecha","OK")))))</f>
        <v/>
      </c>
      <c r="J1129" s="15"/>
    </row>
    <row r="1130" customFormat="false" ht="15" hidden="false" customHeight="false" outlineLevel="0" collapsed="false">
      <c r="A1130" s="26"/>
      <c r="B1130" s="15"/>
      <c r="C1130" s="15"/>
      <c r="D1130" s="27"/>
      <c r="E1130" s="15"/>
      <c r="F1130" s="28"/>
      <c r="G1130" s="25" t="str">
        <f aca="true">IF(OR(D1130="",E1130=""),"",IFERROR(D1130*INDEX(UnidadesFactor,MATCH(E1130,Unidades,0)),""))</f>
        <v/>
      </c>
      <c r="H1130" s="17" t="str">
        <f aca="false">IF(I1130&lt;&gt;"OK","",IF(G1130=0,"",F1130/G1130))</f>
        <v/>
      </c>
      <c r="I1130" s="20" t="str">
        <f aca="true">IF(B1130="","",IF(ISNA(MATCH(B1130,ListaInsumos,0)),"Insumo no está en Insumos",IF(OR(D1130="",E1130="",F1130=""),"Faltan datos",IF(INDEX(UnidadesBase,MATCH(E1130,Unidades,0))&lt;&gt;INDEX(InsBase,MATCH(B1130,ListaInsumos,0)),"Unidad incompatible",IF(A1130="","Falta fecha","OK")))))</f>
        <v/>
      </c>
      <c r="J1130" s="15"/>
    </row>
    <row r="1131" customFormat="false" ht="15" hidden="false" customHeight="false" outlineLevel="0" collapsed="false">
      <c r="A1131" s="26"/>
      <c r="B1131" s="15"/>
      <c r="C1131" s="15"/>
      <c r="D1131" s="27"/>
      <c r="E1131" s="15"/>
      <c r="F1131" s="28"/>
      <c r="G1131" s="25" t="str">
        <f aca="true">IF(OR(D1131="",E1131=""),"",IFERROR(D1131*INDEX(UnidadesFactor,MATCH(E1131,Unidades,0)),""))</f>
        <v/>
      </c>
      <c r="H1131" s="17" t="str">
        <f aca="false">IF(I1131&lt;&gt;"OK","",IF(G1131=0,"",F1131/G1131))</f>
        <v/>
      </c>
      <c r="I1131" s="20" t="str">
        <f aca="true">IF(B1131="","",IF(ISNA(MATCH(B1131,ListaInsumos,0)),"Insumo no está en Insumos",IF(OR(D1131="",E1131="",F1131=""),"Faltan datos",IF(INDEX(UnidadesBase,MATCH(E1131,Unidades,0))&lt;&gt;INDEX(InsBase,MATCH(B1131,ListaInsumos,0)),"Unidad incompatible",IF(A1131="","Falta fecha","OK")))))</f>
        <v/>
      </c>
      <c r="J1131" s="15"/>
    </row>
    <row r="1132" customFormat="false" ht="15" hidden="false" customHeight="false" outlineLevel="0" collapsed="false">
      <c r="A1132" s="26"/>
      <c r="B1132" s="15"/>
      <c r="C1132" s="15"/>
      <c r="D1132" s="27"/>
      <c r="E1132" s="15"/>
      <c r="F1132" s="28"/>
      <c r="G1132" s="25" t="str">
        <f aca="true">IF(OR(D1132="",E1132=""),"",IFERROR(D1132*INDEX(UnidadesFactor,MATCH(E1132,Unidades,0)),""))</f>
        <v/>
      </c>
      <c r="H1132" s="17" t="str">
        <f aca="false">IF(I1132&lt;&gt;"OK","",IF(G1132=0,"",F1132/G1132))</f>
        <v/>
      </c>
      <c r="I1132" s="20" t="str">
        <f aca="true">IF(B1132="","",IF(ISNA(MATCH(B1132,ListaInsumos,0)),"Insumo no está en Insumos",IF(OR(D1132="",E1132="",F1132=""),"Faltan datos",IF(INDEX(UnidadesBase,MATCH(E1132,Unidades,0))&lt;&gt;INDEX(InsBase,MATCH(B1132,ListaInsumos,0)),"Unidad incompatible",IF(A1132="","Falta fecha","OK")))))</f>
        <v/>
      </c>
      <c r="J1132" s="15"/>
    </row>
    <row r="1133" customFormat="false" ht="15" hidden="false" customHeight="false" outlineLevel="0" collapsed="false">
      <c r="A1133" s="26"/>
      <c r="B1133" s="15"/>
      <c r="C1133" s="15"/>
      <c r="D1133" s="27"/>
      <c r="E1133" s="15"/>
      <c r="F1133" s="28"/>
      <c r="G1133" s="25" t="str">
        <f aca="true">IF(OR(D1133="",E1133=""),"",IFERROR(D1133*INDEX(UnidadesFactor,MATCH(E1133,Unidades,0)),""))</f>
        <v/>
      </c>
      <c r="H1133" s="17" t="str">
        <f aca="false">IF(I1133&lt;&gt;"OK","",IF(G1133=0,"",F1133/G1133))</f>
        <v/>
      </c>
      <c r="I1133" s="20" t="str">
        <f aca="true">IF(B1133="","",IF(ISNA(MATCH(B1133,ListaInsumos,0)),"Insumo no está en Insumos",IF(OR(D1133="",E1133="",F1133=""),"Faltan datos",IF(INDEX(UnidadesBase,MATCH(E1133,Unidades,0))&lt;&gt;INDEX(InsBase,MATCH(B1133,ListaInsumos,0)),"Unidad incompatible",IF(A1133="","Falta fecha","OK")))))</f>
        <v/>
      </c>
      <c r="J1133" s="15"/>
    </row>
    <row r="1134" customFormat="false" ht="15" hidden="false" customHeight="false" outlineLevel="0" collapsed="false">
      <c r="A1134" s="26"/>
      <c r="B1134" s="15"/>
      <c r="C1134" s="15"/>
      <c r="D1134" s="27"/>
      <c r="E1134" s="15"/>
      <c r="F1134" s="28"/>
      <c r="G1134" s="25" t="str">
        <f aca="true">IF(OR(D1134="",E1134=""),"",IFERROR(D1134*INDEX(UnidadesFactor,MATCH(E1134,Unidades,0)),""))</f>
        <v/>
      </c>
      <c r="H1134" s="17" t="str">
        <f aca="false">IF(I1134&lt;&gt;"OK","",IF(G1134=0,"",F1134/G1134))</f>
        <v/>
      </c>
      <c r="I1134" s="20" t="str">
        <f aca="true">IF(B1134="","",IF(ISNA(MATCH(B1134,ListaInsumos,0)),"Insumo no está en Insumos",IF(OR(D1134="",E1134="",F1134=""),"Faltan datos",IF(INDEX(UnidadesBase,MATCH(E1134,Unidades,0))&lt;&gt;INDEX(InsBase,MATCH(B1134,ListaInsumos,0)),"Unidad incompatible",IF(A1134="","Falta fecha","OK")))))</f>
        <v/>
      </c>
      <c r="J1134" s="15"/>
    </row>
    <row r="1135" customFormat="false" ht="15" hidden="false" customHeight="false" outlineLevel="0" collapsed="false">
      <c r="A1135" s="26"/>
      <c r="B1135" s="15"/>
      <c r="C1135" s="15"/>
      <c r="D1135" s="27"/>
      <c r="E1135" s="15"/>
      <c r="F1135" s="28"/>
      <c r="G1135" s="25" t="str">
        <f aca="true">IF(OR(D1135="",E1135=""),"",IFERROR(D1135*INDEX(UnidadesFactor,MATCH(E1135,Unidades,0)),""))</f>
        <v/>
      </c>
      <c r="H1135" s="17" t="str">
        <f aca="false">IF(I1135&lt;&gt;"OK","",IF(G1135=0,"",F1135/G1135))</f>
        <v/>
      </c>
      <c r="I1135" s="20" t="str">
        <f aca="true">IF(B1135="","",IF(ISNA(MATCH(B1135,ListaInsumos,0)),"Insumo no está en Insumos",IF(OR(D1135="",E1135="",F1135=""),"Faltan datos",IF(INDEX(UnidadesBase,MATCH(E1135,Unidades,0))&lt;&gt;INDEX(InsBase,MATCH(B1135,ListaInsumos,0)),"Unidad incompatible",IF(A1135="","Falta fecha","OK")))))</f>
        <v/>
      </c>
      <c r="J1135" s="15"/>
    </row>
    <row r="1136" customFormat="false" ht="15" hidden="false" customHeight="false" outlineLevel="0" collapsed="false">
      <c r="A1136" s="26"/>
      <c r="B1136" s="15"/>
      <c r="C1136" s="15"/>
      <c r="D1136" s="27"/>
      <c r="E1136" s="15"/>
      <c r="F1136" s="28"/>
      <c r="G1136" s="25" t="str">
        <f aca="true">IF(OR(D1136="",E1136=""),"",IFERROR(D1136*INDEX(UnidadesFactor,MATCH(E1136,Unidades,0)),""))</f>
        <v/>
      </c>
      <c r="H1136" s="17" t="str">
        <f aca="false">IF(I1136&lt;&gt;"OK","",IF(G1136=0,"",F1136/G1136))</f>
        <v/>
      </c>
      <c r="I1136" s="20" t="str">
        <f aca="true">IF(B1136="","",IF(ISNA(MATCH(B1136,ListaInsumos,0)),"Insumo no está en Insumos",IF(OR(D1136="",E1136="",F1136=""),"Faltan datos",IF(INDEX(UnidadesBase,MATCH(E1136,Unidades,0))&lt;&gt;INDEX(InsBase,MATCH(B1136,ListaInsumos,0)),"Unidad incompatible",IF(A1136="","Falta fecha","OK")))))</f>
        <v/>
      </c>
      <c r="J1136" s="15"/>
    </row>
    <row r="1137" customFormat="false" ht="15" hidden="false" customHeight="false" outlineLevel="0" collapsed="false">
      <c r="A1137" s="26"/>
      <c r="B1137" s="15"/>
      <c r="C1137" s="15"/>
      <c r="D1137" s="27"/>
      <c r="E1137" s="15"/>
      <c r="F1137" s="28"/>
      <c r="G1137" s="25" t="str">
        <f aca="true">IF(OR(D1137="",E1137=""),"",IFERROR(D1137*INDEX(UnidadesFactor,MATCH(E1137,Unidades,0)),""))</f>
        <v/>
      </c>
      <c r="H1137" s="17" t="str">
        <f aca="false">IF(I1137&lt;&gt;"OK","",IF(G1137=0,"",F1137/G1137))</f>
        <v/>
      </c>
      <c r="I1137" s="20" t="str">
        <f aca="true">IF(B1137="","",IF(ISNA(MATCH(B1137,ListaInsumos,0)),"Insumo no está en Insumos",IF(OR(D1137="",E1137="",F1137=""),"Faltan datos",IF(INDEX(UnidadesBase,MATCH(E1137,Unidades,0))&lt;&gt;INDEX(InsBase,MATCH(B1137,ListaInsumos,0)),"Unidad incompatible",IF(A1137="","Falta fecha","OK")))))</f>
        <v/>
      </c>
      <c r="J1137" s="15"/>
    </row>
    <row r="1138" customFormat="false" ht="15" hidden="false" customHeight="false" outlineLevel="0" collapsed="false">
      <c r="A1138" s="26"/>
      <c r="B1138" s="15"/>
      <c r="C1138" s="15"/>
      <c r="D1138" s="27"/>
      <c r="E1138" s="15"/>
      <c r="F1138" s="28"/>
      <c r="G1138" s="25" t="str">
        <f aca="true">IF(OR(D1138="",E1138=""),"",IFERROR(D1138*INDEX(UnidadesFactor,MATCH(E1138,Unidades,0)),""))</f>
        <v/>
      </c>
      <c r="H1138" s="17" t="str">
        <f aca="false">IF(I1138&lt;&gt;"OK","",IF(G1138=0,"",F1138/G1138))</f>
        <v/>
      </c>
      <c r="I1138" s="20" t="str">
        <f aca="true">IF(B1138="","",IF(ISNA(MATCH(B1138,ListaInsumos,0)),"Insumo no está en Insumos",IF(OR(D1138="",E1138="",F1138=""),"Faltan datos",IF(INDEX(UnidadesBase,MATCH(E1138,Unidades,0))&lt;&gt;INDEX(InsBase,MATCH(B1138,ListaInsumos,0)),"Unidad incompatible",IF(A1138="","Falta fecha","OK")))))</f>
        <v/>
      </c>
      <c r="J1138" s="15"/>
    </row>
    <row r="1139" customFormat="false" ht="15" hidden="false" customHeight="false" outlineLevel="0" collapsed="false">
      <c r="A1139" s="26"/>
      <c r="B1139" s="15"/>
      <c r="C1139" s="15"/>
      <c r="D1139" s="27"/>
      <c r="E1139" s="15"/>
      <c r="F1139" s="28"/>
      <c r="G1139" s="25" t="str">
        <f aca="true">IF(OR(D1139="",E1139=""),"",IFERROR(D1139*INDEX(UnidadesFactor,MATCH(E1139,Unidades,0)),""))</f>
        <v/>
      </c>
      <c r="H1139" s="17" t="str">
        <f aca="false">IF(I1139&lt;&gt;"OK","",IF(G1139=0,"",F1139/G1139))</f>
        <v/>
      </c>
      <c r="I1139" s="20" t="str">
        <f aca="true">IF(B1139="","",IF(ISNA(MATCH(B1139,ListaInsumos,0)),"Insumo no está en Insumos",IF(OR(D1139="",E1139="",F1139=""),"Faltan datos",IF(INDEX(UnidadesBase,MATCH(E1139,Unidades,0))&lt;&gt;INDEX(InsBase,MATCH(B1139,ListaInsumos,0)),"Unidad incompatible",IF(A1139="","Falta fecha","OK")))))</f>
        <v/>
      </c>
      <c r="J1139" s="15"/>
    </row>
    <row r="1140" customFormat="false" ht="15" hidden="false" customHeight="false" outlineLevel="0" collapsed="false">
      <c r="A1140" s="26"/>
      <c r="B1140" s="15"/>
      <c r="C1140" s="15"/>
      <c r="D1140" s="27"/>
      <c r="E1140" s="15"/>
      <c r="F1140" s="28"/>
      <c r="G1140" s="25" t="str">
        <f aca="true">IF(OR(D1140="",E1140=""),"",IFERROR(D1140*INDEX(UnidadesFactor,MATCH(E1140,Unidades,0)),""))</f>
        <v/>
      </c>
      <c r="H1140" s="17" t="str">
        <f aca="false">IF(I1140&lt;&gt;"OK","",IF(G1140=0,"",F1140/G1140))</f>
        <v/>
      </c>
      <c r="I1140" s="20" t="str">
        <f aca="true">IF(B1140="","",IF(ISNA(MATCH(B1140,ListaInsumos,0)),"Insumo no está en Insumos",IF(OR(D1140="",E1140="",F1140=""),"Faltan datos",IF(INDEX(UnidadesBase,MATCH(E1140,Unidades,0))&lt;&gt;INDEX(InsBase,MATCH(B1140,ListaInsumos,0)),"Unidad incompatible",IF(A1140="","Falta fecha","OK")))))</f>
        <v/>
      </c>
      <c r="J1140" s="15"/>
    </row>
    <row r="1141" customFormat="false" ht="15" hidden="false" customHeight="false" outlineLevel="0" collapsed="false">
      <c r="A1141" s="26"/>
      <c r="B1141" s="15"/>
      <c r="C1141" s="15"/>
      <c r="D1141" s="27"/>
      <c r="E1141" s="15"/>
      <c r="F1141" s="28"/>
      <c r="G1141" s="25" t="str">
        <f aca="true">IF(OR(D1141="",E1141=""),"",IFERROR(D1141*INDEX(UnidadesFactor,MATCH(E1141,Unidades,0)),""))</f>
        <v/>
      </c>
      <c r="H1141" s="17" t="str">
        <f aca="false">IF(I1141&lt;&gt;"OK","",IF(G1141=0,"",F1141/G1141))</f>
        <v/>
      </c>
      <c r="I1141" s="20" t="str">
        <f aca="true">IF(B1141="","",IF(ISNA(MATCH(B1141,ListaInsumos,0)),"Insumo no está en Insumos",IF(OR(D1141="",E1141="",F1141=""),"Faltan datos",IF(INDEX(UnidadesBase,MATCH(E1141,Unidades,0))&lt;&gt;INDEX(InsBase,MATCH(B1141,ListaInsumos,0)),"Unidad incompatible",IF(A1141="","Falta fecha","OK")))))</f>
        <v/>
      </c>
      <c r="J1141" s="15"/>
    </row>
    <row r="1142" customFormat="false" ht="15" hidden="false" customHeight="false" outlineLevel="0" collapsed="false">
      <c r="A1142" s="26"/>
      <c r="B1142" s="15"/>
      <c r="C1142" s="15"/>
      <c r="D1142" s="27"/>
      <c r="E1142" s="15"/>
      <c r="F1142" s="28"/>
      <c r="G1142" s="25" t="str">
        <f aca="true">IF(OR(D1142="",E1142=""),"",IFERROR(D1142*INDEX(UnidadesFactor,MATCH(E1142,Unidades,0)),""))</f>
        <v/>
      </c>
      <c r="H1142" s="17" t="str">
        <f aca="false">IF(I1142&lt;&gt;"OK","",IF(G1142=0,"",F1142/G1142))</f>
        <v/>
      </c>
      <c r="I1142" s="20" t="str">
        <f aca="true">IF(B1142="","",IF(ISNA(MATCH(B1142,ListaInsumos,0)),"Insumo no está en Insumos",IF(OR(D1142="",E1142="",F1142=""),"Faltan datos",IF(INDEX(UnidadesBase,MATCH(E1142,Unidades,0))&lt;&gt;INDEX(InsBase,MATCH(B1142,ListaInsumos,0)),"Unidad incompatible",IF(A1142="","Falta fecha","OK")))))</f>
        <v/>
      </c>
      <c r="J1142" s="15"/>
    </row>
    <row r="1143" customFormat="false" ht="15" hidden="false" customHeight="false" outlineLevel="0" collapsed="false">
      <c r="A1143" s="26"/>
      <c r="B1143" s="15"/>
      <c r="C1143" s="15"/>
      <c r="D1143" s="27"/>
      <c r="E1143" s="15"/>
      <c r="F1143" s="28"/>
      <c r="G1143" s="25" t="str">
        <f aca="true">IF(OR(D1143="",E1143=""),"",IFERROR(D1143*INDEX(UnidadesFactor,MATCH(E1143,Unidades,0)),""))</f>
        <v/>
      </c>
      <c r="H1143" s="17" t="str">
        <f aca="false">IF(I1143&lt;&gt;"OK","",IF(G1143=0,"",F1143/G1143))</f>
        <v/>
      </c>
      <c r="I1143" s="20" t="str">
        <f aca="true">IF(B1143="","",IF(ISNA(MATCH(B1143,ListaInsumos,0)),"Insumo no está en Insumos",IF(OR(D1143="",E1143="",F1143=""),"Faltan datos",IF(INDEX(UnidadesBase,MATCH(E1143,Unidades,0))&lt;&gt;INDEX(InsBase,MATCH(B1143,ListaInsumos,0)),"Unidad incompatible",IF(A1143="","Falta fecha","OK")))))</f>
        <v/>
      </c>
      <c r="J1143" s="15"/>
    </row>
    <row r="1144" customFormat="false" ht="15" hidden="false" customHeight="false" outlineLevel="0" collapsed="false">
      <c r="A1144" s="26"/>
      <c r="B1144" s="15"/>
      <c r="C1144" s="15"/>
      <c r="D1144" s="27"/>
      <c r="E1144" s="15"/>
      <c r="F1144" s="28"/>
      <c r="G1144" s="25" t="str">
        <f aca="true">IF(OR(D1144="",E1144=""),"",IFERROR(D1144*INDEX(UnidadesFactor,MATCH(E1144,Unidades,0)),""))</f>
        <v/>
      </c>
      <c r="H1144" s="17" t="str">
        <f aca="false">IF(I1144&lt;&gt;"OK","",IF(G1144=0,"",F1144/G1144))</f>
        <v/>
      </c>
      <c r="I1144" s="20" t="str">
        <f aca="true">IF(B1144="","",IF(ISNA(MATCH(B1144,ListaInsumos,0)),"Insumo no está en Insumos",IF(OR(D1144="",E1144="",F1144=""),"Faltan datos",IF(INDEX(UnidadesBase,MATCH(E1144,Unidades,0))&lt;&gt;INDEX(InsBase,MATCH(B1144,ListaInsumos,0)),"Unidad incompatible",IF(A1144="","Falta fecha","OK")))))</f>
        <v/>
      </c>
      <c r="J1144" s="15"/>
    </row>
    <row r="1145" customFormat="false" ht="15" hidden="false" customHeight="false" outlineLevel="0" collapsed="false">
      <c r="A1145" s="26"/>
      <c r="B1145" s="15"/>
      <c r="C1145" s="15"/>
      <c r="D1145" s="27"/>
      <c r="E1145" s="15"/>
      <c r="F1145" s="28"/>
      <c r="G1145" s="25" t="str">
        <f aca="true">IF(OR(D1145="",E1145=""),"",IFERROR(D1145*INDEX(UnidadesFactor,MATCH(E1145,Unidades,0)),""))</f>
        <v/>
      </c>
      <c r="H1145" s="17" t="str">
        <f aca="false">IF(I1145&lt;&gt;"OK","",IF(G1145=0,"",F1145/G1145))</f>
        <v/>
      </c>
      <c r="I1145" s="20" t="str">
        <f aca="true">IF(B1145="","",IF(ISNA(MATCH(B1145,ListaInsumos,0)),"Insumo no está en Insumos",IF(OR(D1145="",E1145="",F1145=""),"Faltan datos",IF(INDEX(UnidadesBase,MATCH(E1145,Unidades,0))&lt;&gt;INDEX(InsBase,MATCH(B1145,ListaInsumos,0)),"Unidad incompatible",IF(A1145="","Falta fecha","OK")))))</f>
        <v/>
      </c>
      <c r="J1145" s="15"/>
    </row>
    <row r="1146" customFormat="false" ht="15" hidden="false" customHeight="false" outlineLevel="0" collapsed="false">
      <c r="A1146" s="26"/>
      <c r="B1146" s="15"/>
      <c r="C1146" s="15"/>
      <c r="D1146" s="27"/>
      <c r="E1146" s="15"/>
      <c r="F1146" s="28"/>
      <c r="G1146" s="25" t="str">
        <f aca="true">IF(OR(D1146="",E1146=""),"",IFERROR(D1146*INDEX(UnidadesFactor,MATCH(E1146,Unidades,0)),""))</f>
        <v/>
      </c>
      <c r="H1146" s="17" t="str">
        <f aca="false">IF(I1146&lt;&gt;"OK","",IF(G1146=0,"",F1146/G1146))</f>
        <v/>
      </c>
      <c r="I1146" s="20" t="str">
        <f aca="true">IF(B1146="","",IF(ISNA(MATCH(B1146,ListaInsumos,0)),"Insumo no está en Insumos",IF(OR(D1146="",E1146="",F1146=""),"Faltan datos",IF(INDEX(UnidadesBase,MATCH(E1146,Unidades,0))&lt;&gt;INDEX(InsBase,MATCH(B1146,ListaInsumos,0)),"Unidad incompatible",IF(A1146="","Falta fecha","OK")))))</f>
        <v/>
      </c>
      <c r="J1146" s="15"/>
    </row>
    <row r="1147" customFormat="false" ht="15" hidden="false" customHeight="false" outlineLevel="0" collapsed="false">
      <c r="A1147" s="26"/>
      <c r="B1147" s="15"/>
      <c r="C1147" s="15"/>
      <c r="D1147" s="27"/>
      <c r="E1147" s="15"/>
      <c r="F1147" s="28"/>
      <c r="G1147" s="25" t="str">
        <f aca="true">IF(OR(D1147="",E1147=""),"",IFERROR(D1147*INDEX(UnidadesFactor,MATCH(E1147,Unidades,0)),""))</f>
        <v/>
      </c>
      <c r="H1147" s="17" t="str">
        <f aca="false">IF(I1147&lt;&gt;"OK","",IF(G1147=0,"",F1147/G1147))</f>
        <v/>
      </c>
      <c r="I1147" s="20" t="str">
        <f aca="true">IF(B1147="","",IF(ISNA(MATCH(B1147,ListaInsumos,0)),"Insumo no está en Insumos",IF(OR(D1147="",E1147="",F1147=""),"Faltan datos",IF(INDEX(UnidadesBase,MATCH(E1147,Unidades,0))&lt;&gt;INDEX(InsBase,MATCH(B1147,ListaInsumos,0)),"Unidad incompatible",IF(A1147="","Falta fecha","OK")))))</f>
        <v/>
      </c>
      <c r="J1147" s="15"/>
    </row>
    <row r="1148" customFormat="false" ht="15" hidden="false" customHeight="false" outlineLevel="0" collapsed="false">
      <c r="A1148" s="26"/>
      <c r="B1148" s="15"/>
      <c r="C1148" s="15"/>
      <c r="D1148" s="27"/>
      <c r="E1148" s="15"/>
      <c r="F1148" s="28"/>
      <c r="G1148" s="25" t="str">
        <f aca="true">IF(OR(D1148="",E1148=""),"",IFERROR(D1148*INDEX(UnidadesFactor,MATCH(E1148,Unidades,0)),""))</f>
        <v/>
      </c>
      <c r="H1148" s="17" t="str">
        <f aca="false">IF(I1148&lt;&gt;"OK","",IF(G1148=0,"",F1148/G1148))</f>
        <v/>
      </c>
      <c r="I1148" s="20" t="str">
        <f aca="true">IF(B1148="","",IF(ISNA(MATCH(B1148,ListaInsumos,0)),"Insumo no está en Insumos",IF(OR(D1148="",E1148="",F1148=""),"Faltan datos",IF(INDEX(UnidadesBase,MATCH(E1148,Unidades,0))&lt;&gt;INDEX(InsBase,MATCH(B1148,ListaInsumos,0)),"Unidad incompatible",IF(A1148="","Falta fecha","OK")))))</f>
        <v/>
      </c>
      <c r="J1148" s="15"/>
    </row>
    <row r="1149" customFormat="false" ht="15" hidden="false" customHeight="false" outlineLevel="0" collapsed="false">
      <c r="A1149" s="26"/>
      <c r="B1149" s="15"/>
      <c r="C1149" s="15"/>
      <c r="D1149" s="27"/>
      <c r="E1149" s="15"/>
      <c r="F1149" s="28"/>
      <c r="G1149" s="25" t="str">
        <f aca="true">IF(OR(D1149="",E1149=""),"",IFERROR(D1149*INDEX(UnidadesFactor,MATCH(E1149,Unidades,0)),""))</f>
        <v/>
      </c>
      <c r="H1149" s="17" t="str">
        <f aca="false">IF(I1149&lt;&gt;"OK","",IF(G1149=0,"",F1149/G1149))</f>
        <v/>
      </c>
      <c r="I1149" s="20" t="str">
        <f aca="true">IF(B1149="","",IF(ISNA(MATCH(B1149,ListaInsumos,0)),"Insumo no está en Insumos",IF(OR(D1149="",E1149="",F1149=""),"Faltan datos",IF(INDEX(UnidadesBase,MATCH(E1149,Unidades,0))&lt;&gt;INDEX(InsBase,MATCH(B1149,ListaInsumos,0)),"Unidad incompatible",IF(A1149="","Falta fecha","OK")))))</f>
        <v/>
      </c>
      <c r="J1149" s="15"/>
    </row>
    <row r="1150" customFormat="false" ht="15" hidden="false" customHeight="false" outlineLevel="0" collapsed="false">
      <c r="A1150" s="26"/>
      <c r="B1150" s="15"/>
      <c r="C1150" s="15"/>
      <c r="D1150" s="27"/>
      <c r="E1150" s="15"/>
      <c r="F1150" s="28"/>
      <c r="G1150" s="25" t="str">
        <f aca="true">IF(OR(D1150="",E1150=""),"",IFERROR(D1150*INDEX(UnidadesFactor,MATCH(E1150,Unidades,0)),""))</f>
        <v/>
      </c>
      <c r="H1150" s="17" t="str">
        <f aca="false">IF(I1150&lt;&gt;"OK","",IF(G1150=0,"",F1150/G1150))</f>
        <v/>
      </c>
      <c r="I1150" s="20" t="str">
        <f aca="true">IF(B1150="","",IF(ISNA(MATCH(B1150,ListaInsumos,0)),"Insumo no está en Insumos",IF(OR(D1150="",E1150="",F1150=""),"Faltan datos",IF(INDEX(UnidadesBase,MATCH(E1150,Unidades,0))&lt;&gt;INDEX(InsBase,MATCH(B1150,ListaInsumos,0)),"Unidad incompatible",IF(A1150="","Falta fecha","OK")))))</f>
        <v/>
      </c>
      <c r="J1150" s="15"/>
    </row>
    <row r="1151" customFormat="false" ht="15" hidden="false" customHeight="false" outlineLevel="0" collapsed="false">
      <c r="A1151" s="26"/>
      <c r="B1151" s="15"/>
      <c r="C1151" s="15"/>
      <c r="D1151" s="27"/>
      <c r="E1151" s="15"/>
      <c r="F1151" s="28"/>
      <c r="G1151" s="25" t="str">
        <f aca="true">IF(OR(D1151="",E1151=""),"",IFERROR(D1151*INDEX(UnidadesFactor,MATCH(E1151,Unidades,0)),""))</f>
        <v/>
      </c>
      <c r="H1151" s="17" t="str">
        <f aca="false">IF(I1151&lt;&gt;"OK","",IF(G1151=0,"",F1151/G1151))</f>
        <v/>
      </c>
      <c r="I1151" s="20" t="str">
        <f aca="true">IF(B1151="","",IF(ISNA(MATCH(B1151,ListaInsumos,0)),"Insumo no está en Insumos",IF(OR(D1151="",E1151="",F1151=""),"Faltan datos",IF(INDEX(UnidadesBase,MATCH(E1151,Unidades,0))&lt;&gt;INDEX(InsBase,MATCH(B1151,ListaInsumos,0)),"Unidad incompatible",IF(A1151="","Falta fecha","OK")))))</f>
        <v/>
      </c>
      <c r="J1151" s="15"/>
    </row>
    <row r="1152" customFormat="false" ht="15" hidden="false" customHeight="false" outlineLevel="0" collapsed="false">
      <c r="A1152" s="26"/>
      <c r="B1152" s="15"/>
      <c r="C1152" s="15"/>
      <c r="D1152" s="27"/>
      <c r="E1152" s="15"/>
      <c r="F1152" s="28"/>
      <c r="G1152" s="25" t="str">
        <f aca="true">IF(OR(D1152="",E1152=""),"",IFERROR(D1152*INDEX(UnidadesFactor,MATCH(E1152,Unidades,0)),""))</f>
        <v/>
      </c>
      <c r="H1152" s="17" t="str">
        <f aca="false">IF(I1152&lt;&gt;"OK","",IF(G1152=0,"",F1152/G1152))</f>
        <v/>
      </c>
      <c r="I1152" s="20" t="str">
        <f aca="true">IF(B1152="","",IF(ISNA(MATCH(B1152,ListaInsumos,0)),"Insumo no está en Insumos",IF(OR(D1152="",E1152="",F1152=""),"Faltan datos",IF(INDEX(UnidadesBase,MATCH(E1152,Unidades,0))&lt;&gt;INDEX(InsBase,MATCH(B1152,ListaInsumos,0)),"Unidad incompatible",IF(A1152="","Falta fecha","OK")))))</f>
        <v/>
      </c>
      <c r="J1152" s="15"/>
    </row>
    <row r="1153" customFormat="false" ht="15" hidden="false" customHeight="false" outlineLevel="0" collapsed="false">
      <c r="A1153" s="26"/>
      <c r="B1153" s="15"/>
      <c r="C1153" s="15"/>
      <c r="D1153" s="27"/>
      <c r="E1153" s="15"/>
      <c r="F1153" s="28"/>
      <c r="G1153" s="25" t="str">
        <f aca="true">IF(OR(D1153="",E1153=""),"",IFERROR(D1153*INDEX(UnidadesFactor,MATCH(E1153,Unidades,0)),""))</f>
        <v/>
      </c>
      <c r="H1153" s="17" t="str">
        <f aca="false">IF(I1153&lt;&gt;"OK","",IF(G1153=0,"",F1153/G1153))</f>
        <v/>
      </c>
      <c r="I1153" s="20" t="str">
        <f aca="true">IF(B1153="","",IF(ISNA(MATCH(B1153,ListaInsumos,0)),"Insumo no está en Insumos",IF(OR(D1153="",E1153="",F1153=""),"Faltan datos",IF(INDEX(UnidadesBase,MATCH(E1153,Unidades,0))&lt;&gt;INDEX(InsBase,MATCH(B1153,ListaInsumos,0)),"Unidad incompatible",IF(A1153="","Falta fecha","OK")))))</f>
        <v/>
      </c>
      <c r="J1153" s="15"/>
    </row>
    <row r="1154" customFormat="false" ht="15" hidden="false" customHeight="false" outlineLevel="0" collapsed="false">
      <c r="A1154" s="26"/>
      <c r="B1154" s="15"/>
      <c r="C1154" s="15"/>
      <c r="D1154" s="27"/>
      <c r="E1154" s="15"/>
      <c r="F1154" s="28"/>
      <c r="G1154" s="25" t="str">
        <f aca="true">IF(OR(D1154="",E1154=""),"",IFERROR(D1154*INDEX(UnidadesFactor,MATCH(E1154,Unidades,0)),""))</f>
        <v/>
      </c>
      <c r="H1154" s="17" t="str">
        <f aca="false">IF(I1154&lt;&gt;"OK","",IF(G1154=0,"",F1154/G1154))</f>
        <v/>
      </c>
      <c r="I1154" s="20" t="str">
        <f aca="true">IF(B1154="","",IF(ISNA(MATCH(B1154,ListaInsumos,0)),"Insumo no está en Insumos",IF(OR(D1154="",E1154="",F1154=""),"Faltan datos",IF(INDEX(UnidadesBase,MATCH(E1154,Unidades,0))&lt;&gt;INDEX(InsBase,MATCH(B1154,ListaInsumos,0)),"Unidad incompatible",IF(A1154="","Falta fecha","OK")))))</f>
        <v/>
      </c>
      <c r="J1154" s="15"/>
    </row>
    <row r="1155" customFormat="false" ht="15" hidden="false" customHeight="false" outlineLevel="0" collapsed="false">
      <c r="A1155" s="26"/>
      <c r="B1155" s="15"/>
      <c r="C1155" s="15"/>
      <c r="D1155" s="27"/>
      <c r="E1155" s="15"/>
      <c r="F1155" s="28"/>
      <c r="G1155" s="25" t="str">
        <f aca="true">IF(OR(D1155="",E1155=""),"",IFERROR(D1155*INDEX(UnidadesFactor,MATCH(E1155,Unidades,0)),""))</f>
        <v/>
      </c>
      <c r="H1155" s="17" t="str">
        <f aca="false">IF(I1155&lt;&gt;"OK","",IF(G1155=0,"",F1155/G1155))</f>
        <v/>
      </c>
      <c r="I1155" s="20" t="str">
        <f aca="true">IF(B1155="","",IF(ISNA(MATCH(B1155,ListaInsumos,0)),"Insumo no está en Insumos",IF(OR(D1155="",E1155="",F1155=""),"Faltan datos",IF(INDEX(UnidadesBase,MATCH(E1155,Unidades,0))&lt;&gt;INDEX(InsBase,MATCH(B1155,ListaInsumos,0)),"Unidad incompatible",IF(A1155="","Falta fecha","OK")))))</f>
        <v/>
      </c>
      <c r="J1155" s="15"/>
    </row>
    <row r="1156" customFormat="false" ht="15" hidden="false" customHeight="false" outlineLevel="0" collapsed="false">
      <c r="A1156" s="26"/>
      <c r="B1156" s="15"/>
      <c r="C1156" s="15"/>
      <c r="D1156" s="27"/>
      <c r="E1156" s="15"/>
      <c r="F1156" s="28"/>
      <c r="G1156" s="25" t="str">
        <f aca="true">IF(OR(D1156="",E1156=""),"",IFERROR(D1156*INDEX(UnidadesFactor,MATCH(E1156,Unidades,0)),""))</f>
        <v/>
      </c>
      <c r="H1156" s="17" t="str">
        <f aca="false">IF(I1156&lt;&gt;"OK","",IF(G1156=0,"",F1156/G1156))</f>
        <v/>
      </c>
      <c r="I1156" s="20" t="str">
        <f aca="true">IF(B1156="","",IF(ISNA(MATCH(B1156,ListaInsumos,0)),"Insumo no está en Insumos",IF(OR(D1156="",E1156="",F1156=""),"Faltan datos",IF(INDEX(UnidadesBase,MATCH(E1156,Unidades,0))&lt;&gt;INDEX(InsBase,MATCH(B1156,ListaInsumos,0)),"Unidad incompatible",IF(A1156="","Falta fecha","OK")))))</f>
        <v/>
      </c>
      <c r="J1156" s="15"/>
    </row>
    <row r="1157" customFormat="false" ht="15" hidden="false" customHeight="false" outlineLevel="0" collapsed="false">
      <c r="A1157" s="26"/>
      <c r="B1157" s="15"/>
      <c r="C1157" s="15"/>
      <c r="D1157" s="27"/>
      <c r="E1157" s="15"/>
      <c r="F1157" s="28"/>
      <c r="G1157" s="25" t="str">
        <f aca="true">IF(OR(D1157="",E1157=""),"",IFERROR(D1157*INDEX(UnidadesFactor,MATCH(E1157,Unidades,0)),""))</f>
        <v/>
      </c>
      <c r="H1157" s="17" t="str">
        <f aca="false">IF(I1157&lt;&gt;"OK","",IF(G1157=0,"",F1157/G1157))</f>
        <v/>
      </c>
      <c r="I1157" s="20" t="str">
        <f aca="true">IF(B1157="","",IF(ISNA(MATCH(B1157,ListaInsumos,0)),"Insumo no está en Insumos",IF(OR(D1157="",E1157="",F1157=""),"Faltan datos",IF(INDEX(UnidadesBase,MATCH(E1157,Unidades,0))&lt;&gt;INDEX(InsBase,MATCH(B1157,ListaInsumos,0)),"Unidad incompatible",IF(A1157="","Falta fecha","OK")))))</f>
        <v/>
      </c>
      <c r="J1157" s="15"/>
    </row>
    <row r="1158" customFormat="false" ht="15" hidden="false" customHeight="false" outlineLevel="0" collapsed="false">
      <c r="A1158" s="26"/>
      <c r="B1158" s="15"/>
      <c r="C1158" s="15"/>
      <c r="D1158" s="27"/>
      <c r="E1158" s="15"/>
      <c r="F1158" s="28"/>
      <c r="G1158" s="25" t="str">
        <f aca="true">IF(OR(D1158="",E1158=""),"",IFERROR(D1158*INDEX(UnidadesFactor,MATCH(E1158,Unidades,0)),""))</f>
        <v/>
      </c>
      <c r="H1158" s="17" t="str">
        <f aca="false">IF(I1158&lt;&gt;"OK","",IF(G1158=0,"",F1158/G1158))</f>
        <v/>
      </c>
      <c r="I1158" s="20" t="str">
        <f aca="true">IF(B1158="","",IF(ISNA(MATCH(B1158,ListaInsumos,0)),"Insumo no está en Insumos",IF(OR(D1158="",E1158="",F1158=""),"Faltan datos",IF(INDEX(UnidadesBase,MATCH(E1158,Unidades,0))&lt;&gt;INDEX(InsBase,MATCH(B1158,ListaInsumos,0)),"Unidad incompatible",IF(A1158="","Falta fecha","OK")))))</f>
        <v/>
      </c>
      <c r="J1158" s="15"/>
    </row>
    <row r="1159" customFormat="false" ht="15" hidden="false" customHeight="false" outlineLevel="0" collapsed="false">
      <c r="A1159" s="26"/>
      <c r="B1159" s="15"/>
      <c r="C1159" s="15"/>
      <c r="D1159" s="27"/>
      <c r="E1159" s="15"/>
      <c r="F1159" s="28"/>
      <c r="G1159" s="25" t="str">
        <f aca="true">IF(OR(D1159="",E1159=""),"",IFERROR(D1159*INDEX(UnidadesFactor,MATCH(E1159,Unidades,0)),""))</f>
        <v/>
      </c>
      <c r="H1159" s="17" t="str">
        <f aca="false">IF(I1159&lt;&gt;"OK","",IF(G1159=0,"",F1159/G1159))</f>
        <v/>
      </c>
      <c r="I1159" s="20" t="str">
        <f aca="true">IF(B1159="","",IF(ISNA(MATCH(B1159,ListaInsumos,0)),"Insumo no está en Insumos",IF(OR(D1159="",E1159="",F1159=""),"Faltan datos",IF(INDEX(UnidadesBase,MATCH(E1159,Unidades,0))&lt;&gt;INDEX(InsBase,MATCH(B1159,ListaInsumos,0)),"Unidad incompatible",IF(A1159="","Falta fecha","OK")))))</f>
        <v/>
      </c>
      <c r="J1159" s="15"/>
    </row>
    <row r="1160" customFormat="false" ht="15" hidden="false" customHeight="false" outlineLevel="0" collapsed="false">
      <c r="A1160" s="26"/>
      <c r="B1160" s="15"/>
      <c r="C1160" s="15"/>
      <c r="D1160" s="27"/>
      <c r="E1160" s="15"/>
      <c r="F1160" s="28"/>
      <c r="G1160" s="25" t="str">
        <f aca="true">IF(OR(D1160="",E1160=""),"",IFERROR(D1160*INDEX(UnidadesFactor,MATCH(E1160,Unidades,0)),""))</f>
        <v/>
      </c>
      <c r="H1160" s="17" t="str">
        <f aca="false">IF(I1160&lt;&gt;"OK","",IF(G1160=0,"",F1160/G1160))</f>
        <v/>
      </c>
      <c r="I1160" s="20" t="str">
        <f aca="true">IF(B1160="","",IF(ISNA(MATCH(B1160,ListaInsumos,0)),"Insumo no está en Insumos",IF(OR(D1160="",E1160="",F1160=""),"Faltan datos",IF(INDEX(UnidadesBase,MATCH(E1160,Unidades,0))&lt;&gt;INDEX(InsBase,MATCH(B1160,ListaInsumos,0)),"Unidad incompatible",IF(A1160="","Falta fecha","OK")))))</f>
        <v/>
      </c>
      <c r="J1160" s="15"/>
    </row>
    <row r="1161" customFormat="false" ht="15" hidden="false" customHeight="false" outlineLevel="0" collapsed="false">
      <c r="A1161" s="26"/>
      <c r="B1161" s="15"/>
      <c r="C1161" s="15"/>
      <c r="D1161" s="27"/>
      <c r="E1161" s="15"/>
      <c r="F1161" s="28"/>
      <c r="G1161" s="25" t="str">
        <f aca="true">IF(OR(D1161="",E1161=""),"",IFERROR(D1161*INDEX(UnidadesFactor,MATCH(E1161,Unidades,0)),""))</f>
        <v/>
      </c>
      <c r="H1161" s="17" t="str">
        <f aca="false">IF(I1161&lt;&gt;"OK","",IF(G1161=0,"",F1161/G1161))</f>
        <v/>
      </c>
      <c r="I1161" s="20" t="str">
        <f aca="true">IF(B1161="","",IF(ISNA(MATCH(B1161,ListaInsumos,0)),"Insumo no está en Insumos",IF(OR(D1161="",E1161="",F1161=""),"Faltan datos",IF(INDEX(UnidadesBase,MATCH(E1161,Unidades,0))&lt;&gt;INDEX(InsBase,MATCH(B1161,ListaInsumos,0)),"Unidad incompatible",IF(A1161="","Falta fecha","OK")))))</f>
        <v/>
      </c>
      <c r="J1161" s="15"/>
    </row>
    <row r="1162" customFormat="false" ht="15" hidden="false" customHeight="false" outlineLevel="0" collapsed="false">
      <c r="A1162" s="26"/>
      <c r="B1162" s="15"/>
      <c r="C1162" s="15"/>
      <c r="D1162" s="27"/>
      <c r="E1162" s="15"/>
      <c r="F1162" s="28"/>
      <c r="G1162" s="25" t="str">
        <f aca="true">IF(OR(D1162="",E1162=""),"",IFERROR(D1162*INDEX(UnidadesFactor,MATCH(E1162,Unidades,0)),""))</f>
        <v/>
      </c>
      <c r="H1162" s="17" t="str">
        <f aca="false">IF(I1162&lt;&gt;"OK","",IF(G1162=0,"",F1162/G1162))</f>
        <v/>
      </c>
      <c r="I1162" s="20" t="str">
        <f aca="true">IF(B1162="","",IF(ISNA(MATCH(B1162,ListaInsumos,0)),"Insumo no está en Insumos",IF(OR(D1162="",E1162="",F1162=""),"Faltan datos",IF(INDEX(UnidadesBase,MATCH(E1162,Unidades,0))&lt;&gt;INDEX(InsBase,MATCH(B1162,ListaInsumos,0)),"Unidad incompatible",IF(A1162="","Falta fecha","OK")))))</f>
        <v/>
      </c>
      <c r="J1162" s="15"/>
    </row>
    <row r="1163" customFormat="false" ht="15" hidden="false" customHeight="false" outlineLevel="0" collapsed="false">
      <c r="A1163" s="26"/>
      <c r="B1163" s="15"/>
      <c r="C1163" s="15"/>
      <c r="D1163" s="27"/>
      <c r="E1163" s="15"/>
      <c r="F1163" s="28"/>
      <c r="G1163" s="25" t="str">
        <f aca="true">IF(OR(D1163="",E1163=""),"",IFERROR(D1163*INDEX(UnidadesFactor,MATCH(E1163,Unidades,0)),""))</f>
        <v/>
      </c>
      <c r="H1163" s="17" t="str">
        <f aca="false">IF(I1163&lt;&gt;"OK","",IF(G1163=0,"",F1163/G1163))</f>
        <v/>
      </c>
      <c r="I1163" s="20" t="str">
        <f aca="true">IF(B1163="","",IF(ISNA(MATCH(B1163,ListaInsumos,0)),"Insumo no está en Insumos",IF(OR(D1163="",E1163="",F1163=""),"Faltan datos",IF(INDEX(UnidadesBase,MATCH(E1163,Unidades,0))&lt;&gt;INDEX(InsBase,MATCH(B1163,ListaInsumos,0)),"Unidad incompatible",IF(A1163="","Falta fecha","OK")))))</f>
        <v/>
      </c>
      <c r="J1163" s="15"/>
    </row>
    <row r="1164" customFormat="false" ht="15" hidden="false" customHeight="false" outlineLevel="0" collapsed="false">
      <c r="A1164" s="26"/>
      <c r="B1164" s="15"/>
      <c r="C1164" s="15"/>
      <c r="D1164" s="27"/>
      <c r="E1164" s="15"/>
      <c r="F1164" s="28"/>
      <c r="G1164" s="25" t="str">
        <f aca="true">IF(OR(D1164="",E1164=""),"",IFERROR(D1164*INDEX(UnidadesFactor,MATCH(E1164,Unidades,0)),""))</f>
        <v/>
      </c>
      <c r="H1164" s="17" t="str">
        <f aca="false">IF(I1164&lt;&gt;"OK","",IF(G1164=0,"",F1164/G1164))</f>
        <v/>
      </c>
      <c r="I1164" s="20" t="str">
        <f aca="true">IF(B1164="","",IF(ISNA(MATCH(B1164,ListaInsumos,0)),"Insumo no está en Insumos",IF(OR(D1164="",E1164="",F1164=""),"Faltan datos",IF(INDEX(UnidadesBase,MATCH(E1164,Unidades,0))&lt;&gt;INDEX(InsBase,MATCH(B1164,ListaInsumos,0)),"Unidad incompatible",IF(A1164="","Falta fecha","OK")))))</f>
        <v/>
      </c>
      <c r="J1164" s="15"/>
    </row>
    <row r="1165" customFormat="false" ht="15" hidden="false" customHeight="false" outlineLevel="0" collapsed="false">
      <c r="A1165" s="26"/>
      <c r="B1165" s="15"/>
      <c r="C1165" s="15"/>
      <c r="D1165" s="27"/>
      <c r="E1165" s="15"/>
      <c r="F1165" s="28"/>
      <c r="G1165" s="25" t="str">
        <f aca="true">IF(OR(D1165="",E1165=""),"",IFERROR(D1165*INDEX(UnidadesFactor,MATCH(E1165,Unidades,0)),""))</f>
        <v/>
      </c>
      <c r="H1165" s="17" t="str">
        <f aca="false">IF(I1165&lt;&gt;"OK","",IF(G1165=0,"",F1165/G1165))</f>
        <v/>
      </c>
      <c r="I1165" s="20" t="str">
        <f aca="true">IF(B1165="","",IF(ISNA(MATCH(B1165,ListaInsumos,0)),"Insumo no está en Insumos",IF(OR(D1165="",E1165="",F1165=""),"Faltan datos",IF(INDEX(UnidadesBase,MATCH(E1165,Unidades,0))&lt;&gt;INDEX(InsBase,MATCH(B1165,ListaInsumos,0)),"Unidad incompatible",IF(A1165="","Falta fecha","OK")))))</f>
        <v/>
      </c>
      <c r="J1165" s="15"/>
    </row>
    <row r="1166" customFormat="false" ht="15" hidden="false" customHeight="false" outlineLevel="0" collapsed="false">
      <c r="A1166" s="26"/>
      <c r="B1166" s="15"/>
      <c r="C1166" s="15"/>
      <c r="D1166" s="27"/>
      <c r="E1166" s="15"/>
      <c r="F1166" s="28"/>
      <c r="G1166" s="25" t="str">
        <f aca="true">IF(OR(D1166="",E1166=""),"",IFERROR(D1166*INDEX(UnidadesFactor,MATCH(E1166,Unidades,0)),""))</f>
        <v/>
      </c>
      <c r="H1166" s="17" t="str">
        <f aca="false">IF(I1166&lt;&gt;"OK","",IF(G1166=0,"",F1166/G1166))</f>
        <v/>
      </c>
      <c r="I1166" s="20" t="str">
        <f aca="true">IF(B1166="","",IF(ISNA(MATCH(B1166,ListaInsumos,0)),"Insumo no está en Insumos",IF(OR(D1166="",E1166="",F1166=""),"Faltan datos",IF(INDEX(UnidadesBase,MATCH(E1166,Unidades,0))&lt;&gt;INDEX(InsBase,MATCH(B1166,ListaInsumos,0)),"Unidad incompatible",IF(A1166="","Falta fecha","OK")))))</f>
        <v/>
      </c>
      <c r="J1166" s="15"/>
    </row>
    <row r="1167" customFormat="false" ht="15" hidden="false" customHeight="false" outlineLevel="0" collapsed="false">
      <c r="A1167" s="26"/>
      <c r="B1167" s="15"/>
      <c r="C1167" s="15"/>
      <c r="D1167" s="27"/>
      <c r="E1167" s="15"/>
      <c r="F1167" s="28"/>
      <c r="G1167" s="25" t="str">
        <f aca="true">IF(OR(D1167="",E1167=""),"",IFERROR(D1167*INDEX(UnidadesFactor,MATCH(E1167,Unidades,0)),""))</f>
        <v/>
      </c>
      <c r="H1167" s="17" t="str">
        <f aca="false">IF(I1167&lt;&gt;"OK","",IF(G1167=0,"",F1167/G1167))</f>
        <v/>
      </c>
      <c r="I1167" s="20" t="str">
        <f aca="true">IF(B1167="","",IF(ISNA(MATCH(B1167,ListaInsumos,0)),"Insumo no está en Insumos",IF(OR(D1167="",E1167="",F1167=""),"Faltan datos",IF(INDEX(UnidadesBase,MATCH(E1167,Unidades,0))&lt;&gt;INDEX(InsBase,MATCH(B1167,ListaInsumos,0)),"Unidad incompatible",IF(A1167="","Falta fecha","OK")))))</f>
        <v/>
      </c>
      <c r="J1167" s="15"/>
    </row>
    <row r="1168" customFormat="false" ht="15" hidden="false" customHeight="false" outlineLevel="0" collapsed="false">
      <c r="A1168" s="26"/>
      <c r="B1168" s="15"/>
      <c r="C1168" s="15"/>
      <c r="D1168" s="27"/>
      <c r="E1168" s="15"/>
      <c r="F1168" s="28"/>
      <c r="G1168" s="25" t="str">
        <f aca="true">IF(OR(D1168="",E1168=""),"",IFERROR(D1168*INDEX(UnidadesFactor,MATCH(E1168,Unidades,0)),""))</f>
        <v/>
      </c>
      <c r="H1168" s="17" t="str">
        <f aca="false">IF(I1168&lt;&gt;"OK","",IF(G1168=0,"",F1168/G1168))</f>
        <v/>
      </c>
      <c r="I1168" s="20" t="str">
        <f aca="true">IF(B1168="","",IF(ISNA(MATCH(B1168,ListaInsumos,0)),"Insumo no está en Insumos",IF(OR(D1168="",E1168="",F1168=""),"Faltan datos",IF(INDEX(UnidadesBase,MATCH(E1168,Unidades,0))&lt;&gt;INDEX(InsBase,MATCH(B1168,ListaInsumos,0)),"Unidad incompatible",IF(A1168="","Falta fecha","OK")))))</f>
        <v/>
      </c>
      <c r="J1168" s="15"/>
    </row>
    <row r="1169" customFormat="false" ht="15" hidden="false" customHeight="false" outlineLevel="0" collapsed="false">
      <c r="A1169" s="26"/>
      <c r="B1169" s="15"/>
      <c r="C1169" s="15"/>
      <c r="D1169" s="27"/>
      <c r="E1169" s="15"/>
      <c r="F1169" s="28"/>
      <c r="G1169" s="25" t="str">
        <f aca="true">IF(OR(D1169="",E1169=""),"",IFERROR(D1169*INDEX(UnidadesFactor,MATCH(E1169,Unidades,0)),""))</f>
        <v/>
      </c>
      <c r="H1169" s="17" t="str">
        <f aca="false">IF(I1169&lt;&gt;"OK","",IF(G1169=0,"",F1169/G1169))</f>
        <v/>
      </c>
      <c r="I1169" s="20" t="str">
        <f aca="true">IF(B1169="","",IF(ISNA(MATCH(B1169,ListaInsumos,0)),"Insumo no está en Insumos",IF(OR(D1169="",E1169="",F1169=""),"Faltan datos",IF(INDEX(UnidadesBase,MATCH(E1169,Unidades,0))&lt;&gt;INDEX(InsBase,MATCH(B1169,ListaInsumos,0)),"Unidad incompatible",IF(A1169="","Falta fecha","OK")))))</f>
        <v/>
      </c>
      <c r="J1169" s="15"/>
    </row>
    <row r="1170" customFormat="false" ht="15" hidden="false" customHeight="false" outlineLevel="0" collapsed="false">
      <c r="A1170" s="26"/>
      <c r="B1170" s="15"/>
      <c r="C1170" s="15"/>
      <c r="D1170" s="27"/>
      <c r="E1170" s="15"/>
      <c r="F1170" s="28"/>
      <c r="G1170" s="25" t="str">
        <f aca="true">IF(OR(D1170="",E1170=""),"",IFERROR(D1170*INDEX(UnidadesFactor,MATCH(E1170,Unidades,0)),""))</f>
        <v/>
      </c>
      <c r="H1170" s="17" t="str">
        <f aca="false">IF(I1170&lt;&gt;"OK","",IF(G1170=0,"",F1170/G1170))</f>
        <v/>
      </c>
      <c r="I1170" s="20" t="str">
        <f aca="true">IF(B1170="","",IF(ISNA(MATCH(B1170,ListaInsumos,0)),"Insumo no está en Insumos",IF(OR(D1170="",E1170="",F1170=""),"Faltan datos",IF(INDEX(UnidadesBase,MATCH(E1170,Unidades,0))&lt;&gt;INDEX(InsBase,MATCH(B1170,ListaInsumos,0)),"Unidad incompatible",IF(A1170="","Falta fecha","OK")))))</f>
        <v/>
      </c>
      <c r="J1170" s="15"/>
    </row>
    <row r="1171" customFormat="false" ht="15" hidden="false" customHeight="false" outlineLevel="0" collapsed="false">
      <c r="A1171" s="26"/>
      <c r="B1171" s="15"/>
      <c r="C1171" s="15"/>
      <c r="D1171" s="27"/>
      <c r="E1171" s="15"/>
      <c r="F1171" s="28"/>
      <c r="G1171" s="25" t="str">
        <f aca="true">IF(OR(D1171="",E1171=""),"",IFERROR(D1171*INDEX(UnidadesFactor,MATCH(E1171,Unidades,0)),""))</f>
        <v/>
      </c>
      <c r="H1171" s="17" t="str">
        <f aca="false">IF(I1171&lt;&gt;"OK","",IF(G1171=0,"",F1171/G1171))</f>
        <v/>
      </c>
      <c r="I1171" s="20" t="str">
        <f aca="true">IF(B1171="","",IF(ISNA(MATCH(B1171,ListaInsumos,0)),"Insumo no está en Insumos",IF(OR(D1171="",E1171="",F1171=""),"Faltan datos",IF(INDEX(UnidadesBase,MATCH(E1171,Unidades,0))&lt;&gt;INDEX(InsBase,MATCH(B1171,ListaInsumos,0)),"Unidad incompatible",IF(A1171="","Falta fecha","OK")))))</f>
        <v/>
      </c>
      <c r="J1171" s="15"/>
    </row>
    <row r="1172" customFormat="false" ht="15" hidden="false" customHeight="false" outlineLevel="0" collapsed="false">
      <c r="A1172" s="26"/>
      <c r="B1172" s="15"/>
      <c r="C1172" s="15"/>
      <c r="D1172" s="27"/>
      <c r="E1172" s="15"/>
      <c r="F1172" s="28"/>
      <c r="G1172" s="25" t="str">
        <f aca="true">IF(OR(D1172="",E1172=""),"",IFERROR(D1172*INDEX(UnidadesFactor,MATCH(E1172,Unidades,0)),""))</f>
        <v/>
      </c>
      <c r="H1172" s="17" t="str">
        <f aca="false">IF(I1172&lt;&gt;"OK","",IF(G1172=0,"",F1172/G1172))</f>
        <v/>
      </c>
      <c r="I1172" s="20" t="str">
        <f aca="true">IF(B1172="","",IF(ISNA(MATCH(B1172,ListaInsumos,0)),"Insumo no está en Insumos",IF(OR(D1172="",E1172="",F1172=""),"Faltan datos",IF(INDEX(UnidadesBase,MATCH(E1172,Unidades,0))&lt;&gt;INDEX(InsBase,MATCH(B1172,ListaInsumos,0)),"Unidad incompatible",IF(A1172="","Falta fecha","OK")))))</f>
        <v/>
      </c>
      <c r="J1172" s="15"/>
    </row>
    <row r="1173" customFormat="false" ht="15" hidden="false" customHeight="false" outlineLevel="0" collapsed="false">
      <c r="A1173" s="26"/>
      <c r="B1173" s="15"/>
      <c r="C1173" s="15"/>
      <c r="D1173" s="27"/>
      <c r="E1173" s="15"/>
      <c r="F1173" s="28"/>
      <c r="G1173" s="25" t="str">
        <f aca="true">IF(OR(D1173="",E1173=""),"",IFERROR(D1173*INDEX(UnidadesFactor,MATCH(E1173,Unidades,0)),""))</f>
        <v/>
      </c>
      <c r="H1173" s="17" t="str">
        <f aca="false">IF(I1173&lt;&gt;"OK","",IF(G1173=0,"",F1173/G1173))</f>
        <v/>
      </c>
      <c r="I1173" s="20" t="str">
        <f aca="true">IF(B1173="","",IF(ISNA(MATCH(B1173,ListaInsumos,0)),"Insumo no está en Insumos",IF(OR(D1173="",E1173="",F1173=""),"Faltan datos",IF(INDEX(UnidadesBase,MATCH(E1173,Unidades,0))&lt;&gt;INDEX(InsBase,MATCH(B1173,ListaInsumos,0)),"Unidad incompatible",IF(A1173="","Falta fecha","OK")))))</f>
        <v/>
      </c>
      <c r="J1173" s="15"/>
    </row>
    <row r="1174" customFormat="false" ht="15" hidden="false" customHeight="false" outlineLevel="0" collapsed="false">
      <c r="A1174" s="26"/>
      <c r="B1174" s="15"/>
      <c r="C1174" s="15"/>
      <c r="D1174" s="27"/>
      <c r="E1174" s="15"/>
      <c r="F1174" s="28"/>
      <c r="G1174" s="25" t="str">
        <f aca="true">IF(OR(D1174="",E1174=""),"",IFERROR(D1174*INDEX(UnidadesFactor,MATCH(E1174,Unidades,0)),""))</f>
        <v/>
      </c>
      <c r="H1174" s="17" t="str">
        <f aca="false">IF(I1174&lt;&gt;"OK","",IF(G1174=0,"",F1174/G1174))</f>
        <v/>
      </c>
      <c r="I1174" s="20" t="str">
        <f aca="true">IF(B1174="","",IF(ISNA(MATCH(B1174,ListaInsumos,0)),"Insumo no está en Insumos",IF(OR(D1174="",E1174="",F1174=""),"Faltan datos",IF(INDEX(UnidadesBase,MATCH(E1174,Unidades,0))&lt;&gt;INDEX(InsBase,MATCH(B1174,ListaInsumos,0)),"Unidad incompatible",IF(A1174="","Falta fecha","OK")))))</f>
        <v/>
      </c>
      <c r="J1174" s="15"/>
    </row>
    <row r="1175" customFormat="false" ht="15" hidden="false" customHeight="false" outlineLevel="0" collapsed="false">
      <c r="A1175" s="26"/>
      <c r="B1175" s="15"/>
      <c r="C1175" s="15"/>
      <c r="D1175" s="27"/>
      <c r="E1175" s="15"/>
      <c r="F1175" s="28"/>
      <c r="G1175" s="25" t="str">
        <f aca="true">IF(OR(D1175="",E1175=""),"",IFERROR(D1175*INDEX(UnidadesFactor,MATCH(E1175,Unidades,0)),""))</f>
        <v/>
      </c>
      <c r="H1175" s="17" t="str">
        <f aca="false">IF(I1175&lt;&gt;"OK","",IF(G1175=0,"",F1175/G1175))</f>
        <v/>
      </c>
      <c r="I1175" s="20" t="str">
        <f aca="true">IF(B1175="","",IF(ISNA(MATCH(B1175,ListaInsumos,0)),"Insumo no está en Insumos",IF(OR(D1175="",E1175="",F1175=""),"Faltan datos",IF(INDEX(UnidadesBase,MATCH(E1175,Unidades,0))&lt;&gt;INDEX(InsBase,MATCH(B1175,ListaInsumos,0)),"Unidad incompatible",IF(A1175="","Falta fecha","OK")))))</f>
        <v/>
      </c>
      <c r="J1175" s="15"/>
    </row>
    <row r="1176" customFormat="false" ht="15" hidden="false" customHeight="false" outlineLevel="0" collapsed="false">
      <c r="A1176" s="26"/>
      <c r="B1176" s="15"/>
      <c r="C1176" s="15"/>
      <c r="D1176" s="27"/>
      <c r="E1176" s="15"/>
      <c r="F1176" s="28"/>
      <c r="G1176" s="25" t="str">
        <f aca="true">IF(OR(D1176="",E1176=""),"",IFERROR(D1176*INDEX(UnidadesFactor,MATCH(E1176,Unidades,0)),""))</f>
        <v/>
      </c>
      <c r="H1176" s="17" t="str">
        <f aca="false">IF(I1176&lt;&gt;"OK","",IF(G1176=0,"",F1176/G1176))</f>
        <v/>
      </c>
      <c r="I1176" s="20" t="str">
        <f aca="true">IF(B1176="","",IF(ISNA(MATCH(B1176,ListaInsumos,0)),"Insumo no está en Insumos",IF(OR(D1176="",E1176="",F1176=""),"Faltan datos",IF(INDEX(UnidadesBase,MATCH(E1176,Unidades,0))&lt;&gt;INDEX(InsBase,MATCH(B1176,ListaInsumos,0)),"Unidad incompatible",IF(A1176="","Falta fecha","OK")))))</f>
        <v/>
      </c>
      <c r="J1176" s="15"/>
    </row>
    <row r="1177" customFormat="false" ht="15" hidden="false" customHeight="false" outlineLevel="0" collapsed="false">
      <c r="A1177" s="26"/>
      <c r="B1177" s="15"/>
      <c r="C1177" s="15"/>
      <c r="D1177" s="27"/>
      <c r="E1177" s="15"/>
      <c r="F1177" s="28"/>
      <c r="G1177" s="25" t="str">
        <f aca="true">IF(OR(D1177="",E1177=""),"",IFERROR(D1177*INDEX(UnidadesFactor,MATCH(E1177,Unidades,0)),""))</f>
        <v/>
      </c>
      <c r="H1177" s="17" t="str">
        <f aca="false">IF(I1177&lt;&gt;"OK","",IF(G1177=0,"",F1177/G1177))</f>
        <v/>
      </c>
      <c r="I1177" s="20" t="str">
        <f aca="true">IF(B1177="","",IF(ISNA(MATCH(B1177,ListaInsumos,0)),"Insumo no está en Insumos",IF(OR(D1177="",E1177="",F1177=""),"Faltan datos",IF(INDEX(UnidadesBase,MATCH(E1177,Unidades,0))&lt;&gt;INDEX(InsBase,MATCH(B1177,ListaInsumos,0)),"Unidad incompatible",IF(A1177="","Falta fecha","OK")))))</f>
        <v/>
      </c>
      <c r="J1177" s="15"/>
    </row>
    <row r="1178" customFormat="false" ht="15" hidden="false" customHeight="false" outlineLevel="0" collapsed="false">
      <c r="A1178" s="26"/>
      <c r="B1178" s="15"/>
      <c r="C1178" s="15"/>
      <c r="D1178" s="27"/>
      <c r="E1178" s="15"/>
      <c r="F1178" s="28"/>
      <c r="G1178" s="25" t="str">
        <f aca="true">IF(OR(D1178="",E1178=""),"",IFERROR(D1178*INDEX(UnidadesFactor,MATCH(E1178,Unidades,0)),""))</f>
        <v/>
      </c>
      <c r="H1178" s="17" t="str">
        <f aca="false">IF(I1178&lt;&gt;"OK","",IF(G1178=0,"",F1178/G1178))</f>
        <v/>
      </c>
      <c r="I1178" s="20" t="str">
        <f aca="true">IF(B1178="","",IF(ISNA(MATCH(B1178,ListaInsumos,0)),"Insumo no está en Insumos",IF(OR(D1178="",E1178="",F1178=""),"Faltan datos",IF(INDEX(UnidadesBase,MATCH(E1178,Unidades,0))&lt;&gt;INDEX(InsBase,MATCH(B1178,ListaInsumos,0)),"Unidad incompatible",IF(A1178="","Falta fecha","OK")))))</f>
        <v/>
      </c>
      <c r="J1178" s="15"/>
    </row>
    <row r="1179" customFormat="false" ht="15" hidden="false" customHeight="false" outlineLevel="0" collapsed="false">
      <c r="A1179" s="26"/>
      <c r="B1179" s="15"/>
      <c r="C1179" s="15"/>
      <c r="D1179" s="27"/>
      <c r="E1179" s="15"/>
      <c r="F1179" s="28"/>
      <c r="G1179" s="25" t="str">
        <f aca="true">IF(OR(D1179="",E1179=""),"",IFERROR(D1179*INDEX(UnidadesFactor,MATCH(E1179,Unidades,0)),""))</f>
        <v/>
      </c>
      <c r="H1179" s="17" t="str">
        <f aca="false">IF(I1179&lt;&gt;"OK","",IF(G1179=0,"",F1179/G1179))</f>
        <v/>
      </c>
      <c r="I1179" s="20" t="str">
        <f aca="true">IF(B1179="","",IF(ISNA(MATCH(B1179,ListaInsumos,0)),"Insumo no está en Insumos",IF(OR(D1179="",E1179="",F1179=""),"Faltan datos",IF(INDEX(UnidadesBase,MATCH(E1179,Unidades,0))&lt;&gt;INDEX(InsBase,MATCH(B1179,ListaInsumos,0)),"Unidad incompatible",IF(A1179="","Falta fecha","OK")))))</f>
        <v/>
      </c>
      <c r="J1179" s="15"/>
    </row>
    <row r="1180" customFormat="false" ht="15" hidden="false" customHeight="false" outlineLevel="0" collapsed="false">
      <c r="A1180" s="26"/>
      <c r="B1180" s="15"/>
      <c r="C1180" s="15"/>
      <c r="D1180" s="27"/>
      <c r="E1180" s="15"/>
      <c r="F1180" s="28"/>
      <c r="G1180" s="25" t="str">
        <f aca="true">IF(OR(D1180="",E1180=""),"",IFERROR(D1180*INDEX(UnidadesFactor,MATCH(E1180,Unidades,0)),""))</f>
        <v/>
      </c>
      <c r="H1180" s="17" t="str">
        <f aca="false">IF(I1180&lt;&gt;"OK","",IF(G1180=0,"",F1180/G1180))</f>
        <v/>
      </c>
      <c r="I1180" s="20" t="str">
        <f aca="true">IF(B1180="","",IF(ISNA(MATCH(B1180,ListaInsumos,0)),"Insumo no está en Insumos",IF(OR(D1180="",E1180="",F1180=""),"Faltan datos",IF(INDEX(UnidadesBase,MATCH(E1180,Unidades,0))&lt;&gt;INDEX(InsBase,MATCH(B1180,ListaInsumos,0)),"Unidad incompatible",IF(A1180="","Falta fecha","OK")))))</f>
        <v/>
      </c>
      <c r="J1180" s="15"/>
    </row>
    <row r="1181" customFormat="false" ht="15" hidden="false" customHeight="false" outlineLevel="0" collapsed="false">
      <c r="A1181" s="26"/>
      <c r="B1181" s="15"/>
      <c r="C1181" s="15"/>
      <c r="D1181" s="27"/>
      <c r="E1181" s="15"/>
      <c r="F1181" s="28"/>
      <c r="G1181" s="25" t="str">
        <f aca="true">IF(OR(D1181="",E1181=""),"",IFERROR(D1181*INDEX(UnidadesFactor,MATCH(E1181,Unidades,0)),""))</f>
        <v/>
      </c>
      <c r="H1181" s="17" t="str">
        <f aca="false">IF(I1181&lt;&gt;"OK","",IF(G1181=0,"",F1181/G1181))</f>
        <v/>
      </c>
      <c r="I1181" s="20" t="str">
        <f aca="true">IF(B1181="","",IF(ISNA(MATCH(B1181,ListaInsumos,0)),"Insumo no está en Insumos",IF(OR(D1181="",E1181="",F1181=""),"Faltan datos",IF(INDEX(UnidadesBase,MATCH(E1181,Unidades,0))&lt;&gt;INDEX(InsBase,MATCH(B1181,ListaInsumos,0)),"Unidad incompatible",IF(A1181="","Falta fecha","OK")))))</f>
        <v/>
      </c>
      <c r="J1181" s="15"/>
    </row>
    <row r="1182" customFormat="false" ht="15" hidden="false" customHeight="false" outlineLevel="0" collapsed="false">
      <c r="A1182" s="26"/>
      <c r="B1182" s="15"/>
      <c r="C1182" s="15"/>
      <c r="D1182" s="27"/>
      <c r="E1182" s="15"/>
      <c r="F1182" s="28"/>
      <c r="G1182" s="25" t="str">
        <f aca="true">IF(OR(D1182="",E1182=""),"",IFERROR(D1182*INDEX(UnidadesFactor,MATCH(E1182,Unidades,0)),""))</f>
        <v/>
      </c>
      <c r="H1182" s="17" t="str">
        <f aca="false">IF(I1182&lt;&gt;"OK","",IF(G1182=0,"",F1182/G1182))</f>
        <v/>
      </c>
      <c r="I1182" s="20" t="str">
        <f aca="true">IF(B1182="","",IF(ISNA(MATCH(B1182,ListaInsumos,0)),"Insumo no está en Insumos",IF(OR(D1182="",E1182="",F1182=""),"Faltan datos",IF(INDEX(UnidadesBase,MATCH(E1182,Unidades,0))&lt;&gt;INDEX(InsBase,MATCH(B1182,ListaInsumos,0)),"Unidad incompatible",IF(A1182="","Falta fecha","OK")))))</f>
        <v/>
      </c>
      <c r="J1182" s="15"/>
    </row>
    <row r="1183" customFormat="false" ht="15" hidden="false" customHeight="false" outlineLevel="0" collapsed="false">
      <c r="A1183" s="26"/>
      <c r="B1183" s="15"/>
      <c r="C1183" s="15"/>
      <c r="D1183" s="27"/>
      <c r="E1183" s="15"/>
      <c r="F1183" s="28"/>
      <c r="G1183" s="25" t="str">
        <f aca="true">IF(OR(D1183="",E1183=""),"",IFERROR(D1183*INDEX(UnidadesFactor,MATCH(E1183,Unidades,0)),""))</f>
        <v/>
      </c>
      <c r="H1183" s="17" t="str">
        <f aca="false">IF(I1183&lt;&gt;"OK","",IF(G1183=0,"",F1183/G1183))</f>
        <v/>
      </c>
      <c r="I1183" s="20" t="str">
        <f aca="true">IF(B1183="","",IF(ISNA(MATCH(B1183,ListaInsumos,0)),"Insumo no está en Insumos",IF(OR(D1183="",E1183="",F1183=""),"Faltan datos",IF(INDEX(UnidadesBase,MATCH(E1183,Unidades,0))&lt;&gt;INDEX(InsBase,MATCH(B1183,ListaInsumos,0)),"Unidad incompatible",IF(A1183="","Falta fecha","OK")))))</f>
        <v/>
      </c>
      <c r="J1183" s="15"/>
    </row>
    <row r="1184" customFormat="false" ht="15" hidden="false" customHeight="false" outlineLevel="0" collapsed="false">
      <c r="A1184" s="26"/>
      <c r="B1184" s="15"/>
      <c r="C1184" s="15"/>
      <c r="D1184" s="27"/>
      <c r="E1184" s="15"/>
      <c r="F1184" s="28"/>
      <c r="G1184" s="25" t="str">
        <f aca="true">IF(OR(D1184="",E1184=""),"",IFERROR(D1184*INDEX(UnidadesFactor,MATCH(E1184,Unidades,0)),""))</f>
        <v/>
      </c>
      <c r="H1184" s="17" t="str">
        <f aca="false">IF(I1184&lt;&gt;"OK","",IF(G1184=0,"",F1184/G1184))</f>
        <v/>
      </c>
      <c r="I1184" s="20" t="str">
        <f aca="true">IF(B1184="","",IF(ISNA(MATCH(B1184,ListaInsumos,0)),"Insumo no está en Insumos",IF(OR(D1184="",E1184="",F1184=""),"Faltan datos",IF(INDEX(UnidadesBase,MATCH(E1184,Unidades,0))&lt;&gt;INDEX(InsBase,MATCH(B1184,ListaInsumos,0)),"Unidad incompatible",IF(A1184="","Falta fecha","OK")))))</f>
        <v/>
      </c>
      <c r="J1184" s="15"/>
    </row>
    <row r="1185" customFormat="false" ht="15" hidden="false" customHeight="false" outlineLevel="0" collapsed="false">
      <c r="A1185" s="26"/>
      <c r="B1185" s="15"/>
      <c r="C1185" s="15"/>
      <c r="D1185" s="27"/>
      <c r="E1185" s="15"/>
      <c r="F1185" s="28"/>
      <c r="G1185" s="25" t="str">
        <f aca="true">IF(OR(D1185="",E1185=""),"",IFERROR(D1185*INDEX(UnidadesFactor,MATCH(E1185,Unidades,0)),""))</f>
        <v/>
      </c>
      <c r="H1185" s="17" t="str">
        <f aca="false">IF(I1185&lt;&gt;"OK","",IF(G1185=0,"",F1185/G1185))</f>
        <v/>
      </c>
      <c r="I1185" s="20" t="str">
        <f aca="true">IF(B1185="","",IF(ISNA(MATCH(B1185,ListaInsumos,0)),"Insumo no está en Insumos",IF(OR(D1185="",E1185="",F1185=""),"Faltan datos",IF(INDEX(UnidadesBase,MATCH(E1185,Unidades,0))&lt;&gt;INDEX(InsBase,MATCH(B1185,ListaInsumos,0)),"Unidad incompatible",IF(A1185="","Falta fecha","OK")))))</f>
        <v/>
      </c>
      <c r="J1185" s="15"/>
    </row>
    <row r="1186" customFormat="false" ht="15" hidden="false" customHeight="false" outlineLevel="0" collapsed="false">
      <c r="A1186" s="26"/>
      <c r="B1186" s="15"/>
      <c r="C1186" s="15"/>
      <c r="D1186" s="27"/>
      <c r="E1186" s="15"/>
      <c r="F1186" s="28"/>
      <c r="G1186" s="25" t="str">
        <f aca="true">IF(OR(D1186="",E1186=""),"",IFERROR(D1186*INDEX(UnidadesFactor,MATCH(E1186,Unidades,0)),""))</f>
        <v/>
      </c>
      <c r="H1186" s="17" t="str">
        <f aca="false">IF(I1186&lt;&gt;"OK","",IF(G1186=0,"",F1186/G1186))</f>
        <v/>
      </c>
      <c r="I1186" s="20" t="str">
        <f aca="true">IF(B1186="","",IF(ISNA(MATCH(B1186,ListaInsumos,0)),"Insumo no está en Insumos",IF(OR(D1186="",E1186="",F1186=""),"Faltan datos",IF(INDEX(UnidadesBase,MATCH(E1186,Unidades,0))&lt;&gt;INDEX(InsBase,MATCH(B1186,ListaInsumos,0)),"Unidad incompatible",IF(A1186="","Falta fecha","OK")))))</f>
        <v/>
      </c>
      <c r="J1186" s="15"/>
    </row>
    <row r="1187" customFormat="false" ht="15" hidden="false" customHeight="false" outlineLevel="0" collapsed="false">
      <c r="A1187" s="26"/>
      <c r="B1187" s="15"/>
      <c r="C1187" s="15"/>
      <c r="D1187" s="27"/>
      <c r="E1187" s="15"/>
      <c r="F1187" s="28"/>
      <c r="G1187" s="25" t="str">
        <f aca="true">IF(OR(D1187="",E1187=""),"",IFERROR(D1187*INDEX(UnidadesFactor,MATCH(E1187,Unidades,0)),""))</f>
        <v/>
      </c>
      <c r="H1187" s="17" t="str">
        <f aca="false">IF(I1187&lt;&gt;"OK","",IF(G1187=0,"",F1187/G1187))</f>
        <v/>
      </c>
      <c r="I1187" s="20" t="str">
        <f aca="true">IF(B1187="","",IF(ISNA(MATCH(B1187,ListaInsumos,0)),"Insumo no está en Insumos",IF(OR(D1187="",E1187="",F1187=""),"Faltan datos",IF(INDEX(UnidadesBase,MATCH(E1187,Unidades,0))&lt;&gt;INDEX(InsBase,MATCH(B1187,ListaInsumos,0)),"Unidad incompatible",IF(A1187="","Falta fecha","OK")))))</f>
        <v/>
      </c>
      <c r="J1187" s="15"/>
    </row>
    <row r="1188" customFormat="false" ht="15" hidden="false" customHeight="false" outlineLevel="0" collapsed="false">
      <c r="A1188" s="26"/>
      <c r="B1188" s="15"/>
      <c r="C1188" s="15"/>
      <c r="D1188" s="27"/>
      <c r="E1188" s="15"/>
      <c r="F1188" s="28"/>
      <c r="G1188" s="25" t="str">
        <f aca="true">IF(OR(D1188="",E1188=""),"",IFERROR(D1188*INDEX(UnidadesFactor,MATCH(E1188,Unidades,0)),""))</f>
        <v/>
      </c>
      <c r="H1188" s="17" t="str">
        <f aca="false">IF(I1188&lt;&gt;"OK","",IF(G1188=0,"",F1188/G1188))</f>
        <v/>
      </c>
      <c r="I1188" s="20" t="str">
        <f aca="true">IF(B1188="","",IF(ISNA(MATCH(B1188,ListaInsumos,0)),"Insumo no está en Insumos",IF(OR(D1188="",E1188="",F1188=""),"Faltan datos",IF(INDEX(UnidadesBase,MATCH(E1188,Unidades,0))&lt;&gt;INDEX(InsBase,MATCH(B1188,ListaInsumos,0)),"Unidad incompatible",IF(A1188="","Falta fecha","OK")))))</f>
        <v/>
      </c>
      <c r="J1188" s="15"/>
    </row>
    <row r="1189" customFormat="false" ht="15" hidden="false" customHeight="false" outlineLevel="0" collapsed="false">
      <c r="A1189" s="26"/>
      <c r="B1189" s="15"/>
      <c r="C1189" s="15"/>
      <c r="D1189" s="27"/>
      <c r="E1189" s="15"/>
      <c r="F1189" s="28"/>
      <c r="G1189" s="25" t="str">
        <f aca="true">IF(OR(D1189="",E1189=""),"",IFERROR(D1189*INDEX(UnidadesFactor,MATCH(E1189,Unidades,0)),""))</f>
        <v/>
      </c>
      <c r="H1189" s="17" t="str">
        <f aca="false">IF(I1189&lt;&gt;"OK","",IF(G1189=0,"",F1189/G1189))</f>
        <v/>
      </c>
      <c r="I1189" s="20" t="str">
        <f aca="true">IF(B1189="","",IF(ISNA(MATCH(B1189,ListaInsumos,0)),"Insumo no está en Insumos",IF(OR(D1189="",E1189="",F1189=""),"Faltan datos",IF(INDEX(UnidadesBase,MATCH(E1189,Unidades,0))&lt;&gt;INDEX(InsBase,MATCH(B1189,ListaInsumos,0)),"Unidad incompatible",IF(A1189="","Falta fecha","OK")))))</f>
        <v/>
      </c>
      <c r="J1189" s="15"/>
    </row>
    <row r="1190" customFormat="false" ht="15" hidden="false" customHeight="false" outlineLevel="0" collapsed="false">
      <c r="A1190" s="26"/>
      <c r="B1190" s="15"/>
      <c r="C1190" s="15"/>
      <c r="D1190" s="27"/>
      <c r="E1190" s="15"/>
      <c r="F1190" s="28"/>
      <c r="G1190" s="25" t="str">
        <f aca="true">IF(OR(D1190="",E1190=""),"",IFERROR(D1190*INDEX(UnidadesFactor,MATCH(E1190,Unidades,0)),""))</f>
        <v/>
      </c>
      <c r="H1190" s="17" t="str">
        <f aca="false">IF(I1190&lt;&gt;"OK","",IF(G1190=0,"",F1190/G1190))</f>
        <v/>
      </c>
      <c r="I1190" s="20" t="str">
        <f aca="true">IF(B1190="","",IF(ISNA(MATCH(B1190,ListaInsumos,0)),"Insumo no está en Insumos",IF(OR(D1190="",E1190="",F1190=""),"Faltan datos",IF(INDEX(UnidadesBase,MATCH(E1190,Unidades,0))&lt;&gt;INDEX(InsBase,MATCH(B1190,ListaInsumos,0)),"Unidad incompatible",IF(A1190="","Falta fecha","OK")))))</f>
        <v/>
      </c>
      <c r="J1190" s="15"/>
    </row>
    <row r="1191" customFormat="false" ht="15" hidden="false" customHeight="false" outlineLevel="0" collapsed="false">
      <c r="A1191" s="26"/>
      <c r="B1191" s="15"/>
      <c r="C1191" s="15"/>
      <c r="D1191" s="27"/>
      <c r="E1191" s="15"/>
      <c r="F1191" s="28"/>
      <c r="G1191" s="25" t="str">
        <f aca="true">IF(OR(D1191="",E1191=""),"",IFERROR(D1191*INDEX(UnidadesFactor,MATCH(E1191,Unidades,0)),""))</f>
        <v/>
      </c>
      <c r="H1191" s="17" t="str">
        <f aca="false">IF(I1191&lt;&gt;"OK","",IF(G1191=0,"",F1191/G1191))</f>
        <v/>
      </c>
      <c r="I1191" s="20" t="str">
        <f aca="true">IF(B1191="","",IF(ISNA(MATCH(B1191,ListaInsumos,0)),"Insumo no está en Insumos",IF(OR(D1191="",E1191="",F1191=""),"Faltan datos",IF(INDEX(UnidadesBase,MATCH(E1191,Unidades,0))&lt;&gt;INDEX(InsBase,MATCH(B1191,ListaInsumos,0)),"Unidad incompatible",IF(A1191="","Falta fecha","OK")))))</f>
        <v/>
      </c>
      <c r="J1191" s="15"/>
    </row>
    <row r="1192" customFormat="false" ht="15" hidden="false" customHeight="false" outlineLevel="0" collapsed="false">
      <c r="A1192" s="26"/>
      <c r="B1192" s="15"/>
      <c r="C1192" s="15"/>
      <c r="D1192" s="27"/>
      <c r="E1192" s="15"/>
      <c r="F1192" s="28"/>
      <c r="G1192" s="25" t="str">
        <f aca="true">IF(OR(D1192="",E1192=""),"",IFERROR(D1192*INDEX(UnidadesFactor,MATCH(E1192,Unidades,0)),""))</f>
        <v/>
      </c>
      <c r="H1192" s="17" t="str">
        <f aca="false">IF(I1192&lt;&gt;"OK","",IF(G1192=0,"",F1192/G1192))</f>
        <v/>
      </c>
      <c r="I1192" s="20" t="str">
        <f aca="true">IF(B1192="","",IF(ISNA(MATCH(B1192,ListaInsumos,0)),"Insumo no está en Insumos",IF(OR(D1192="",E1192="",F1192=""),"Faltan datos",IF(INDEX(UnidadesBase,MATCH(E1192,Unidades,0))&lt;&gt;INDEX(InsBase,MATCH(B1192,ListaInsumos,0)),"Unidad incompatible",IF(A1192="","Falta fecha","OK")))))</f>
        <v/>
      </c>
      <c r="J1192" s="15"/>
    </row>
    <row r="1193" customFormat="false" ht="15" hidden="false" customHeight="false" outlineLevel="0" collapsed="false">
      <c r="A1193" s="26"/>
      <c r="B1193" s="15"/>
      <c r="C1193" s="15"/>
      <c r="D1193" s="27"/>
      <c r="E1193" s="15"/>
      <c r="F1193" s="28"/>
      <c r="G1193" s="25" t="str">
        <f aca="true">IF(OR(D1193="",E1193=""),"",IFERROR(D1193*INDEX(UnidadesFactor,MATCH(E1193,Unidades,0)),""))</f>
        <v/>
      </c>
      <c r="H1193" s="17" t="str">
        <f aca="false">IF(I1193&lt;&gt;"OK","",IF(G1193=0,"",F1193/G1193))</f>
        <v/>
      </c>
      <c r="I1193" s="20" t="str">
        <f aca="true">IF(B1193="","",IF(ISNA(MATCH(B1193,ListaInsumos,0)),"Insumo no está en Insumos",IF(OR(D1193="",E1193="",F1193=""),"Faltan datos",IF(INDEX(UnidadesBase,MATCH(E1193,Unidades,0))&lt;&gt;INDEX(InsBase,MATCH(B1193,ListaInsumos,0)),"Unidad incompatible",IF(A1193="","Falta fecha","OK")))))</f>
        <v/>
      </c>
      <c r="J1193" s="15"/>
    </row>
    <row r="1194" customFormat="false" ht="15" hidden="false" customHeight="false" outlineLevel="0" collapsed="false">
      <c r="A1194" s="26"/>
      <c r="B1194" s="15"/>
      <c r="C1194" s="15"/>
      <c r="D1194" s="27"/>
      <c r="E1194" s="15"/>
      <c r="F1194" s="28"/>
      <c r="G1194" s="25" t="str">
        <f aca="true">IF(OR(D1194="",E1194=""),"",IFERROR(D1194*INDEX(UnidadesFactor,MATCH(E1194,Unidades,0)),""))</f>
        <v/>
      </c>
      <c r="H1194" s="17" t="str">
        <f aca="false">IF(I1194&lt;&gt;"OK","",IF(G1194=0,"",F1194/G1194))</f>
        <v/>
      </c>
      <c r="I1194" s="20" t="str">
        <f aca="true">IF(B1194="","",IF(ISNA(MATCH(B1194,ListaInsumos,0)),"Insumo no está en Insumos",IF(OR(D1194="",E1194="",F1194=""),"Faltan datos",IF(INDEX(UnidadesBase,MATCH(E1194,Unidades,0))&lt;&gt;INDEX(InsBase,MATCH(B1194,ListaInsumos,0)),"Unidad incompatible",IF(A1194="","Falta fecha","OK")))))</f>
        <v/>
      </c>
      <c r="J1194" s="15"/>
    </row>
    <row r="1195" customFormat="false" ht="15" hidden="false" customHeight="false" outlineLevel="0" collapsed="false">
      <c r="A1195" s="26"/>
      <c r="B1195" s="15"/>
      <c r="C1195" s="15"/>
      <c r="D1195" s="27"/>
      <c r="E1195" s="15"/>
      <c r="F1195" s="28"/>
      <c r="G1195" s="25" t="str">
        <f aca="true">IF(OR(D1195="",E1195=""),"",IFERROR(D1195*INDEX(UnidadesFactor,MATCH(E1195,Unidades,0)),""))</f>
        <v/>
      </c>
      <c r="H1195" s="17" t="str">
        <f aca="false">IF(I1195&lt;&gt;"OK","",IF(G1195=0,"",F1195/G1195))</f>
        <v/>
      </c>
      <c r="I1195" s="20" t="str">
        <f aca="true">IF(B1195="","",IF(ISNA(MATCH(B1195,ListaInsumos,0)),"Insumo no está en Insumos",IF(OR(D1195="",E1195="",F1195=""),"Faltan datos",IF(INDEX(UnidadesBase,MATCH(E1195,Unidades,0))&lt;&gt;INDEX(InsBase,MATCH(B1195,ListaInsumos,0)),"Unidad incompatible",IF(A1195="","Falta fecha","OK")))))</f>
        <v/>
      </c>
      <c r="J1195" s="15"/>
    </row>
    <row r="1196" customFormat="false" ht="15" hidden="false" customHeight="false" outlineLevel="0" collapsed="false">
      <c r="A1196" s="26"/>
      <c r="B1196" s="15"/>
      <c r="C1196" s="15"/>
      <c r="D1196" s="27"/>
      <c r="E1196" s="15"/>
      <c r="F1196" s="28"/>
      <c r="G1196" s="25" t="str">
        <f aca="true">IF(OR(D1196="",E1196=""),"",IFERROR(D1196*INDEX(UnidadesFactor,MATCH(E1196,Unidades,0)),""))</f>
        <v/>
      </c>
      <c r="H1196" s="17" t="str">
        <f aca="false">IF(I1196&lt;&gt;"OK","",IF(G1196=0,"",F1196/G1196))</f>
        <v/>
      </c>
      <c r="I1196" s="20" t="str">
        <f aca="true">IF(B1196="","",IF(ISNA(MATCH(B1196,ListaInsumos,0)),"Insumo no está en Insumos",IF(OR(D1196="",E1196="",F1196=""),"Faltan datos",IF(INDEX(UnidadesBase,MATCH(E1196,Unidades,0))&lt;&gt;INDEX(InsBase,MATCH(B1196,ListaInsumos,0)),"Unidad incompatible",IF(A1196="","Falta fecha","OK")))))</f>
        <v/>
      </c>
      <c r="J1196" s="15"/>
    </row>
    <row r="1197" customFormat="false" ht="15" hidden="false" customHeight="false" outlineLevel="0" collapsed="false">
      <c r="A1197" s="26"/>
      <c r="B1197" s="15"/>
      <c r="C1197" s="15"/>
      <c r="D1197" s="27"/>
      <c r="E1197" s="15"/>
      <c r="F1197" s="28"/>
      <c r="G1197" s="25" t="str">
        <f aca="true">IF(OR(D1197="",E1197=""),"",IFERROR(D1197*INDEX(UnidadesFactor,MATCH(E1197,Unidades,0)),""))</f>
        <v/>
      </c>
      <c r="H1197" s="17" t="str">
        <f aca="false">IF(I1197&lt;&gt;"OK","",IF(G1197=0,"",F1197/G1197))</f>
        <v/>
      </c>
      <c r="I1197" s="20" t="str">
        <f aca="true">IF(B1197="","",IF(ISNA(MATCH(B1197,ListaInsumos,0)),"Insumo no está en Insumos",IF(OR(D1197="",E1197="",F1197=""),"Faltan datos",IF(INDEX(UnidadesBase,MATCH(E1197,Unidades,0))&lt;&gt;INDEX(InsBase,MATCH(B1197,ListaInsumos,0)),"Unidad incompatible",IF(A1197="","Falta fecha","OK")))))</f>
        <v/>
      </c>
      <c r="J1197" s="15"/>
    </row>
    <row r="1198" customFormat="false" ht="15" hidden="false" customHeight="false" outlineLevel="0" collapsed="false">
      <c r="A1198" s="26"/>
      <c r="B1198" s="15"/>
      <c r="C1198" s="15"/>
      <c r="D1198" s="27"/>
      <c r="E1198" s="15"/>
      <c r="F1198" s="28"/>
      <c r="G1198" s="25" t="str">
        <f aca="true">IF(OR(D1198="",E1198=""),"",IFERROR(D1198*INDEX(UnidadesFactor,MATCH(E1198,Unidades,0)),""))</f>
        <v/>
      </c>
      <c r="H1198" s="17" t="str">
        <f aca="false">IF(I1198&lt;&gt;"OK","",IF(G1198=0,"",F1198/G1198))</f>
        <v/>
      </c>
      <c r="I1198" s="20" t="str">
        <f aca="true">IF(B1198="","",IF(ISNA(MATCH(B1198,ListaInsumos,0)),"Insumo no está en Insumos",IF(OR(D1198="",E1198="",F1198=""),"Faltan datos",IF(INDEX(UnidadesBase,MATCH(E1198,Unidades,0))&lt;&gt;INDEX(InsBase,MATCH(B1198,ListaInsumos,0)),"Unidad incompatible",IF(A1198="","Falta fecha","OK")))))</f>
        <v/>
      </c>
      <c r="J1198" s="15"/>
    </row>
    <row r="1199" customFormat="false" ht="15" hidden="false" customHeight="false" outlineLevel="0" collapsed="false">
      <c r="A1199" s="26"/>
      <c r="B1199" s="15"/>
      <c r="C1199" s="15"/>
      <c r="D1199" s="27"/>
      <c r="E1199" s="15"/>
      <c r="F1199" s="28"/>
      <c r="G1199" s="25" t="str">
        <f aca="true">IF(OR(D1199="",E1199=""),"",IFERROR(D1199*INDEX(UnidadesFactor,MATCH(E1199,Unidades,0)),""))</f>
        <v/>
      </c>
      <c r="H1199" s="17" t="str">
        <f aca="false">IF(I1199&lt;&gt;"OK","",IF(G1199=0,"",F1199/G1199))</f>
        <v/>
      </c>
      <c r="I1199" s="20" t="str">
        <f aca="true">IF(B1199="","",IF(ISNA(MATCH(B1199,ListaInsumos,0)),"Insumo no está en Insumos",IF(OR(D1199="",E1199="",F1199=""),"Faltan datos",IF(INDEX(UnidadesBase,MATCH(E1199,Unidades,0))&lt;&gt;INDEX(InsBase,MATCH(B1199,ListaInsumos,0)),"Unidad incompatible",IF(A1199="","Falta fecha","OK")))))</f>
        <v/>
      </c>
      <c r="J1199" s="15"/>
    </row>
    <row r="1200" customFormat="false" ht="15" hidden="false" customHeight="false" outlineLevel="0" collapsed="false">
      <c r="A1200" s="26"/>
      <c r="B1200" s="15"/>
      <c r="C1200" s="15"/>
      <c r="D1200" s="27"/>
      <c r="E1200" s="15"/>
      <c r="F1200" s="28"/>
      <c r="G1200" s="25" t="str">
        <f aca="true">IF(OR(D1200="",E1200=""),"",IFERROR(D1200*INDEX(UnidadesFactor,MATCH(E1200,Unidades,0)),""))</f>
        <v/>
      </c>
      <c r="H1200" s="17" t="str">
        <f aca="false">IF(I1200&lt;&gt;"OK","",IF(G1200=0,"",F1200/G1200))</f>
        <v/>
      </c>
      <c r="I1200" s="20" t="str">
        <f aca="true">IF(B1200="","",IF(ISNA(MATCH(B1200,ListaInsumos,0)),"Insumo no está en Insumos",IF(OR(D1200="",E1200="",F1200=""),"Faltan datos",IF(INDEX(UnidadesBase,MATCH(E1200,Unidades,0))&lt;&gt;INDEX(InsBase,MATCH(B1200,ListaInsumos,0)),"Unidad incompatible",IF(A1200="","Falta fecha","OK")))))</f>
        <v/>
      </c>
      <c r="J1200" s="15"/>
    </row>
    <row r="1201" customFormat="false" ht="15" hidden="false" customHeight="false" outlineLevel="0" collapsed="false">
      <c r="A1201" s="26"/>
      <c r="B1201" s="15"/>
      <c r="C1201" s="15"/>
      <c r="D1201" s="27"/>
      <c r="E1201" s="15"/>
      <c r="F1201" s="28"/>
      <c r="G1201" s="25" t="str">
        <f aca="true">IF(OR(D1201="",E1201=""),"",IFERROR(D1201*INDEX(UnidadesFactor,MATCH(E1201,Unidades,0)),""))</f>
        <v/>
      </c>
      <c r="H1201" s="17" t="str">
        <f aca="false">IF(I1201&lt;&gt;"OK","",IF(G1201=0,"",F1201/G1201))</f>
        <v/>
      </c>
      <c r="I1201" s="20" t="str">
        <f aca="true">IF(B1201="","",IF(ISNA(MATCH(B1201,ListaInsumos,0)),"Insumo no está en Insumos",IF(OR(D1201="",E1201="",F1201=""),"Faltan datos",IF(INDEX(UnidadesBase,MATCH(E1201,Unidades,0))&lt;&gt;INDEX(InsBase,MATCH(B1201,ListaInsumos,0)),"Unidad incompatible",IF(A1201="","Falta fecha","OK")))))</f>
        <v/>
      </c>
      <c r="J1201" s="15"/>
    </row>
    <row r="1202" customFormat="false" ht="15" hidden="false" customHeight="false" outlineLevel="0" collapsed="false">
      <c r="A1202" s="26"/>
      <c r="B1202" s="15"/>
      <c r="C1202" s="15"/>
      <c r="D1202" s="27"/>
      <c r="E1202" s="15"/>
      <c r="F1202" s="28"/>
      <c r="G1202" s="25" t="str">
        <f aca="true">IF(OR(D1202="",E1202=""),"",IFERROR(D1202*INDEX(UnidadesFactor,MATCH(E1202,Unidades,0)),""))</f>
        <v/>
      </c>
      <c r="H1202" s="17" t="str">
        <f aca="false">IF(I1202&lt;&gt;"OK","",IF(G1202=0,"",F1202/G1202))</f>
        <v/>
      </c>
      <c r="I1202" s="20" t="str">
        <f aca="true">IF(B1202="","",IF(ISNA(MATCH(B1202,ListaInsumos,0)),"Insumo no está en Insumos",IF(OR(D1202="",E1202="",F1202=""),"Faltan datos",IF(INDEX(UnidadesBase,MATCH(E1202,Unidades,0))&lt;&gt;INDEX(InsBase,MATCH(B1202,ListaInsumos,0)),"Unidad incompatible",IF(A1202="","Falta fecha","OK")))))</f>
        <v/>
      </c>
      <c r="J1202" s="15"/>
    </row>
    <row r="1203" customFormat="false" ht="15" hidden="false" customHeight="false" outlineLevel="0" collapsed="false">
      <c r="A1203" s="26"/>
      <c r="B1203" s="15"/>
      <c r="C1203" s="15"/>
      <c r="D1203" s="27"/>
      <c r="E1203" s="15"/>
      <c r="F1203" s="28"/>
      <c r="G1203" s="25" t="str">
        <f aca="true">IF(OR(D1203="",E1203=""),"",IFERROR(D1203*INDEX(UnidadesFactor,MATCH(E1203,Unidades,0)),""))</f>
        <v/>
      </c>
      <c r="H1203" s="17" t="str">
        <f aca="false">IF(I1203&lt;&gt;"OK","",IF(G1203=0,"",F1203/G1203))</f>
        <v/>
      </c>
      <c r="I1203" s="20" t="str">
        <f aca="true">IF(B1203="","",IF(ISNA(MATCH(B1203,ListaInsumos,0)),"Insumo no está en Insumos",IF(OR(D1203="",E1203="",F1203=""),"Faltan datos",IF(INDEX(UnidadesBase,MATCH(E1203,Unidades,0))&lt;&gt;INDEX(InsBase,MATCH(B1203,ListaInsumos,0)),"Unidad incompatible",IF(A1203="","Falta fecha","OK")))))</f>
        <v/>
      </c>
      <c r="J1203" s="15"/>
    </row>
    <row r="1204" customFormat="false" ht="15" hidden="false" customHeight="false" outlineLevel="0" collapsed="false">
      <c r="A1204" s="26"/>
      <c r="B1204" s="15"/>
      <c r="C1204" s="15"/>
      <c r="D1204" s="27"/>
      <c r="E1204" s="15"/>
      <c r="F1204" s="28"/>
      <c r="G1204" s="25" t="str">
        <f aca="true">IF(OR(D1204="",E1204=""),"",IFERROR(D1204*INDEX(UnidadesFactor,MATCH(E1204,Unidades,0)),""))</f>
        <v/>
      </c>
      <c r="H1204" s="17" t="str">
        <f aca="false">IF(I1204&lt;&gt;"OK","",IF(G1204=0,"",F1204/G1204))</f>
        <v/>
      </c>
      <c r="I1204" s="20" t="str">
        <f aca="true">IF(B1204="","",IF(ISNA(MATCH(B1204,ListaInsumos,0)),"Insumo no está en Insumos",IF(OR(D1204="",E1204="",F1204=""),"Faltan datos",IF(INDEX(UnidadesBase,MATCH(E1204,Unidades,0))&lt;&gt;INDEX(InsBase,MATCH(B1204,ListaInsumos,0)),"Unidad incompatible",IF(A1204="","Falta fecha","OK")))))</f>
        <v/>
      </c>
      <c r="J1204" s="15"/>
    </row>
    <row r="1205" customFormat="false" ht="15" hidden="false" customHeight="false" outlineLevel="0" collapsed="false">
      <c r="A1205" s="26"/>
      <c r="B1205" s="15"/>
      <c r="C1205" s="15"/>
      <c r="D1205" s="27"/>
      <c r="E1205" s="15"/>
      <c r="F1205" s="28"/>
      <c r="G1205" s="25" t="str">
        <f aca="true">IF(OR(D1205="",E1205=""),"",IFERROR(D1205*INDEX(UnidadesFactor,MATCH(E1205,Unidades,0)),""))</f>
        <v/>
      </c>
      <c r="H1205" s="17" t="str">
        <f aca="false">IF(I1205&lt;&gt;"OK","",IF(G1205=0,"",F1205/G1205))</f>
        <v/>
      </c>
      <c r="I1205" s="20" t="str">
        <f aca="true">IF(B1205="","",IF(ISNA(MATCH(B1205,ListaInsumos,0)),"Insumo no está en Insumos",IF(OR(D1205="",E1205="",F1205=""),"Faltan datos",IF(INDEX(UnidadesBase,MATCH(E1205,Unidades,0))&lt;&gt;INDEX(InsBase,MATCH(B1205,ListaInsumos,0)),"Unidad incompatible",IF(A1205="","Falta fecha","OK")))))</f>
        <v/>
      </c>
      <c r="J1205" s="15"/>
    </row>
    <row r="1206" customFormat="false" ht="15" hidden="false" customHeight="false" outlineLevel="0" collapsed="false">
      <c r="A1206" s="26"/>
      <c r="B1206" s="15"/>
      <c r="C1206" s="15"/>
      <c r="D1206" s="27"/>
      <c r="E1206" s="15"/>
      <c r="F1206" s="28"/>
      <c r="G1206" s="25" t="str">
        <f aca="true">IF(OR(D1206="",E1206=""),"",IFERROR(D1206*INDEX(UnidadesFactor,MATCH(E1206,Unidades,0)),""))</f>
        <v/>
      </c>
      <c r="H1206" s="17" t="str">
        <f aca="false">IF(I1206&lt;&gt;"OK","",IF(G1206=0,"",F1206/G1206))</f>
        <v/>
      </c>
      <c r="I1206" s="20" t="str">
        <f aca="true">IF(B1206="","",IF(ISNA(MATCH(B1206,ListaInsumos,0)),"Insumo no está en Insumos",IF(OR(D1206="",E1206="",F1206=""),"Faltan datos",IF(INDEX(UnidadesBase,MATCH(E1206,Unidades,0))&lt;&gt;INDEX(InsBase,MATCH(B1206,ListaInsumos,0)),"Unidad incompatible",IF(A1206="","Falta fecha","OK")))))</f>
        <v/>
      </c>
      <c r="J1206" s="15"/>
    </row>
    <row r="1207" customFormat="false" ht="15" hidden="false" customHeight="false" outlineLevel="0" collapsed="false">
      <c r="A1207" s="26"/>
      <c r="B1207" s="15"/>
      <c r="C1207" s="15"/>
      <c r="D1207" s="27"/>
      <c r="E1207" s="15"/>
      <c r="F1207" s="28"/>
      <c r="G1207" s="25" t="str">
        <f aca="true">IF(OR(D1207="",E1207=""),"",IFERROR(D1207*INDEX(UnidadesFactor,MATCH(E1207,Unidades,0)),""))</f>
        <v/>
      </c>
      <c r="H1207" s="17" t="str">
        <f aca="false">IF(I1207&lt;&gt;"OK","",IF(G1207=0,"",F1207/G1207))</f>
        <v/>
      </c>
      <c r="I1207" s="20" t="str">
        <f aca="true">IF(B1207="","",IF(ISNA(MATCH(B1207,ListaInsumos,0)),"Insumo no está en Insumos",IF(OR(D1207="",E1207="",F1207=""),"Faltan datos",IF(INDEX(UnidadesBase,MATCH(E1207,Unidades,0))&lt;&gt;INDEX(InsBase,MATCH(B1207,ListaInsumos,0)),"Unidad incompatible",IF(A1207="","Falta fecha","OK")))))</f>
        <v/>
      </c>
      <c r="J1207" s="15"/>
    </row>
    <row r="1208" customFormat="false" ht="15" hidden="false" customHeight="false" outlineLevel="0" collapsed="false">
      <c r="A1208" s="26"/>
      <c r="B1208" s="15"/>
      <c r="C1208" s="15"/>
      <c r="D1208" s="27"/>
      <c r="E1208" s="15"/>
      <c r="F1208" s="28"/>
      <c r="G1208" s="25" t="str">
        <f aca="true">IF(OR(D1208="",E1208=""),"",IFERROR(D1208*INDEX(UnidadesFactor,MATCH(E1208,Unidades,0)),""))</f>
        <v/>
      </c>
      <c r="H1208" s="17" t="str">
        <f aca="false">IF(I1208&lt;&gt;"OK","",IF(G1208=0,"",F1208/G1208))</f>
        <v/>
      </c>
      <c r="I1208" s="20" t="str">
        <f aca="true">IF(B1208="","",IF(ISNA(MATCH(B1208,ListaInsumos,0)),"Insumo no está en Insumos",IF(OR(D1208="",E1208="",F1208=""),"Faltan datos",IF(INDEX(UnidadesBase,MATCH(E1208,Unidades,0))&lt;&gt;INDEX(InsBase,MATCH(B1208,ListaInsumos,0)),"Unidad incompatible",IF(A1208="","Falta fecha","OK")))))</f>
        <v/>
      </c>
      <c r="J1208" s="15"/>
    </row>
    <row r="1209" customFormat="false" ht="15" hidden="false" customHeight="false" outlineLevel="0" collapsed="false">
      <c r="A1209" s="26"/>
      <c r="B1209" s="15"/>
      <c r="C1209" s="15"/>
      <c r="D1209" s="27"/>
      <c r="E1209" s="15"/>
      <c r="F1209" s="28"/>
      <c r="G1209" s="25" t="str">
        <f aca="true">IF(OR(D1209="",E1209=""),"",IFERROR(D1209*INDEX(UnidadesFactor,MATCH(E1209,Unidades,0)),""))</f>
        <v/>
      </c>
      <c r="H1209" s="17" t="str">
        <f aca="false">IF(I1209&lt;&gt;"OK","",IF(G1209=0,"",F1209/G1209))</f>
        <v/>
      </c>
      <c r="I1209" s="20" t="str">
        <f aca="true">IF(B1209="","",IF(ISNA(MATCH(B1209,ListaInsumos,0)),"Insumo no está en Insumos",IF(OR(D1209="",E1209="",F1209=""),"Faltan datos",IF(INDEX(UnidadesBase,MATCH(E1209,Unidades,0))&lt;&gt;INDEX(InsBase,MATCH(B1209,ListaInsumos,0)),"Unidad incompatible",IF(A1209="","Falta fecha","OK")))))</f>
        <v/>
      </c>
      <c r="J1209" s="15"/>
    </row>
    <row r="1210" customFormat="false" ht="15" hidden="false" customHeight="false" outlineLevel="0" collapsed="false">
      <c r="A1210" s="26"/>
      <c r="B1210" s="15"/>
      <c r="C1210" s="15"/>
      <c r="D1210" s="27"/>
      <c r="E1210" s="15"/>
      <c r="F1210" s="28"/>
      <c r="G1210" s="25" t="str">
        <f aca="true">IF(OR(D1210="",E1210=""),"",IFERROR(D1210*INDEX(UnidadesFactor,MATCH(E1210,Unidades,0)),""))</f>
        <v/>
      </c>
      <c r="H1210" s="17" t="str">
        <f aca="false">IF(I1210&lt;&gt;"OK","",IF(G1210=0,"",F1210/G1210))</f>
        <v/>
      </c>
      <c r="I1210" s="20" t="str">
        <f aca="true">IF(B1210="","",IF(ISNA(MATCH(B1210,ListaInsumos,0)),"Insumo no está en Insumos",IF(OR(D1210="",E1210="",F1210=""),"Faltan datos",IF(INDEX(UnidadesBase,MATCH(E1210,Unidades,0))&lt;&gt;INDEX(InsBase,MATCH(B1210,ListaInsumos,0)),"Unidad incompatible",IF(A1210="","Falta fecha","OK")))))</f>
        <v/>
      </c>
      <c r="J1210" s="15"/>
    </row>
    <row r="1211" customFormat="false" ht="15" hidden="false" customHeight="false" outlineLevel="0" collapsed="false">
      <c r="A1211" s="26"/>
      <c r="B1211" s="15"/>
      <c r="C1211" s="15"/>
      <c r="D1211" s="27"/>
      <c r="E1211" s="15"/>
      <c r="F1211" s="28"/>
      <c r="G1211" s="25" t="str">
        <f aca="true">IF(OR(D1211="",E1211=""),"",IFERROR(D1211*INDEX(UnidadesFactor,MATCH(E1211,Unidades,0)),""))</f>
        <v/>
      </c>
      <c r="H1211" s="17" t="str">
        <f aca="false">IF(I1211&lt;&gt;"OK","",IF(G1211=0,"",F1211/G1211))</f>
        <v/>
      </c>
      <c r="I1211" s="20" t="str">
        <f aca="true">IF(B1211="","",IF(ISNA(MATCH(B1211,ListaInsumos,0)),"Insumo no está en Insumos",IF(OR(D1211="",E1211="",F1211=""),"Faltan datos",IF(INDEX(UnidadesBase,MATCH(E1211,Unidades,0))&lt;&gt;INDEX(InsBase,MATCH(B1211,ListaInsumos,0)),"Unidad incompatible",IF(A1211="","Falta fecha","OK")))))</f>
        <v/>
      </c>
      <c r="J1211" s="15"/>
    </row>
    <row r="1212" customFormat="false" ht="15" hidden="false" customHeight="false" outlineLevel="0" collapsed="false">
      <c r="A1212" s="26"/>
      <c r="B1212" s="15"/>
      <c r="C1212" s="15"/>
      <c r="D1212" s="27"/>
      <c r="E1212" s="15"/>
      <c r="F1212" s="28"/>
      <c r="G1212" s="25" t="str">
        <f aca="true">IF(OR(D1212="",E1212=""),"",IFERROR(D1212*INDEX(UnidadesFactor,MATCH(E1212,Unidades,0)),""))</f>
        <v/>
      </c>
      <c r="H1212" s="17" t="str">
        <f aca="false">IF(I1212&lt;&gt;"OK","",IF(G1212=0,"",F1212/G1212))</f>
        <v/>
      </c>
      <c r="I1212" s="20" t="str">
        <f aca="true">IF(B1212="","",IF(ISNA(MATCH(B1212,ListaInsumos,0)),"Insumo no está en Insumos",IF(OR(D1212="",E1212="",F1212=""),"Faltan datos",IF(INDEX(UnidadesBase,MATCH(E1212,Unidades,0))&lt;&gt;INDEX(InsBase,MATCH(B1212,ListaInsumos,0)),"Unidad incompatible",IF(A1212="","Falta fecha","OK")))))</f>
        <v/>
      </c>
      <c r="J1212" s="15"/>
    </row>
    <row r="1213" customFormat="false" ht="15" hidden="false" customHeight="false" outlineLevel="0" collapsed="false">
      <c r="A1213" s="26"/>
      <c r="B1213" s="15"/>
      <c r="C1213" s="15"/>
      <c r="D1213" s="27"/>
      <c r="E1213" s="15"/>
      <c r="F1213" s="28"/>
      <c r="G1213" s="25" t="str">
        <f aca="true">IF(OR(D1213="",E1213=""),"",IFERROR(D1213*INDEX(UnidadesFactor,MATCH(E1213,Unidades,0)),""))</f>
        <v/>
      </c>
      <c r="H1213" s="17" t="str">
        <f aca="false">IF(I1213&lt;&gt;"OK","",IF(G1213=0,"",F1213/G1213))</f>
        <v/>
      </c>
      <c r="I1213" s="20" t="str">
        <f aca="true">IF(B1213="","",IF(ISNA(MATCH(B1213,ListaInsumos,0)),"Insumo no está en Insumos",IF(OR(D1213="",E1213="",F1213=""),"Faltan datos",IF(INDEX(UnidadesBase,MATCH(E1213,Unidades,0))&lt;&gt;INDEX(InsBase,MATCH(B1213,ListaInsumos,0)),"Unidad incompatible",IF(A1213="","Falta fecha","OK")))))</f>
        <v/>
      </c>
      <c r="J1213" s="15"/>
    </row>
    <row r="1214" customFormat="false" ht="15" hidden="false" customHeight="false" outlineLevel="0" collapsed="false">
      <c r="A1214" s="26"/>
      <c r="B1214" s="15"/>
      <c r="C1214" s="15"/>
      <c r="D1214" s="27"/>
      <c r="E1214" s="15"/>
      <c r="F1214" s="28"/>
      <c r="G1214" s="25" t="str">
        <f aca="true">IF(OR(D1214="",E1214=""),"",IFERROR(D1214*INDEX(UnidadesFactor,MATCH(E1214,Unidades,0)),""))</f>
        <v/>
      </c>
      <c r="H1214" s="17" t="str">
        <f aca="false">IF(I1214&lt;&gt;"OK","",IF(G1214=0,"",F1214/G1214))</f>
        <v/>
      </c>
      <c r="I1214" s="20" t="str">
        <f aca="true">IF(B1214="","",IF(ISNA(MATCH(B1214,ListaInsumos,0)),"Insumo no está en Insumos",IF(OR(D1214="",E1214="",F1214=""),"Faltan datos",IF(INDEX(UnidadesBase,MATCH(E1214,Unidades,0))&lt;&gt;INDEX(InsBase,MATCH(B1214,ListaInsumos,0)),"Unidad incompatible",IF(A1214="","Falta fecha","OK")))))</f>
        <v/>
      </c>
      <c r="J1214" s="15"/>
    </row>
    <row r="1215" customFormat="false" ht="15" hidden="false" customHeight="false" outlineLevel="0" collapsed="false">
      <c r="A1215" s="26"/>
      <c r="B1215" s="15"/>
      <c r="C1215" s="15"/>
      <c r="D1215" s="27"/>
      <c r="E1215" s="15"/>
      <c r="F1215" s="28"/>
      <c r="G1215" s="25" t="str">
        <f aca="true">IF(OR(D1215="",E1215=""),"",IFERROR(D1215*INDEX(UnidadesFactor,MATCH(E1215,Unidades,0)),""))</f>
        <v/>
      </c>
      <c r="H1215" s="17" t="str">
        <f aca="false">IF(I1215&lt;&gt;"OK","",IF(G1215=0,"",F1215/G1215))</f>
        <v/>
      </c>
      <c r="I1215" s="20" t="str">
        <f aca="true">IF(B1215="","",IF(ISNA(MATCH(B1215,ListaInsumos,0)),"Insumo no está en Insumos",IF(OR(D1215="",E1215="",F1215=""),"Faltan datos",IF(INDEX(UnidadesBase,MATCH(E1215,Unidades,0))&lt;&gt;INDEX(InsBase,MATCH(B1215,ListaInsumos,0)),"Unidad incompatible",IF(A1215="","Falta fecha","OK")))))</f>
        <v/>
      </c>
      <c r="J1215" s="15"/>
    </row>
    <row r="1216" customFormat="false" ht="15" hidden="false" customHeight="false" outlineLevel="0" collapsed="false">
      <c r="A1216" s="26"/>
      <c r="B1216" s="15"/>
      <c r="C1216" s="15"/>
      <c r="D1216" s="27"/>
      <c r="E1216" s="15"/>
      <c r="F1216" s="28"/>
      <c r="G1216" s="25" t="str">
        <f aca="true">IF(OR(D1216="",E1216=""),"",IFERROR(D1216*INDEX(UnidadesFactor,MATCH(E1216,Unidades,0)),""))</f>
        <v/>
      </c>
      <c r="H1216" s="17" t="str">
        <f aca="false">IF(I1216&lt;&gt;"OK","",IF(G1216=0,"",F1216/G1216))</f>
        <v/>
      </c>
      <c r="I1216" s="20" t="str">
        <f aca="true">IF(B1216="","",IF(ISNA(MATCH(B1216,ListaInsumos,0)),"Insumo no está en Insumos",IF(OR(D1216="",E1216="",F1216=""),"Faltan datos",IF(INDEX(UnidadesBase,MATCH(E1216,Unidades,0))&lt;&gt;INDEX(InsBase,MATCH(B1216,ListaInsumos,0)),"Unidad incompatible",IF(A1216="","Falta fecha","OK")))))</f>
        <v/>
      </c>
      <c r="J1216" s="15"/>
    </row>
    <row r="1217" customFormat="false" ht="15" hidden="false" customHeight="false" outlineLevel="0" collapsed="false">
      <c r="A1217" s="26"/>
      <c r="B1217" s="15"/>
      <c r="C1217" s="15"/>
      <c r="D1217" s="27"/>
      <c r="E1217" s="15"/>
      <c r="F1217" s="28"/>
      <c r="G1217" s="25" t="str">
        <f aca="true">IF(OR(D1217="",E1217=""),"",IFERROR(D1217*INDEX(UnidadesFactor,MATCH(E1217,Unidades,0)),""))</f>
        <v/>
      </c>
      <c r="H1217" s="17" t="str">
        <f aca="false">IF(I1217&lt;&gt;"OK","",IF(G1217=0,"",F1217/G1217))</f>
        <v/>
      </c>
      <c r="I1217" s="20" t="str">
        <f aca="true">IF(B1217="","",IF(ISNA(MATCH(B1217,ListaInsumos,0)),"Insumo no está en Insumos",IF(OR(D1217="",E1217="",F1217=""),"Faltan datos",IF(INDEX(UnidadesBase,MATCH(E1217,Unidades,0))&lt;&gt;INDEX(InsBase,MATCH(B1217,ListaInsumos,0)),"Unidad incompatible",IF(A1217="","Falta fecha","OK")))))</f>
        <v/>
      </c>
      <c r="J1217" s="15"/>
    </row>
    <row r="1218" customFormat="false" ht="15" hidden="false" customHeight="false" outlineLevel="0" collapsed="false">
      <c r="A1218" s="26"/>
      <c r="B1218" s="15"/>
      <c r="C1218" s="15"/>
      <c r="D1218" s="27"/>
      <c r="E1218" s="15"/>
      <c r="F1218" s="28"/>
      <c r="G1218" s="25" t="str">
        <f aca="true">IF(OR(D1218="",E1218=""),"",IFERROR(D1218*INDEX(UnidadesFactor,MATCH(E1218,Unidades,0)),""))</f>
        <v/>
      </c>
      <c r="H1218" s="17" t="str">
        <f aca="false">IF(I1218&lt;&gt;"OK","",IF(G1218=0,"",F1218/G1218))</f>
        <v/>
      </c>
      <c r="I1218" s="20" t="str">
        <f aca="true">IF(B1218="","",IF(ISNA(MATCH(B1218,ListaInsumos,0)),"Insumo no está en Insumos",IF(OR(D1218="",E1218="",F1218=""),"Faltan datos",IF(INDEX(UnidadesBase,MATCH(E1218,Unidades,0))&lt;&gt;INDEX(InsBase,MATCH(B1218,ListaInsumos,0)),"Unidad incompatible",IF(A1218="","Falta fecha","OK")))))</f>
        <v/>
      </c>
      <c r="J1218" s="15"/>
    </row>
    <row r="1219" customFormat="false" ht="15" hidden="false" customHeight="false" outlineLevel="0" collapsed="false">
      <c r="A1219" s="26"/>
      <c r="B1219" s="15"/>
      <c r="C1219" s="15"/>
      <c r="D1219" s="27"/>
      <c r="E1219" s="15"/>
      <c r="F1219" s="28"/>
      <c r="G1219" s="25" t="str">
        <f aca="true">IF(OR(D1219="",E1219=""),"",IFERROR(D1219*INDEX(UnidadesFactor,MATCH(E1219,Unidades,0)),""))</f>
        <v/>
      </c>
      <c r="H1219" s="17" t="str">
        <f aca="false">IF(I1219&lt;&gt;"OK","",IF(G1219=0,"",F1219/G1219))</f>
        <v/>
      </c>
      <c r="I1219" s="20" t="str">
        <f aca="true">IF(B1219="","",IF(ISNA(MATCH(B1219,ListaInsumos,0)),"Insumo no está en Insumos",IF(OR(D1219="",E1219="",F1219=""),"Faltan datos",IF(INDEX(UnidadesBase,MATCH(E1219,Unidades,0))&lt;&gt;INDEX(InsBase,MATCH(B1219,ListaInsumos,0)),"Unidad incompatible",IF(A1219="","Falta fecha","OK")))))</f>
        <v/>
      </c>
      <c r="J1219" s="15"/>
    </row>
    <row r="1220" customFormat="false" ht="15" hidden="false" customHeight="false" outlineLevel="0" collapsed="false">
      <c r="A1220" s="26"/>
      <c r="B1220" s="15"/>
      <c r="C1220" s="15"/>
      <c r="D1220" s="27"/>
      <c r="E1220" s="15"/>
      <c r="F1220" s="28"/>
      <c r="G1220" s="25" t="str">
        <f aca="true">IF(OR(D1220="",E1220=""),"",IFERROR(D1220*INDEX(UnidadesFactor,MATCH(E1220,Unidades,0)),""))</f>
        <v/>
      </c>
      <c r="H1220" s="17" t="str">
        <f aca="false">IF(I1220&lt;&gt;"OK","",IF(G1220=0,"",F1220/G1220))</f>
        <v/>
      </c>
      <c r="I1220" s="20" t="str">
        <f aca="true">IF(B1220="","",IF(ISNA(MATCH(B1220,ListaInsumos,0)),"Insumo no está en Insumos",IF(OR(D1220="",E1220="",F1220=""),"Faltan datos",IF(INDEX(UnidadesBase,MATCH(E1220,Unidades,0))&lt;&gt;INDEX(InsBase,MATCH(B1220,ListaInsumos,0)),"Unidad incompatible",IF(A1220="","Falta fecha","OK")))))</f>
        <v/>
      </c>
      <c r="J1220" s="15"/>
    </row>
    <row r="1221" customFormat="false" ht="15" hidden="false" customHeight="false" outlineLevel="0" collapsed="false">
      <c r="A1221" s="26"/>
      <c r="B1221" s="15"/>
      <c r="C1221" s="15"/>
      <c r="D1221" s="27"/>
      <c r="E1221" s="15"/>
      <c r="F1221" s="28"/>
      <c r="G1221" s="25" t="str">
        <f aca="true">IF(OR(D1221="",E1221=""),"",IFERROR(D1221*INDEX(UnidadesFactor,MATCH(E1221,Unidades,0)),""))</f>
        <v/>
      </c>
      <c r="H1221" s="17" t="str">
        <f aca="false">IF(I1221&lt;&gt;"OK","",IF(G1221=0,"",F1221/G1221))</f>
        <v/>
      </c>
      <c r="I1221" s="20" t="str">
        <f aca="true">IF(B1221="","",IF(ISNA(MATCH(B1221,ListaInsumos,0)),"Insumo no está en Insumos",IF(OR(D1221="",E1221="",F1221=""),"Faltan datos",IF(INDEX(UnidadesBase,MATCH(E1221,Unidades,0))&lt;&gt;INDEX(InsBase,MATCH(B1221,ListaInsumos,0)),"Unidad incompatible",IF(A1221="","Falta fecha","OK")))))</f>
        <v/>
      </c>
      <c r="J1221" s="15"/>
    </row>
    <row r="1222" customFormat="false" ht="15" hidden="false" customHeight="false" outlineLevel="0" collapsed="false">
      <c r="A1222" s="26"/>
      <c r="B1222" s="15"/>
      <c r="C1222" s="15"/>
      <c r="D1222" s="27"/>
      <c r="E1222" s="15"/>
      <c r="F1222" s="28"/>
      <c r="G1222" s="25" t="str">
        <f aca="true">IF(OR(D1222="",E1222=""),"",IFERROR(D1222*INDEX(UnidadesFactor,MATCH(E1222,Unidades,0)),""))</f>
        <v/>
      </c>
      <c r="H1222" s="17" t="str">
        <f aca="false">IF(I1222&lt;&gt;"OK","",IF(G1222=0,"",F1222/G1222))</f>
        <v/>
      </c>
      <c r="I1222" s="20" t="str">
        <f aca="true">IF(B1222="","",IF(ISNA(MATCH(B1222,ListaInsumos,0)),"Insumo no está en Insumos",IF(OR(D1222="",E1222="",F1222=""),"Faltan datos",IF(INDEX(UnidadesBase,MATCH(E1222,Unidades,0))&lt;&gt;INDEX(InsBase,MATCH(B1222,ListaInsumos,0)),"Unidad incompatible",IF(A1222="","Falta fecha","OK")))))</f>
        <v/>
      </c>
      <c r="J1222" s="15"/>
    </row>
    <row r="1223" customFormat="false" ht="15" hidden="false" customHeight="false" outlineLevel="0" collapsed="false">
      <c r="A1223" s="26"/>
      <c r="B1223" s="15"/>
      <c r="C1223" s="15"/>
      <c r="D1223" s="27"/>
      <c r="E1223" s="15"/>
      <c r="F1223" s="28"/>
      <c r="G1223" s="25" t="str">
        <f aca="true">IF(OR(D1223="",E1223=""),"",IFERROR(D1223*INDEX(UnidadesFactor,MATCH(E1223,Unidades,0)),""))</f>
        <v/>
      </c>
      <c r="H1223" s="17" t="str">
        <f aca="false">IF(I1223&lt;&gt;"OK","",IF(G1223=0,"",F1223/G1223))</f>
        <v/>
      </c>
      <c r="I1223" s="20" t="str">
        <f aca="true">IF(B1223="","",IF(ISNA(MATCH(B1223,ListaInsumos,0)),"Insumo no está en Insumos",IF(OR(D1223="",E1223="",F1223=""),"Faltan datos",IF(INDEX(UnidadesBase,MATCH(E1223,Unidades,0))&lt;&gt;INDEX(InsBase,MATCH(B1223,ListaInsumos,0)),"Unidad incompatible",IF(A1223="","Falta fecha","OK")))))</f>
        <v/>
      </c>
      <c r="J1223" s="15"/>
    </row>
    <row r="1224" customFormat="false" ht="15" hidden="false" customHeight="false" outlineLevel="0" collapsed="false">
      <c r="A1224" s="26"/>
      <c r="B1224" s="15"/>
      <c r="C1224" s="15"/>
      <c r="D1224" s="27"/>
      <c r="E1224" s="15"/>
      <c r="F1224" s="28"/>
      <c r="G1224" s="25" t="str">
        <f aca="true">IF(OR(D1224="",E1224=""),"",IFERROR(D1224*INDEX(UnidadesFactor,MATCH(E1224,Unidades,0)),""))</f>
        <v/>
      </c>
      <c r="H1224" s="17" t="str">
        <f aca="false">IF(I1224&lt;&gt;"OK","",IF(G1224=0,"",F1224/G1224))</f>
        <v/>
      </c>
      <c r="I1224" s="20" t="str">
        <f aca="true">IF(B1224="","",IF(ISNA(MATCH(B1224,ListaInsumos,0)),"Insumo no está en Insumos",IF(OR(D1224="",E1224="",F1224=""),"Faltan datos",IF(INDEX(UnidadesBase,MATCH(E1224,Unidades,0))&lt;&gt;INDEX(InsBase,MATCH(B1224,ListaInsumos,0)),"Unidad incompatible",IF(A1224="","Falta fecha","OK")))))</f>
        <v/>
      </c>
      <c r="J1224" s="15"/>
    </row>
    <row r="1225" customFormat="false" ht="15" hidden="false" customHeight="false" outlineLevel="0" collapsed="false">
      <c r="A1225" s="26"/>
      <c r="B1225" s="15"/>
      <c r="C1225" s="15"/>
      <c r="D1225" s="27"/>
      <c r="E1225" s="15"/>
      <c r="F1225" s="28"/>
      <c r="G1225" s="25" t="str">
        <f aca="true">IF(OR(D1225="",E1225=""),"",IFERROR(D1225*INDEX(UnidadesFactor,MATCH(E1225,Unidades,0)),""))</f>
        <v/>
      </c>
      <c r="H1225" s="17" t="str">
        <f aca="false">IF(I1225&lt;&gt;"OK","",IF(G1225=0,"",F1225/G1225))</f>
        <v/>
      </c>
      <c r="I1225" s="20" t="str">
        <f aca="true">IF(B1225="","",IF(ISNA(MATCH(B1225,ListaInsumos,0)),"Insumo no está en Insumos",IF(OR(D1225="",E1225="",F1225=""),"Faltan datos",IF(INDEX(UnidadesBase,MATCH(E1225,Unidades,0))&lt;&gt;INDEX(InsBase,MATCH(B1225,ListaInsumos,0)),"Unidad incompatible",IF(A1225="","Falta fecha","OK")))))</f>
        <v/>
      </c>
      <c r="J1225" s="15"/>
    </row>
    <row r="1226" customFormat="false" ht="15" hidden="false" customHeight="false" outlineLevel="0" collapsed="false">
      <c r="A1226" s="26"/>
      <c r="B1226" s="15"/>
      <c r="C1226" s="15"/>
      <c r="D1226" s="27"/>
      <c r="E1226" s="15"/>
      <c r="F1226" s="28"/>
      <c r="G1226" s="25" t="str">
        <f aca="true">IF(OR(D1226="",E1226=""),"",IFERROR(D1226*INDEX(UnidadesFactor,MATCH(E1226,Unidades,0)),""))</f>
        <v/>
      </c>
      <c r="H1226" s="17" t="str">
        <f aca="false">IF(I1226&lt;&gt;"OK","",IF(G1226=0,"",F1226/G1226))</f>
        <v/>
      </c>
      <c r="I1226" s="20" t="str">
        <f aca="true">IF(B1226="","",IF(ISNA(MATCH(B1226,ListaInsumos,0)),"Insumo no está en Insumos",IF(OR(D1226="",E1226="",F1226=""),"Faltan datos",IF(INDEX(UnidadesBase,MATCH(E1226,Unidades,0))&lt;&gt;INDEX(InsBase,MATCH(B1226,ListaInsumos,0)),"Unidad incompatible",IF(A1226="","Falta fecha","OK")))))</f>
        <v/>
      </c>
      <c r="J1226" s="15"/>
    </row>
    <row r="1227" customFormat="false" ht="15" hidden="false" customHeight="false" outlineLevel="0" collapsed="false">
      <c r="A1227" s="26"/>
      <c r="B1227" s="15"/>
      <c r="C1227" s="15"/>
      <c r="D1227" s="27"/>
      <c r="E1227" s="15"/>
      <c r="F1227" s="28"/>
      <c r="G1227" s="25" t="str">
        <f aca="true">IF(OR(D1227="",E1227=""),"",IFERROR(D1227*INDEX(UnidadesFactor,MATCH(E1227,Unidades,0)),""))</f>
        <v/>
      </c>
      <c r="H1227" s="17" t="str">
        <f aca="false">IF(I1227&lt;&gt;"OK","",IF(G1227=0,"",F1227/G1227))</f>
        <v/>
      </c>
      <c r="I1227" s="20" t="str">
        <f aca="true">IF(B1227="","",IF(ISNA(MATCH(B1227,ListaInsumos,0)),"Insumo no está en Insumos",IF(OR(D1227="",E1227="",F1227=""),"Faltan datos",IF(INDEX(UnidadesBase,MATCH(E1227,Unidades,0))&lt;&gt;INDEX(InsBase,MATCH(B1227,ListaInsumos,0)),"Unidad incompatible",IF(A1227="","Falta fecha","OK")))))</f>
        <v/>
      </c>
      <c r="J1227" s="15"/>
    </row>
    <row r="1228" customFormat="false" ht="15" hidden="false" customHeight="false" outlineLevel="0" collapsed="false">
      <c r="A1228" s="26"/>
      <c r="B1228" s="15"/>
      <c r="C1228" s="15"/>
      <c r="D1228" s="27"/>
      <c r="E1228" s="15"/>
      <c r="F1228" s="28"/>
      <c r="G1228" s="25" t="str">
        <f aca="true">IF(OR(D1228="",E1228=""),"",IFERROR(D1228*INDEX(UnidadesFactor,MATCH(E1228,Unidades,0)),""))</f>
        <v/>
      </c>
      <c r="H1228" s="17" t="str">
        <f aca="false">IF(I1228&lt;&gt;"OK","",IF(G1228=0,"",F1228/G1228))</f>
        <v/>
      </c>
      <c r="I1228" s="20" t="str">
        <f aca="true">IF(B1228="","",IF(ISNA(MATCH(B1228,ListaInsumos,0)),"Insumo no está en Insumos",IF(OR(D1228="",E1228="",F1228=""),"Faltan datos",IF(INDEX(UnidadesBase,MATCH(E1228,Unidades,0))&lt;&gt;INDEX(InsBase,MATCH(B1228,ListaInsumos,0)),"Unidad incompatible",IF(A1228="","Falta fecha","OK")))))</f>
        <v/>
      </c>
      <c r="J1228" s="15"/>
    </row>
    <row r="1229" customFormat="false" ht="15" hidden="false" customHeight="false" outlineLevel="0" collapsed="false">
      <c r="A1229" s="26"/>
      <c r="B1229" s="15"/>
      <c r="C1229" s="15"/>
      <c r="D1229" s="27"/>
      <c r="E1229" s="15"/>
      <c r="F1229" s="28"/>
      <c r="G1229" s="25" t="str">
        <f aca="true">IF(OR(D1229="",E1229=""),"",IFERROR(D1229*INDEX(UnidadesFactor,MATCH(E1229,Unidades,0)),""))</f>
        <v/>
      </c>
      <c r="H1229" s="17" t="str">
        <f aca="false">IF(I1229&lt;&gt;"OK","",IF(G1229=0,"",F1229/G1229))</f>
        <v/>
      </c>
      <c r="I1229" s="20" t="str">
        <f aca="true">IF(B1229="","",IF(ISNA(MATCH(B1229,ListaInsumos,0)),"Insumo no está en Insumos",IF(OR(D1229="",E1229="",F1229=""),"Faltan datos",IF(INDEX(UnidadesBase,MATCH(E1229,Unidades,0))&lt;&gt;INDEX(InsBase,MATCH(B1229,ListaInsumos,0)),"Unidad incompatible",IF(A1229="","Falta fecha","OK")))))</f>
        <v/>
      </c>
      <c r="J1229" s="15"/>
    </row>
    <row r="1230" customFormat="false" ht="15" hidden="false" customHeight="false" outlineLevel="0" collapsed="false">
      <c r="A1230" s="26"/>
      <c r="B1230" s="15"/>
      <c r="C1230" s="15"/>
      <c r="D1230" s="27"/>
      <c r="E1230" s="15"/>
      <c r="F1230" s="28"/>
      <c r="G1230" s="25" t="str">
        <f aca="true">IF(OR(D1230="",E1230=""),"",IFERROR(D1230*INDEX(UnidadesFactor,MATCH(E1230,Unidades,0)),""))</f>
        <v/>
      </c>
      <c r="H1230" s="17" t="str">
        <f aca="false">IF(I1230&lt;&gt;"OK","",IF(G1230=0,"",F1230/G1230))</f>
        <v/>
      </c>
      <c r="I1230" s="20" t="str">
        <f aca="true">IF(B1230="","",IF(ISNA(MATCH(B1230,ListaInsumos,0)),"Insumo no está en Insumos",IF(OR(D1230="",E1230="",F1230=""),"Faltan datos",IF(INDEX(UnidadesBase,MATCH(E1230,Unidades,0))&lt;&gt;INDEX(InsBase,MATCH(B1230,ListaInsumos,0)),"Unidad incompatible",IF(A1230="","Falta fecha","OK")))))</f>
        <v/>
      </c>
      <c r="J1230" s="15"/>
    </row>
    <row r="1231" customFormat="false" ht="15" hidden="false" customHeight="false" outlineLevel="0" collapsed="false">
      <c r="A1231" s="26"/>
      <c r="B1231" s="15"/>
      <c r="C1231" s="15"/>
      <c r="D1231" s="27"/>
      <c r="E1231" s="15"/>
      <c r="F1231" s="28"/>
      <c r="G1231" s="25" t="str">
        <f aca="true">IF(OR(D1231="",E1231=""),"",IFERROR(D1231*INDEX(UnidadesFactor,MATCH(E1231,Unidades,0)),""))</f>
        <v/>
      </c>
      <c r="H1231" s="17" t="str">
        <f aca="false">IF(I1231&lt;&gt;"OK","",IF(G1231=0,"",F1231/G1231))</f>
        <v/>
      </c>
      <c r="I1231" s="20" t="str">
        <f aca="true">IF(B1231="","",IF(ISNA(MATCH(B1231,ListaInsumos,0)),"Insumo no está en Insumos",IF(OR(D1231="",E1231="",F1231=""),"Faltan datos",IF(INDEX(UnidadesBase,MATCH(E1231,Unidades,0))&lt;&gt;INDEX(InsBase,MATCH(B1231,ListaInsumos,0)),"Unidad incompatible",IF(A1231="","Falta fecha","OK")))))</f>
        <v/>
      </c>
      <c r="J1231" s="15"/>
    </row>
    <row r="1232" customFormat="false" ht="15" hidden="false" customHeight="false" outlineLevel="0" collapsed="false">
      <c r="A1232" s="26"/>
      <c r="B1232" s="15"/>
      <c r="C1232" s="15"/>
      <c r="D1232" s="27"/>
      <c r="E1232" s="15"/>
      <c r="F1232" s="28"/>
      <c r="G1232" s="25" t="str">
        <f aca="true">IF(OR(D1232="",E1232=""),"",IFERROR(D1232*INDEX(UnidadesFactor,MATCH(E1232,Unidades,0)),""))</f>
        <v/>
      </c>
      <c r="H1232" s="17" t="str">
        <f aca="false">IF(I1232&lt;&gt;"OK","",IF(G1232=0,"",F1232/G1232))</f>
        <v/>
      </c>
      <c r="I1232" s="20" t="str">
        <f aca="true">IF(B1232="","",IF(ISNA(MATCH(B1232,ListaInsumos,0)),"Insumo no está en Insumos",IF(OR(D1232="",E1232="",F1232=""),"Faltan datos",IF(INDEX(UnidadesBase,MATCH(E1232,Unidades,0))&lt;&gt;INDEX(InsBase,MATCH(B1232,ListaInsumos,0)),"Unidad incompatible",IF(A1232="","Falta fecha","OK")))))</f>
        <v/>
      </c>
      <c r="J1232" s="15"/>
    </row>
    <row r="1233" customFormat="false" ht="15" hidden="false" customHeight="false" outlineLevel="0" collapsed="false">
      <c r="A1233" s="26"/>
      <c r="B1233" s="15"/>
      <c r="C1233" s="15"/>
      <c r="D1233" s="27"/>
      <c r="E1233" s="15"/>
      <c r="F1233" s="28"/>
      <c r="G1233" s="25" t="str">
        <f aca="true">IF(OR(D1233="",E1233=""),"",IFERROR(D1233*INDEX(UnidadesFactor,MATCH(E1233,Unidades,0)),""))</f>
        <v/>
      </c>
      <c r="H1233" s="17" t="str">
        <f aca="false">IF(I1233&lt;&gt;"OK","",IF(G1233=0,"",F1233/G1233))</f>
        <v/>
      </c>
      <c r="I1233" s="20" t="str">
        <f aca="true">IF(B1233="","",IF(ISNA(MATCH(B1233,ListaInsumos,0)),"Insumo no está en Insumos",IF(OR(D1233="",E1233="",F1233=""),"Faltan datos",IF(INDEX(UnidadesBase,MATCH(E1233,Unidades,0))&lt;&gt;INDEX(InsBase,MATCH(B1233,ListaInsumos,0)),"Unidad incompatible",IF(A1233="","Falta fecha","OK")))))</f>
        <v/>
      </c>
      <c r="J1233" s="15"/>
    </row>
    <row r="1234" customFormat="false" ht="15" hidden="false" customHeight="false" outlineLevel="0" collapsed="false">
      <c r="A1234" s="26"/>
      <c r="B1234" s="15"/>
      <c r="C1234" s="15"/>
      <c r="D1234" s="27"/>
      <c r="E1234" s="15"/>
      <c r="F1234" s="28"/>
      <c r="G1234" s="25" t="str">
        <f aca="true">IF(OR(D1234="",E1234=""),"",IFERROR(D1234*INDEX(UnidadesFactor,MATCH(E1234,Unidades,0)),""))</f>
        <v/>
      </c>
      <c r="H1234" s="17" t="str">
        <f aca="false">IF(I1234&lt;&gt;"OK","",IF(G1234=0,"",F1234/G1234))</f>
        <v/>
      </c>
      <c r="I1234" s="20" t="str">
        <f aca="true">IF(B1234="","",IF(ISNA(MATCH(B1234,ListaInsumos,0)),"Insumo no está en Insumos",IF(OR(D1234="",E1234="",F1234=""),"Faltan datos",IF(INDEX(UnidadesBase,MATCH(E1234,Unidades,0))&lt;&gt;INDEX(InsBase,MATCH(B1234,ListaInsumos,0)),"Unidad incompatible",IF(A1234="","Falta fecha","OK")))))</f>
        <v/>
      </c>
      <c r="J1234" s="15"/>
    </row>
    <row r="1235" customFormat="false" ht="15" hidden="false" customHeight="false" outlineLevel="0" collapsed="false">
      <c r="A1235" s="26"/>
      <c r="B1235" s="15"/>
      <c r="C1235" s="15"/>
      <c r="D1235" s="27"/>
      <c r="E1235" s="15"/>
      <c r="F1235" s="28"/>
      <c r="G1235" s="25" t="str">
        <f aca="true">IF(OR(D1235="",E1235=""),"",IFERROR(D1235*INDEX(UnidadesFactor,MATCH(E1235,Unidades,0)),""))</f>
        <v/>
      </c>
      <c r="H1235" s="17" t="str">
        <f aca="false">IF(I1235&lt;&gt;"OK","",IF(G1235=0,"",F1235/G1235))</f>
        <v/>
      </c>
      <c r="I1235" s="20" t="str">
        <f aca="true">IF(B1235="","",IF(ISNA(MATCH(B1235,ListaInsumos,0)),"Insumo no está en Insumos",IF(OR(D1235="",E1235="",F1235=""),"Faltan datos",IF(INDEX(UnidadesBase,MATCH(E1235,Unidades,0))&lt;&gt;INDEX(InsBase,MATCH(B1235,ListaInsumos,0)),"Unidad incompatible",IF(A1235="","Falta fecha","OK")))))</f>
        <v/>
      </c>
      <c r="J1235" s="15"/>
    </row>
    <row r="1236" customFormat="false" ht="15" hidden="false" customHeight="false" outlineLevel="0" collapsed="false">
      <c r="A1236" s="26"/>
      <c r="B1236" s="15"/>
      <c r="C1236" s="15"/>
      <c r="D1236" s="27"/>
      <c r="E1236" s="15"/>
      <c r="F1236" s="28"/>
      <c r="G1236" s="25" t="str">
        <f aca="true">IF(OR(D1236="",E1236=""),"",IFERROR(D1236*INDEX(UnidadesFactor,MATCH(E1236,Unidades,0)),""))</f>
        <v/>
      </c>
      <c r="H1236" s="17" t="str">
        <f aca="false">IF(I1236&lt;&gt;"OK","",IF(G1236=0,"",F1236/G1236))</f>
        <v/>
      </c>
      <c r="I1236" s="20" t="str">
        <f aca="true">IF(B1236="","",IF(ISNA(MATCH(B1236,ListaInsumos,0)),"Insumo no está en Insumos",IF(OR(D1236="",E1236="",F1236=""),"Faltan datos",IF(INDEX(UnidadesBase,MATCH(E1236,Unidades,0))&lt;&gt;INDEX(InsBase,MATCH(B1236,ListaInsumos,0)),"Unidad incompatible",IF(A1236="","Falta fecha","OK")))))</f>
        <v/>
      </c>
      <c r="J1236" s="15"/>
    </row>
    <row r="1237" customFormat="false" ht="15" hidden="false" customHeight="false" outlineLevel="0" collapsed="false">
      <c r="A1237" s="26"/>
      <c r="B1237" s="15"/>
      <c r="C1237" s="15"/>
      <c r="D1237" s="27"/>
      <c r="E1237" s="15"/>
      <c r="F1237" s="28"/>
      <c r="G1237" s="25" t="str">
        <f aca="true">IF(OR(D1237="",E1237=""),"",IFERROR(D1237*INDEX(UnidadesFactor,MATCH(E1237,Unidades,0)),""))</f>
        <v/>
      </c>
      <c r="H1237" s="17" t="str">
        <f aca="false">IF(I1237&lt;&gt;"OK","",IF(G1237=0,"",F1237/G1237))</f>
        <v/>
      </c>
      <c r="I1237" s="20" t="str">
        <f aca="true">IF(B1237="","",IF(ISNA(MATCH(B1237,ListaInsumos,0)),"Insumo no está en Insumos",IF(OR(D1237="",E1237="",F1237=""),"Faltan datos",IF(INDEX(UnidadesBase,MATCH(E1237,Unidades,0))&lt;&gt;INDEX(InsBase,MATCH(B1237,ListaInsumos,0)),"Unidad incompatible",IF(A1237="","Falta fecha","OK")))))</f>
        <v/>
      </c>
      <c r="J1237" s="15"/>
    </row>
    <row r="1238" customFormat="false" ht="15" hidden="false" customHeight="false" outlineLevel="0" collapsed="false">
      <c r="A1238" s="26"/>
      <c r="B1238" s="15"/>
      <c r="C1238" s="15"/>
      <c r="D1238" s="27"/>
      <c r="E1238" s="15"/>
      <c r="F1238" s="28"/>
      <c r="G1238" s="25" t="str">
        <f aca="true">IF(OR(D1238="",E1238=""),"",IFERROR(D1238*INDEX(UnidadesFactor,MATCH(E1238,Unidades,0)),""))</f>
        <v/>
      </c>
      <c r="H1238" s="17" t="str">
        <f aca="false">IF(I1238&lt;&gt;"OK","",IF(G1238=0,"",F1238/G1238))</f>
        <v/>
      </c>
      <c r="I1238" s="20" t="str">
        <f aca="true">IF(B1238="","",IF(ISNA(MATCH(B1238,ListaInsumos,0)),"Insumo no está en Insumos",IF(OR(D1238="",E1238="",F1238=""),"Faltan datos",IF(INDEX(UnidadesBase,MATCH(E1238,Unidades,0))&lt;&gt;INDEX(InsBase,MATCH(B1238,ListaInsumos,0)),"Unidad incompatible",IF(A1238="","Falta fecha","OK")))))</f>
        <v/>
      </c>
      <c r="J1238" s="15"/>
    </row>
    <row r="1239" customFormat="false" ht="15" hidden="false" customHeight="false" outlineLevel="0" collapsed="false">
      <c r="A1239" s="26"/>
      <c r="B1239" s="15"/>
      <c r="C1239" s="15"/>
      <c r="D1239" s="27"/>
      <c r="E1239" s="15"/>
      <c r="F1239" s="28"/>
      <c r="G1239" s="25" t="str">
        <f aca="true">IF(OR(D1239="",E1239=""),"",IFERROR(D1239*INDEX(UnidadesFactor,MATCH(E1239,Unidades,0)),""))</f>
        <v/>
      </c>
      <c r="H1239" s="17" t="str">
        <f aca="false">IF(I1239&lt;&gt;"OK","",IF(G1239=0,"",F1239/G1239))</f>
        <v/>
      </c>
      <c r="I1239" s="20" t="str">
        <f aca="true">IF(B1239="","",IF(ISNA(MATCH(B1239,ListaInsumos,0)),"Insumo no está en Insumos",IF(OR(D1239="",E1239="",F1239=""),"Faltan datos",IF(INDEX(UnidadesBase,MATCH(E1239,Unidades,0))&lt;&gt;INDEX(InsBase,MATCH(B1239,ListaInsumos,0)),"Unidad incompatible",IF(A1239="","Falta fecha","OK")))))</f>
        <v/>
      </c>
      <c r="J1239" s="15"/>
    </row>
    <row r="1240" customFormat="false" ht="15" hidden="false" customHeight="false" outlineLevel="0" collapsed="false">
      <c r="A1240" s="26"/>
      <c r="B1240" s="15"/>
      <c r="C1240" s="15"/>
      <c r="D1240" s="27"/>
      <c r="E1240" s="15"/>
      <c r="F1240" s="28"/>
      <c r="G1240" s="25" t="str">
        <f aca="true">IF(OR(D1240="",E1240=""),"",IFERROR(D1240*INDEX(UnidadesFactor,MATCH(E1240,Unidades,0)),""))</f>
        <v/>
      </c>
      <c r="H1240" s="17" t="str">
        <f aca="false">IF(I1240&lt;&gt;"OK","",IF(G1240=0,"",F1240/G1240))</f>
        <v/>
      </c>
      <c r="I1240" s="20" t="str">
        <f aca="true">IF(B1240="","",IF(ISNA(MATCH(B1240,ListaInsumos,0)),"Insumo no está en Insumos",IF(OR(D1240="",E1240="",F1240=""),"Faltan datos",IF(INDEX(UnidadesBase,MATCH(E1240,Unidades,0))&lt;&gt;INDEX(InsBase,MATCH(B1240,ListaInsumos,0)),"Unidad incompatible",IF(A1240="","Falta fecha","OK")))))</f>
        <v/>
      </c>
      <c r="J1240" s="15"/>
    </row>
    <row r="1241" customFormat="false" ht="15" hidden="false" customHeight="false" outlineLevel="0" collapsed="false">
      <c r="A1241" s="26"/>
      <c r="B1241" s="15"/>
      <c r="C1241" s="15"/>
      <c r="D1241" s="27"/>
      <c r="E1241" s="15"/>
      <c r="F1241" s="28"/>
      <c r="G1241" s="25" t="str">
        <f aca="true">IF(OR(D1241="",E1241=""),"",IFERROR(D1241*INDEX(UnidadesFactor,MATCH(E1241,Unidades,0)),""))</f>
        <v/>
      </c>
      <c r="H1241" s="17" t="str">
        <f aca="false">IF(I1241&lt;&gt;"OK","",IF(G1241=0,"",F1241/G1241))</f>
        <v/>
      </c>
      <c r="I1241" s="20" t="str">
        <f aca="true">IF(B1241="","",IF(ISNA(MATCH(B1241,ListaInsumos,0)),"Insumo no está en Insumos",IF(OR(D1241="",E1241="",F1241=""),"Faltan datos",IF(INDEX(UnidadesBase,MATCH(E1241,Unidades,0))&lt;&gt;INDEX(InsBase,MATCH(B1241,ListaInsumos,0)),"Unidad incompatible",IF(A1241="","Falta fecha","OK")))))</f>
        <v/>
      </c>
      <c r="J1241" s="15"/>
    </row>
    <row r="1242" customFormat="false" ht="15" hidden="false" customHeight="false" outlineLevel="0" collapsed="false">
      <c r="A1242" s="26"/>
      <c r="B1242" s="15"/>
      <c r="C1242" s="15"/>
      <c r="D1242" s="27"/>
      <c r="E1242" s="15"/>
      <c r="F1242" s="28"/>
      <c r="G1242" s="25" t="str">
        <f aca="true">IF(OR(D1242="",E1242=""),"",IFERROR(D1242*INDEX(UnidadesFactor,MATCH(E1242,Unidades,0)),""))</f>
        <v/>
      </c>
      <c r="H1242" s="17" t="str">
        <f aca="false">IF(I1242&lt;&gt;"OK","",IF(G1242=0,"",F1242/G1242))</f>
        <v/>
      </c>
      <c r="I1242" s="20" t="str">
        <f aca="true">IF(B1242="","",IF(ISNA(MATCH(B1242,ListaInsumos,0)),"Insumo no está en Insumos",IF(OR(D1242="",E1242="",F1242=""),"Faltan datos",IF(INDEX(UnidadesBase,MATCH(E1242,Unidades,0))&lt;&gt;INDEX(InsBase,MATCH(B1242,ListaInsumos,0)),"Unidad incompatible",IF(A1242="","Falta fecha","OK")))))</f>
        <v/>
      </c>
      <c r="J1242" s="15"/>
    </row>
    <row r="1243" customFormat="false" ht="15" hidden="false" customHeight="false" outlineLevel="0" collapsed="false">
      <c r="A1243" s="26"/>
      <c r="B1243" s="15"/>
      <c r="C1243" s="15"/>
      <c r="D1243" s="27"/>
      <c r="E1243" s="15"/>
      <c r="F1243" s="28"/>
      <c r="G1243" s="25" t="str">
        <f aca="true">IF(OR(D1243="",E1243=""),"",IFERROR(D1243*INDEX(UnidadesFactor,MATCH(E1243,Unidades,0)),""))</f>
        <v/>
      </c>
      <c r="H1243" s="17" t="str">
        <f aca="false">IF(I1243&lt;&gt;"OK","",IF(G1243=0,"",F1243/G1243))</f>
        <v/>
      </c>
      <c r="I1243" s="20" t="str">
        <f aca="true">IF(B1243="","",IF(ISNA(MATCH(B1243,ListaInsumos,0)),"Insumo no está en Insumos",IF(OR(D1243="",E1243="",F1243=""),"Faltan datos",IF(INDEX(UnidadesBase,MATCH(E1243,Unidades,0))&lt;&gt;INDEX(InsBase,MATCH(B1243,ListaInsumos,0)),"Unidad incompatible",IF(A1243="","Falta fecha","OK")))))</f>
        <v/>
      </c>
      <c r="J1243" s="15"/>
    </row>
    <row r="1244" customFormat="false" ht="15" hidden="false" customHeight="false" outlineLevel="0" collapsed="false">
      <c r="A1244" s="26"/>
      <c r="B1244" s="15"/>
      <c r="C1244" s="15"/>
      <c r="D1244" s="27"/>
      <c r="E1244" s="15"/>
      <c r="F1244" s="28"/>
      <c r="G1244" s="25" t="str">
        <f aca="true">IF(OR(D1244="",E1244=""),"",IFERROR(D1244*INDEX(UnidadesFactor,MATCH(E1244,Unidades,0)),""))</f>
        <v/>
      </c>
      <c r="H1244" s="17" t="str">
        <f aca="false">IF(I1244&lt;&gt;"OK","",IF(G1244=0,"",F1244/G1244))</f>
        <v/>
      </c>
      <c r="I1244" s="20" t="str">
        <f aca="true">IF(B1244="","",IF(ISNA(MATCH(B1244,ListaInsumos,0)),"Insumo no está en Insumos",IF(OR(D1244="",E1244="",F1244=""),"Faltan datos",IF(INDEX(UnidadesBase,MATCH(E1244,Unidades,0))&lt;&gt;INDEX(InsBase,MATCH(B1244,ListaInsumos,0)),"Unidad incompatible",IF(A1244="","Falta fecha","OK")))))</f>
        <v/>
      </c>
      <c r="J1244" s="15"/>
    </row>
    <row r="1245" customFormat="false" ht="15" hidden="false" customHeight="false" outlineLevel="0" collapsed="false">
      <c r="A1245" s="26"/>
      <c r="B1245" s="15"/>
      <c r="C1245" s="15"/>
      <c r="D1245" s="27"/>
      <c r="E1245" s="15"/>
      <c r="F1245" s="28"/>
      <c r="G1245" s="25" t="str">
        <f aca="true">IF(OR(D1245="",E1245=""),"",IFERROR(D1245*INDEX(UnidadesFactor,MATCH(E1245,Unidades,0)),""))</f>
        <v/>
      </c>
      <c r="H1245" s="17" t="str">
        <f aca="false">IF(I1245&lt;&gt;"OK","",IF(G1245=0,"",F1245/G1245))</f>
        <v/>
      </c>
      <c r="I1245" s="20" t="str">
        <f aca="true">IF(B1245="","",IF(ISNA(MATCH(B1245,ListaInsumos,0)),"Insumo no está en Insumos",IF(OR(D1245="",E1245="",F1245=""),"Faltan datos",IF(INDEX(UnidadesBase,MATCH(E1245,Unidades,0))&lt;&gt;INDEX(InsBase,MATCH(B1245,ListaInsumos,0)),"Unidad incompatible",IF(A1245="","Falta fecha","OK")))))</f>
        <v/>
      </c>
      <c r="J1245" s="15"/>
    </row>
    <row r="1246" customFormat="false" ht="15" hidden="false" customHeight="false" outlineLevel="0" collapsed="false">
      <c r="A1246" s="26"/>
      <c r="B1246" s="15"/>
      <c r="C1246" s="15"/>
      <c r="D1246" s="27"/>
      <c r="E1246" s="15"/>
      <c r="F1246" s="28"/>
      <c r="G1246" s="25" t="str">
        <f aca="true">IF(OR(D1246="",E1246=""),"",IFERROR(D1246*INDEX(UnidadesFactor,MATCH(E1246,Unidades,0)),""))</f>
        <v/>
      </c>
      <c r="H1246" s="17" t="str">
        <f aca="false">IF(I1246&lt;&gt;"OK","",IF(G1246=0,"",F1246/G1246))</f>
        <v/>
      </c>
      <c r="I1246" s="20" t="str">
        <f aca="true">IF(B1246="","",IF(ISNA(MATCH(B1246,ListaInsumos,0)),"Insumo no está en Insumos",IF(OR(D1246="",E1246="",F1246=""),"Faltan datos",IF(INDEX(UnidadesBase,MATCH(E1246,Unidades,0))&lt;&gt;INDEX(InsBase,MATCH(B1246,ListaInsumos,0)),"Unidad incompatible",IF(A1246="","Falta fecha","OK")))))</f>
        <v/>
      </c>
      <c r="J1246" s="15"/>
    </row>
    <row r="1247" customFormat="false" ht="15" hidden="false" customHeight="false" outlineLevel="0" collapsed="false">
      <c r="A1247" s="26"/>
      <c r="B1247" s="15"/>
      <c r="C1247" s="15"/>
      <c r="D1247" s="27"/>
      <c r="E1247" s="15"/>
      <c r="F1247" s="28"/>
      <c r="G1247" s="25" t="str">
        <f aca="true">IF(OR(D1247="",E1247=""),"",IFERROR(D1247*INDEX(UnidadesFactor,MATCH(E1247,Unidades,0)),""))</f>
        <v/>
      </c>
      <c r="H1247" s="17" t="str">
        <f aca="false">IF(I1247&lt;&gt;"OK","",IF(G1247=0,"",F1247/G1247))</f>
        <v/>
      </c>
      <c r="I1247" s="20" t="str">
        <f aca="true">IF(B1247="","",IF(ISNA(MATCH(B1247,ListaInsumos,0)),"Insumo no está en Insumos",IF(OR(D1247="",E1247="",F1247=""),"Faltan datos",IF(INDEX(UnidadesBase,MATCH(E1247,Unidades,0))&lt;&gt;INDEX(InsBase,MATCH(B1247,ListaInsumos,0)),"Unidad incompatible",IF(A1247="","Falta fecha","OK")))))</f>
        <v/>
      </c>
      <c r="J1247" s="15"/>
    </row>
    <row r="1248" customFormat="false" ht="15" hidden="false" customHeight="false" outlineLevel="0" collapsed="false">
      <c r="A1248" s="26"/>
      <c r="B1248" s="15"/>
      <c r="C1248" s="15"/>
      <c r="D1248" s="27"/>
      <c r="E1248" s="15"/>
      <c r="F1248" s="28"/>
      <c r="G1248" s="25" t="str">
        <f aca="true">IF(OR(D1248="",E1248=""),"",IFERROR(D1248*INDEX(UnidadesFactor,MATCH(E1248,Unidades,0)),""))</f>
        <v/>
      </c>
      <c r="H1248" s="17" t="str">
        <f aca="false">IF(I1248&lt;&gt;"OK","",IF(G1248=0,"",F1248/G1248))</f>
        <v/>
      </c>
      <c r="I1248" s="20" t="str">
        <f aca="true">IF(B1248="","",IF(ISNA(MATCH(B1248,ListaInsumos,0)),"Insumo no está en Insumos",IF(OR(D1248="",E1248="",F1248=""),"Faltan datos",IF(INDEX(UnidadesBase,MATCH(E1248,Unidades,0))&lt;&gt;INDEX(InsBase,MATCH(B1248,ListaInsumos,0)),"Unidad incompatible",IF(A1248="","Falta fecha","OK")))))</f>
        <v/>
      </c>
      <c r="J1248" s="15"/>
    </row>
    <row r="1249" customFormat="false" ht="15" hidden="false" customHeight="false" outlineLevel="0" collapsed="false">
      <c r="A1249" s="26"/>
      <c r="B1249" s="15"/>
      <c r="C1249" s="15"/>
      <c r="D1249" s="27"/>
      <c r="E1249" s="15"/>
      <c r="F1249" s="28"/>
      <c r="G1249" s="25" t="str">
        <f aca="true">IF(OR(D1249="",E1249=""),"",IFERROR(D1249*INDEX(UnidadesFactor,MATCH(E1249,Unidades,0)),""))</f>
        <v/>
      </c>
      <c r="H1249" s="17" t="str">
        <f aca="false">IF(I1249&lt;&gt;"OK","",IF(G1249=0,"",F1249/G1249))</f>
        <v/>
      </c>
      <c r="I1249" s="20" t="str">
        <f aca="true">IF(B1249="","",IF(ISNA(MATCH(B1249,ListaInsumos,0)),"Insumo no está en Insumos",IF(OR(D1249="",E1249="",F1249=""),"Faltan datos",IF(INDEX(UnidadesBase,MATCH(E1249,Unidades,0))&lt;&gt;INDEX(InsBase,MATCH(B1249,ListaInsumos,0)),"Unidad incompatible",IF(A1249="","Falta fecha","OK")))))</f>
        <v/>
      </c>
      <c r="J1249" s="15"/>
    </row>
    <row r="1250" customFormat="false" ht="15" hidden="false" customHeight="false" outlineLevel="0" collapsed="false">
      <c r="A1250" s="26"/>
      <c r="B1250" s="15"/>
      <c r="C1250" s="15"/>
      <c r="D1250" s="27"/>
      <c r="E1250" s="15"/>
      <c r="F1250" s="28"/>
      <c r="G1250" s="25" t="str">
        <f aca="true">IF(OR(D1250="",E1250=""),"",IFERROR(D1250*INDEX(UnidadesFactor,MATCH(E1250,Unidades,0)),""))</f>
        <v/>
      </c>
      <c r="H1250" s="17" t="str">
        <f aca="false">IF(I1250&lt;&gt;"OK","",IF(G1250=0,"",F1250/G1250))</f>
        <v/>
      </c>
      <c r="I1250" s="20" t="str">
        <f aca="true">IF(B1250="","",IF(ISNA(MATCH(B1250,ListaInsumos,0)),"Insumo no está en Insumos",IF(OR(D1250="",E1250="",F1250=""),"Faltan datos",IF(INDEX(UnidadesBase,MATCH(E1250,Unidades,0))&lt;&gt;INDEX(InsBase,MATCH(B1250,ListaInsumos,0)),"Unidad incompatible",IF(A1250="","Falta fecha","OK")))))</f>
        <v/>
      </c>
      <c r="J1250" s="15"/>
    </row>
    <row r="1251" customFormat="false" ht="15" hidden="false" customHeight="false" outlineLevel="0" collapsed="false">
      <c r="A1251" s="26"/>
      <c r="B1251" s="15"/>
      <c r="C1251" s="15"/>
      <c r="D1251" s="27"/>
      <c r="E1251" s="15"/>
      <c r="F1251" s="28"/>
      <c r="G1251" s="25" t="str">
        <f aca="true">IF(OR(D1251="",E1251=""),"",IFERROR(D1251*INDEX(UnidadesFactor,MATCH(E1251,Unidades,0)),""))</f>
        <v/>
      </c>
      <c r="H1251" s="17" t="str">
        <f aca="false">IF(I1251&lt;&gt;"OK","",IF(G1251=0,"",F1251/G1251))</f>
        <v/>
      </c>
      <c r="I1251" s="20" t="str">
        <f aca="true">IF(B1251="","",IF(ISNA(MATCH(B1251,ListaInsumos,0)),"Insumo no está en Insumos",IF(OR(D1251="",E1251="",F1251=""),"Faltan datos",IF(INDEX(UnidadesBase,MATCH(E1251,Unidades,0))&lt;&gt;INDEX(InsBase,MATCH(B1251,ListaInsumos,0)),"Unidad incompatible",IF(A1251="","Falta fecha","OK")))))</f>
        <v/>
      </c>
      <c r="J1251" s="15"/>
    </row>
    <row r="1252" customFormat="false" ht="15" hidden="false" customHeight="false" outlineLevel="0" collapsed="false">
      <c r="A1252" s="26"/>
      <c r="B1252" s="15"/>
      <c r="C1252" s="15"/>
      <c r="D1252" s="27"/>
      <c r="E1252" s="15"/>
      <c r="F1252" s="28"/>
      <c r="G1252" s="25" t="str">
        <f aca="true">IF(OR(D1252="",E1252=""),"",IFERROR(D1252*INDEX(UnidadesFactor,MATCH(E1252,Unidades,0)),""))</f>
        <v/>
      </c>
      <c r="H1252" s="17" t="str">
        <f aca="false">IF(I1252&lt;&gt;"OK","",IF(G1252=0,"",F1252/G1252))</f>
        <v/>
      </c>
      <c r="I1252" s="20" t="str">
        <f aca="true">IF(B1252="","",IF(ISNA(MATCH(B1252,ListaInsumos,0)),"Insumo no está en Insumos",IF(OR(D1252="",E1252="",F1252=""),"Faltan datos",IF(INDEX(UnidadesBase,MATCH(E1252,Unidades,0))&lt;&gt;INDEX(InsBase,MATCH(B1252,ListaInsumos,0)),"Unidad incompatible",IF(A1252="","Falta fecha","OK")))))</f>
        <v/>
      </c>
      <c r="J1252" s="15"/>
    </row>
    <row r="1253" customFormat="false" ht="15" hidden="false" customHeight="false" outlineLevel="0" collapsed="false">
      <c r="A1253" s="26"/>
      <c r="B1253" s="15"/>
      <c r="C1253" s="15"/>
      <c r="D1253" s="27"/>
      <c r="E1253" s="15"/>
      <c r="F1253" s="28"/>
      <c r="G1253" s="25" t="str">
        <f aca="true">IF(OR(D1253="",E1253=""),"",IFERROR(D1253*INDEX(UnidadesFactor,MATCH(E1253,Unidades,0)),""))</f>
        <v/>
      </c>
      <c r="H1253" s="17" t="str">
        <f aca="false">IF(I1253&lt;&gt;"OK","",IF(G1253=0,"",F1253/G1253))</f>
        <v/>
      </c>
      <c r="I1253" s="20" t="str">
        <f aca="true">IF(B1253="","",IF(ISNA(MATCH(B1253,ListaInsumos,0)),"Insumo no está en Insumos",IF(OR(D1253="",E1253="",F1253=""),"Faltan datos",IF(INDEX(UnidadesBase,MATCH(E1253,Unidades,0))&lt;&gt;INDEX(InsBase,MATCH(B1253,ListaInsumos,0)),"Unidad incompatible",IF(A1253="","Falta fecha","OK")))))</f>
        <v/>
      </c>
      <c r="J1253" s="15"/>
    </row>
    <row r="1254" customFormat="false" ht="15" hidden="false" customHeight="false" outlineLevel="0" collapsed="false">
      <c r="A1254" s="26"/>
      <c r="B1254" s="15"/>
      <c r="C1254" s="15"/>
      <c r="D1254" s="27"/>
      <c r="E1254" s="15"/>
      <c r="F1254" s="28"/>
      <c r="G1254" s="25" t="str">
        <f aca="true">IF(OR(D1254="",E1254=""),"",IFERROR(D1254*INDEX(UnidadesFactor,MATCH(E1254,Unidades,0)),""))</f>
        <v/>
      </c>
      <c r="H1254" s="17" t="str">
        <f aca="false">IF(I1254&lt;&gt;"OK","",IF(G1254=0,"",F1254/G1254))</f>
        <v/>
      </c>
      <c r="I1254" s="20" t="str">
        <f aca="true">IF(B1254="","",IF(ISNA(MATCH(B1254,ListaInsumos,0)),"Insumo no está en Insumos",IF(OR(D1254="",E1254="",F1254=""),"Faltan datos",IF(INDEX(UnidadesBase,MATCH(E1254,Unidades,0))&lt;&gt;INDEX(InsBase,MATCH(B1254,ListaInsumos,0)),"Unidad incompatible",IF(A1254="","Falta fecha","OK")))))</f>
        <v/>
      </c>
      <c r="J1254" s="15"/>
    </row>
    <row r="1255" customFormat="false" ht="15" hidden="false" customHeight="false" outlineLevel="0" collapsed="false">
      <c r="A1255" s="26"/>
      <c r="B1255" s="15"/>
      <c r="C1255" s="15"/>
      <c r="D1255" s="27"/>
      <c r="E1255" s="15"/>
      <c r="F1255" s="28"/>
      <c r="G1255" s="25" t="str">
        <f aca="true">IF(OR(D1255="",E1255=""),"",IFERROR(D1255*INDEX(UnidadesFactor,MATCH(E1255,Unidades,0)),""))</f>
        <v/>
      </c>
      <c r="H1255" s="17" t="str">
        <f aca="false">IF(I1255&lt;&gt;"OK","",IF(G1255=0,"",F1255/G1255))</f>
        <v/>
      </c>
      <c r="I1255" s="20" t="str">
        <f aca="true">IF(B1255="","",IF(ISNA(MATCH(B1255,ListaInsumos,0)),"Insumo no está en Insumos",IF(OR(D1255="",E1255="",F1255=""),"Faltan datos",IF(INDEX(UnidadesBase,MATCH(E1255,Unidades,0))&lt;&gt;INDEX(InsBase,MATCH(B1255,ListaInsumos,0)),"Unidad incompatible",IF(A1255="","Falta fecha","OK")))))</f>
        <v/>
      </c>
      <c r="J1255" s="15"/>
    </row>
    <row r="1256" customFormat="false" ht="15" hidden="false" customHeight="false" outlineLevel="0" collapsed="false">
      <c r="A1256" s="26"/>
      <c r="B1256" s="15"/>
      <c r="C1256" s="15"/>
      <c r="D1256" s="27"/>
      <c r="E1256" s="15"/>
      <c r="F1256" s="28"/>
      <c r="G1256" s="25" t="str">
        <f aca="true">IF(OR(D1256="",E1256=""),"",IFERROR(D1256*INDEX(UnidadesFactor,MATCH(E1256,Unidades,0)),""))</f>
        <v/>
      </c>
      <c r="H1256" s="17" t="str">
        <f aca="false">IF(I1256&lt;&gt;"OK","",IF(G1256=0,"",F1256/G1256))</f>
        <v/>
      </c>
      <c r="I1256" s="20" t="str">
        <f aca="true">IF(B1256="","",IF(ISNA(MATCH(B1256,ListaInsumos,0)),"Insumo no está en Insumos",IF(OR(D1256="",E1256="",F1256=""),"Faltan datos",IF(INDEX(UnidadesBase,MATCH(E1256,Unidades,0))&lt;&gt;INDEX(InsBase,MATCH(B1256,ListaInsumos,0)),"Unidad incompatible",IF(A1256="","Falta fecha","OK")))))</f>
        <v/>
      </c>
      <c r="J1256" s="15"/>
    </row>
    <row r="1257" customFormat="false" ht="15" hidden="false" customHeight="false" outlineLevel="0" collapsed="false">
      <c r="A1257" s="26"/>
      <c r="B1257" s="15"/>
      <c r="C1257" s="15"/>
      <c r="D1257" s="27"/>
      <c r="E1257" s="15"/>
      <c r="F1257" s="28"/>
      <c r="G1257" s="25" t="str">
        <f aca="true">IF(OR(D1257="",E1257=""),"",IFERROR(D1257*INDEX(UnidadesFactor,MATCH(E1257,Unidades,0)),""))</f>
        <v/>
      </c>
      <c r="H1257" s="17" t="str">
        <f aca="false">IF(I1257&lt;&gt;"OK","",IF(G1257=0,"",F1257/G1257))</f>
        <v/>
      </c>
      <c r="I1257" s="20" t="str">
        <f aca="true">IF(B1257="","",IF(ISNA(MATCH(B1257,ListaInsumos,0)),"Insumo no está en Insumos",IF(OR(D1257="",E1257="",F1257=""),"Faltan datos",IF(INDEX(UnidadesBase,MATCH(E1257,Unidades,0))&lt;&gt;INDEX(InsBase,MATCH(B1257,ListaInsumos,0)),"Unidad incompatible",IF(A1257="","Falta fecha","OK")))))</f>
        <v/>
      </c>
      <c r="J1257" s="15"/>
    </row>
    <row r="1258" customFormat="false" ht="15" hidden="false" customHeight="false" outlineLevel="0" collapsed="false">
      <c r="A1258" s="26"/>
      <c r="B1258" s="15"/>
      <c r="C1258" s="15"/>
      <c r="D1258" s="27"/>
      <c r="E1258" s="15"/>
      <c r="F1258" s="28"/>
      <c r="G1258" s="25" t="str">
        <f aca="true">IF(OR(D1258="",E1258=""),"",IFERROR(D1258*INDEX(UnidadesFactor,MATCH(E1258,Unidades,0)),""))</f>
        <v/>
      </c>
      <c r="H1258" s="17" t="str">
        <f aca="false">IF(I1258&lt;&gt;"OK","",IF(G1258=0,"",F1258/G1258))</f>
        <v/>
      </c>
      <c r="I1258" s="20" t="str">
        <f aca="true">IF(B1258="","",IF(ISNA(MATCH(B1258,ListaInsumos,0)),"Insumo no está en Insumos",IF(OR(D1258="",E1258="",F1258=""),"Faltan datos",IF(INDEX(UnidadesBase,MATCH(E1258,Unidades,0))&lt;&gt;INDEX(InsBase,MATCH(B1258,ListaInsumos,0)),"Unidad incompatible",IF(A1258="","Falta fecha","OK")))))</f>
        <v/>
      </c>
      <c r="J1258" s="15"/>
    </row>
    <row r="1259" customFormat="false" ht="15" hidden="false" customHeight="false" outlineLevel="0" collapsed="false">
      <c r="A1259" s="26"/>
      <c r="B1259" s="15"/>
      <c r="C1259" s="15"/>
      <c r="D1259" s="27"/>
      <c r="E1259" s="15"/>
      <c r="F1259" s="28"/>
      <c r="G1259" s="25" t="str">
        <f aca="true">IF(OR(D1259="",E1259=""),"",IFERROR(D1259*INDEX(UnidadesFactor,MATCH(E1259,Unidades,0)),""))</f>
        <v/>
      </c>
      <c r="H1259" s="17" t="str">
        <f aca="false">IF(I1259&lt;&gt;"OK","",IF(G1259=0,"",F1259/G1259))</f>
        <v/>
      </c>
      <c r="I1259" s="20" t="str">
        <f aca="true">IF(B1259="","",IF(ISNA(MATCH(B1259,ListaInsumos,0)),"Insumo no está en Insumos",IF(OR(D1259="",E1259="",F1259=""),"Faltan datos",IF(INDEX(UnidadesBase,MATCH(E1259,Unidades,0))&lt;&gt;INDEX(InsBase,MATCH(B1259,ListaInsumos,0)),"Unidad incompatible",IF(A1259="","Falta fecha","OK")))))</f>
        <v/>
      </c>
      <c r="J1259" s="15"/>
    </row>
    <row r="1260" customFormat="false" ht="15" hidden="false" customHeight="false" outlineLevel="0" collapsed="false">
      <c r="A1260" s="26"/>
      <c r="B1260" s="15"/>
      <c r="C1260" s="15"/>
      <c r="D1260" s="27"/>
      <c r="E1260" s="15"/>
      <c r="F1260" s="28"/>
      <c r="G1260" s="25" t="str">
        <f aca="true">IF(OR(D1260="",E1260=""),"",IFERROR(D1260*INDEX(UnidadesFactor,MATCH(E1260,Unidades,0)),""))</f>
        <v/>
      </c>
      <c r="H1260" s="17" t="str">
        <f aca="false">IF(I1260&lt;&gt;"OK","",IF(G1260=0,"",F1260/G1260))</f>
        <v/>
      </c>
      <c r="I1260" s="20" t="str">
        <f aca="true">IF(B1260="","",IF(ISNA(MATCH(B1260,ListaInsumos,0)),"Insumo no está en Insumos",IF(OR(D1260="",E1260="",F1260=""),"Faltan datos",IF(INDEX(UnidadesBase,MATCH(E1260,Unidades,0))&lt;&gt;INDEX(InsBase,MATCH(B1260,ListaInsumos,0)),"Unidad incompatible",IF(A1260="","Falta fecha","OK")))))</f>
        <v/>
      </c>
      <c r="J1260" s="15"/>
    </row>
    <row r="1261" customFormat="false" ht="15" hidden="false" customHeight="false" outlineLevel="0" collapsed="false">
      <c r="A1261" s="26"/>
      <c r="B1261" s="15"/>
      <c r="C1261" s="15"/>
      <c r="D1261" s="27"/>
      <c r="E1261" s="15"/>
      <c r="F1261" s="28"/>
      <c r="G1261" s="25" t="str">
        <f aca="true">IF(OR(D1261="",E1261=""),"",IFERROR(D1261*INDEX(UnidadesFactor,MATCH(E1261,Unidades,0)),""))</f>
        <v/>
      </c>
      <c r="H1261" s="17" t="str">
        <f aca="false">IF(I1261&lt;&gt;"OK","",IF(G1261=0,"",F1261/G1261))</f>
        <v/>
      </c>
      <c r="I1261" s="20" t="str">
        <f aca="true">IF(B1261="","",IF(ISNA(MATCH(B1261,ListaInsumos,0)),"Insumo no está en Insumos",IF(OR(D1261="",E1261="",F1261=""),"Faltan datos",IF(INDEX(UnidadesBase,MATCH(E1261,Unidades,0))&lt;&gt;INDEX(InsBase,MATCH(B1261,ListaInsumos,0)),"Unidad incompatible",IF(A1261="","Falta fecha","OK")))))</f>
        <v/>
      </c>
      <c r="J1261" s="15"/>
    </row>
    <row r="1262" customFormat="false" ht="15" hidden="false" customHeight="false" outlineLevel="0" collapsed="false">
      <c r="A1262" s="26"/>
      <c r="B1262" s="15"/>
      <c r="C1262" s="15"/>
      <c r="D1262" s="27"/>
      <c r="E1262" s="15"/>
      <c r="F1262" s="28"/>
      <c r="G1262" s="25" t="str">
        <f aca="true">IF(OR(D1262="",E1262=""),"",IFERROR(D1262*INDEX(UnidadesFactor,MATCH(E1262,Unidades,0)),""))</f>
        <v/>
      </c>
      <c r="H1262" s="17" t="str">
        <f aca="false">IF(I1262&lt;&gt;"OK","",IF(G1262=0,"",F1262/G1262))</f>
        <v/>
      </c>
      <c r="I1262" s="20" t="str">
        <f aca="true">IF(B1262="","",IF(ISNA(MATCH(B1262,ListaInsumos,0)),"Insumo no está en Insumos",IF(OR(D1262="",E1262="",F1262=""),"Faltan datos",IF(INDEX(UnidadesBase,MATCH(E1262,Unidades,0))&lt;&gt;INDEX(InsBase,MATCH(B1262,ListaInsumos,0)),"Unidad incompatible",IF(A1262="","Falta fecha","OK")))))</f>
        <v/>
      </c>
      <c r="J1262" s="15"/>
    </row>
    <row r="1263" customFormat="false" ht="15" hidden="false" customHeight="false" outlineLevel="0" collapsed="false">
      <c r="A1263" s="26"/>
      <c r="B1263" s="15"/>
      <c r="C1263" s="15"/>
      <c r="D1263" s="27"/>
      <c r="E1263" s="15"/>
      <c r="F1263" s="28"/>
      <c r="G1263" s="25" t="str">
        <f aca="true">IF(OR(D1263="",E1263=""),"",IFERROR(D1263*INDEX(UnidadesFactor,MATCH(E1263,Unidades,0)),""))</f>
        <v/>
      </c>
      <c r="H1263" s="17" t="str">
        <f aca="false">IF(I1263&lt;&gt;"OK","",IF(G1263=0,"",F1263/G1263))</f>
        <v/>
      </c>
      <c r="I1263" s="20" t="str">
        <f aca="true">IF(B1263="","",IF(ISNA(MATCH(B1263,ListaInsumos,0)),"Insumo no está en Insumos",IF(OR(D1263="",E1263="",F1263=""),"Faltan datos",IF(INDEX(UnidadesBase,MATCH(E1263,Unidades,0))&lt;&gt;INDEX(InsBase,MATCH(B1263,ListaInsumos,0)),"Unidad incompatible",IF(A1263="","Falta fecha","OK")))))</f>
        <v/>
      </c>
      <c r="J1263" s="15"/>
    </row>
    <row r="1264" customFormat="false" ht="15" hidden="false" customHeight="false" outlineLevel="0" collapsed="false">
      <c r="A1264" s="26"/>
      <c r="B1264" s="15"/>
      <c r="C1264" s="15"/>
      <c r="D1264" s="27"/>
      <c r="E1264" s="15"/>
      <c r="F1264" s="28"/>
      <c r="G1264" s="25" t="str">
        <f aca="true">IF(OR(D1264="",E1264=""),"",IFERROR(D1264*INDEX(UnidadesFactor,MATCH(E1264,Unidades,0)),""))</f>
        <v/>
      </c>
      <c r="H1264" s="17" t="str">
        <f aca="false">IF(I1264&lt;&gt;"OK","",IF(G1264=0,"",F1264/G1264))</f>
        <v/>
      </c>
      <c r="I1264" s="20" t="str">
        <f aca="true">IF(B1264="","",IF(ISNA(MATCH(B1264,ListaInsumos,0)),"Insumo no está en Insumos",IF(OR(D1264="",E1264="",F1264=""),"Faltan datos",IF(INDEX(UnidadesBase,MATCH(E1264,Unidades,0))&lt;&gt;INDEX(InsBase,MATCH(B1264,ListaInsumos,0)),"Unidad incompatible",IF(A1264="","Falta fecha","OK")))))</f>
        <v/>
      </c>
      <c r="J1264" s="15"/>
    </row>
    <row r="1265" customFormat="false" ht="15" hidden="false" customHeight="false" outlineLevel="0" collapsed="false">
      <c r="A1265" s="26"/>
      <c r="B1265" s="15"/>
      <c r="C1265" s="15"/>
      <c r="D1265" s="27"/>
      <c r="E1265" s="15"/>
      <c r="F1265" s="28"/>
      <c r="G1265" s="25" t="str">
        <f aca="true">IF(OR(D1265="",E1265=""),"",IFERROR(D1265*INDEX(UnidadesFactor,MATCH(E1265,Unidades,0)),""))</f>
        <v/>
      </c>
      <c r="H1265" s="17" t="str">
        <f aca="false">IF(I1265&lt;&gt;"OK","",IF(G1265=0,"",F1265/G1265))</f>
        <v/>
      </c>
      <c r="I1265" s="20" t="str">
        <f aca="true">IF(B1265="","",IF(ISNA(MATCH(B1265,ListaInsumos,0)),"Insumo no está en Insumos",IF(OR(D1265="",E1265="",F1265=""),"Faltan datos",IF(INDEX(UnidadesBase,MATCH(E1265,Unidades,0))&lt;&gt;INDEX(InsBase,MATCH(B1265,ListaInsumos,0)),"Unidad incompatible",IF(A1265="","Falta fecha","OK")))))</f>
        <v/>
      </c>
      <c r="J1265" s="15"/>
    </row>
    <row r="1266" customFormat="false" ht="15" hidden="false" customHeight="false" outlineLevel="0" collapsed="false">
      <c r="A1266" s="26"/>
      <c r="B1266" s="15"/>
      <c r="C1266" s="15"/>
      <c r="D1266" s="27"/>
      <c r="E1266" s="15"/>
      <c r="F1266" s="28"/>
      <c r="G1266" s="25" t="str">
        <f aca="true">IF(OR(D1266="",E1266=""),"",IFERROR(D1266*INDEX(UnidadesFactor,MATCH(E1266,Unidades,0)),""))</f>
        <v/>
      </c>
      <c r="H1266" s="17" t="str">
        <f aca="false">IF(I1266&lt;&gt;"OK","",IF(G1266=0,"",F1266/G1266))</f>
        <v/>
      </c>
      <c r="I1266" s="20" t="str">
        <f aca="true">IF(B1266="","",IF(ISNA(MATCH(B1266,ListaInsumos,0)),"Insumo no está en Insumos",IF(OR(D1266="",E1266="",F1266=""),"Faltan datos",IF(INDEX(UnidadesBase,MATCH(E1266,Unidades,0))&lt;&gt;INDEX(InsBase,MATCH(B1266,ListaInsumos,0)),"Unidad incompatible",IF(A1266="","Falta fecha","OK")))))</f>
        <v/>
      </c>
      <c r="J1266" s="15"/>
    </row>
    <row r="1267" customFormat="false" ht="15" hidden="false" customHeight="false" outlineLevel="0" collapsed="false">
      <c r="A1267" s="26"/>
      <c r="B1267" s="15"/>
      <c r="C1267" s="15"/>
      <c r="D1267" s="27"/>
      <c r="E1267" s="15"/>
      <c r="F1267" s="28"/>
      <c r="G1267" s="25" t="str">
        <f aca="true">IF(OR(D1267="",E1267=""),"",IFERROR(D1267*INDEX(UnidadesFactor,MATCH(E1267,Unidades,0)),""))</f>
        <v/>
      </c>
      <c r="H1267" s="17" t="str">
        <f aca="false">IF(I1267&lt;&gt;"OK","",IF(G1267=0,"",F1267/G1267))</f>
        <v/>
      </c>
      <c r="I1267" s="20" t="str">
        <f aca="true">IF(B1267="","",IF(ISNA(MATCH(B1267,ListaInsumos,0)),"Insumo no está en Insumos",IF(OR(D1267="",E1267="",F1267=""),"Faltan datos",IF(INDEX(UnidadesBase,MATCH(E1267,Unidades,0))&lt;&gt;INDEX(InsBase,MATCH(B1267,ListaInsumos,0)),"Unidad incompatible",IF(A1267="","Falta fecha","OK")))))</f>
        <v/>
      </c>
      <c r="J1267" s="15"/>
    </row>
    <row r="1268" customFormat="false" ht="15" hidden="false" customHeight="false" outlineLevel="0" collapsed="false">
      <c r="A1268" s="26"/>
      <c r="B1268" s="15"/>
      <c r="C1268" s="15"/>
      <c r="D1268" s="27"/>
      <c r="E1268" s="15"/>
      <c r="F1268" s="28"/>
      <c r="G1268" s="25" t="str">
        <f aca="true">IF(OR(D1268="",E1268=""),"",IFERROR(D1268*INDEX(UnidadesFactor,MATCH(E1268,Unidades,0)),""))</f>
        <v/>
      </c>
      <c r="H1268" s="17" t="str">
        <f aca="false">IF(I1268&lt;&gt;"OK","",IF(G1268=0,"",F1268/G1268))</f>
        <v/>
      </c>
      <c r="I1268" s="20" t="str">
        <f aca="true">IF(B1268="","",IF(ISNA(MATCH(B1268,ListaInsumos,0)),"Insumo no está en Insumos",IF(OR(D1268="",E1268="",F1268=""),"Faltan datos",IF(INDEX(UnidadesBase,MATCH(E1268,Unidades,0))&lt;&gt;INDEX(InsBase,MATCH(B1268,ListaInsumos,0)),"Unidad incompatible",IF(A1268="","Falta fecha","OK")))))</f>
        <v/>
      </c>
      <c r="J1268" s="15"/>
    </row>
    <row r="1269" customFormat="false" ht="15" hidden="false" customHeight="false" outlineLevel="0" collapsed="false">
      <c r="A1269" s="26"/>
      <c r="B1269" s="15"/>
      <c r="C1269" s="15"/>
      <c r="D1269" s="27"/>
      <c r="E1269" s="15"/>
      <c r="F1269" s="28"/>
      <c r="G1269" s="25" t="str">
        <f aca="true">IF(OR(D1269="",E1269=""),"",IFERROR(D1269*INDEX(UnidadesFactor,MATCH(E1269,Unidades,0)),""))</f>
        <v/>
      </c>
      <c r="H1269" s="17" t="str">
        <f aca="false">IF(I1269&lt;&gt;"OK","",IF(G1269=0,"",F1269/G1269))</f>
        <v/>
      </c>
      <c r="I1269" s="20" t="str">
        <f aca="true">IF(B1269="","",IF(ISNA(MATCH(B1269,ListaInsumos,0)),"Insumo no está en Insumos",IF(OR(D1269="",E1269="",F1269=""),"Faltan datos",IF(INDEX(UnidadesBase,MATCH(E1269,Unidades,0))&lt;&gt;INDEX(InsBase,MATCH(B1269,ListaInsumos,0)),"Unidad incompatible",IF(A1269="","Falta fecha","OK")))))</f>
        <v/>
      </c>
      <c r="J1269" s="15"/>
    </row>
    <row r="1270" customFormat="false" ht="15" hidden="false" customHeight="false" outlineLevel="0" collapsed="false">
      <c r="A1270" s="26"/>
      <c r="B1270" s="15"/>
      <c r="C1270" s="15"/>
      <c r="D1270" s="27"/>
      <c r="E1270" s="15"/>
      <c r="F1270" s="28"/>
      <c r="G1270" s="25" t="str">
        <f aca="true">IF(OR(D1270="",E1270=""),"",IFERROR(D1270*INDEX(UnidadesFactor,MATCH(E1270,Unidades,0)),""))</f>
        <v/>
      </c>
      <c r="H1270" s="17" t="str">
        <f aca="false">IF(I1270&lt;&gt;"OK","",IF(G1270=0,"",F1270/G1270))</f>
        <v/>
      </c>
      <c r="I1270" s="20" t="str">
        <f aca="true">IF(B1270="","",IF(ISNA(MATCH(B1270,ListaInsumos,0)),"Insumo no está en Insumos",IF(OR(D1270="",E1270="",F1270=""),"Faltan datos",IF(INDEX(UnidadesBase,MATCH(E1270,Unidades,0))&lt;&gt;INDEX(InsBase,MATCH(B1270,ListaInsumos,0)),"Unidad incompatible",IF(A1270="","Falta fecha","OK")))))</f>
        <v/>
      </c>
      <c r="J1270" s="15"/>
    </row>
    <row r="1271" customFormat="false" ht="15" hidden="false" customHeight="false" outlineLevel="0" collapsed="false">
      <c r="A1271" s="26"/>
      <c r="B1271" s="15"/>
      <c r="C1271" s="15"/>
      <c r="D1271" s="27"/>
      <c r="E1271" s="15"/>
      <c r="F1271" s="28"/>
      <c r="G1271" s="25" t="str">
        <f aca="true">IF(OR(D1271="",E1271=""),"",IFERROR(D1271*INDEX(UnidadesFactor,MATCH(E1271,Unidades,0)),""))</f>
        <v/>
      </c>
      <c r="H1271" s="17" t="str">
        <f aca="false">IF(I1271&lt;&gt;"OK","",IF(G1271=0,"",F1271/G1271))</f>
        <v/>
      </c>
      <c r="I1271" s="20" t="str">
        <f aca="true">IF(B1271="","",IF(ISNA(MATCH(B1271,ListaInsumos,0)),"Insumo no está en Insumos",IF(OR(D1271="",E1271="",F1271=""),"Faltan datos",IF(INDEX(UnidadesBase,MATCH(E1271,Unidades,0))&lt;&gt;INDEX(InsBase,MATCH(B1271,ListaInsumos,0)),"Unidad incompatible",IF(A1271="","Falta fecha","OK")))))</f>
        <v/>
      </c>
      <c r="J1271" s="15"/>
    </row>
    <row r="1272" customFormat="false" ht="15" hidden="false" customHeight="false" outlineLevel="0" collapsed="false">
      <c r="A1272" s="26"/>
      <c r="B1272" s="15"/>
      <c r="C1272" s="15"/>
      <c r="D1272" s="27"/>
      <c r="E1272" s="15"/>
      <c r="F1272" s="28"/>
      <c r="G1272" s="25" t="str">
        <f aca="true">IF(OR(D1272="",E1272=""),"",IFERROR(D1272*INDEX(UnidadesFactor,MATCH(E1272,Unidades,0)),""))</f>
        <v/>
      </c>
      <c r="H1272" s="17" t="str">
        <f aca="false">IF(I1272&lt;&gt;"OK","",IF(G1272=0,"",F1272/G1272))</f>
        <v/>
      </c>
      <c r="I1272" s="20" t="str">
        <f aca="true">IF(B1272="","",IF(ISNA(MATCH(B1272,ListaInsumos,0)),"Insumo no está en Insumos",IF(OR(D1272="",E1272="",F1272=""),"Faltan datos",IF(INDEX(UnidadesBase,MATCH(E1272,Unidades,0))&lt;&gt;INDEX(InsBase,MATCH(B1272,ListaInsumos,0)),"Unidad incompatible",IF(A1272="","Falta fecha","OK")))))</f>
        <v/>
      </c>
      <c r="J1272" s="15"/>
    </row>
    <row r="1273" customFormat="false" ht="15" hidden="false" customHeight="false" outlineLevel="0" collapsed="false">
      <c r="A1273" s="26"/>
      <c r="B1273" s="15"/>
      <c r="C1273" s="15"/>
      <c r="D1273" s="27"/>
      <c r="E1273" s="15"/>
      <c r="F1273" s="28"/>
      <c r="G1273" s="25" t="str">
        <f aca="true">IF(OR(D1273="",E1273=""),"",IFERROR(D1273*INDEX(UnidadesFactor,MATCH(E1273,Unidades,0)),""))</f>
        <v/>
      </c>
      <c r="H1273" s="17" t="str">
        <f aca="false">IF(I1273&lt;&gt;"OK","",IF(G1273=0,"",F1273/G1273))</f>
        <v/>
      </c>
      <c r="I1273" s="20" t="str">
        <f aca="true">IF(B1273="","",IF(ISNA(MATCH(B1273,ListaInsumos,0)),"Insumo no está en Insumos",IF(OR(D1273="",E1273="",F1273=""),"Faltan datos",IF(INDEX(UnidadesBase,MATCH(E1273,Unidades,0))&lt;&gt;INDEX(InsBase,MATCH(B1273,ListaInsumos,0)),"Unidad incompatible",IF(A1273="","Falta fecha","OK")))))</f>
        <v/>
      </c>
      <c r="J1273" s="15"/>
    </row>
    <row r="1274" customFormat="false" ht="15" hidden="false" customHeight="false" outlineLevel="0" collapsed="false">
      <c r="A1274" s="26"/>
      <c r="B1274" s="15"/>
      <c r="C1274" s="15"/>
      <c r="D1274" s="27"/>
      <c r="E1274" s="15"/>
      <c r="F1274" s="28"/>
      <c r="G1274" s="25" t="str">
        <f aca="true">IF(OR(D1274="",E1274=""),"",IFERROR(D1274*INDEX(UnidadesFactor,MATCH(E1274,Unidades,0)),""))</f>
        <v/>
      </c>
      <c r="H1274" s="17" t="str">
        <f aca="false">IF(I1274&lt;&gt;"OK","",IF(G1274=0,"",F1274/G1274))</f>
        <v/>
      </c>
      <c r="I1274" s="20" t="str">
        <f aca="true">IF(B1274="","",IF(ISNA(MATCH(B1274,ListaInsumos,0)),"Insumo no está en Insumos",IF(OR(D1274="",E1274="",F1274=""),"Faltan datos",IF(INDEX(UnidadesBase,MATCH(E1274,Unidades,0))&lt;&gt;INDEX(InsBase,MATCH(B1274,ListaInsumos,0)),"Unidad incompatible",IF(A1274="","Falta fecha","OK")))))</f>
        <v/>
      </c>
      <c r="J1274" s="15"/>
    </row>
    <row r="1275" customFormat="false" ht="15" hidden="false" customHeight="false" outlineLevel="0" collapsed="false">
      <c r="A1275" s="26"/>
      <c r="B1275" s="15"/>
      <c r="C1275" s="15"/>
      <c r="D1275" s="27"/>
      <c r="E1275" s="15"/>
      <c r="F1275" s="28"/>
      <c r="G1275" s="25" t="str">
        <f aca="true">IF(OR(D1275="",E1275=""),"",IFERROR(D1275*INDEX(UnidadesFactor,MATCH(E1275,Unidades,0)),""))</f>
        <v/>
      </c>
      <c r="H1275" s="17" t="str">
        <f aca="false">IF(I1275&lt;&gt;"OK","",IF(G1275=0,"",F1275/G1275))</f>
        <v/>
      </c>
      <c r="I1275" s="20" t="str">
        <f aca="true">IF(B1275="","",IF(ISNA(MATCH(B1275,ListaInsumos,0)),"Insumo no está en Insumos",IF(OR(D1275="",E1275="",F1275=""),"Faltan datos",IF(INDEX(UnidadesBase,MATCH(E1275,Unidades,0))&lt;&gt;INDEX(InsBase,MATCH(B1275,ListaInsumos,0)),"Unidad incompatible",IF(A1275="","Falta fecha","OK")))))</f>
        <v/>
      </c>
      <c r="J1275" s="15"/>
    </row>
    <row r="1276" customFormat="false" ht="15" hidden="false" customHeight="false" outlineLevel="0" collapsed="false">
      <c r="A1276" s="26"/>
      <c r="B1276" s="15"/>
      <c r="C1276" s="15"/>
      <c r="D1276" s="27"/>
      <c r="E1276" s="15"/>
      <c r="F1276" s="28"/>
      <c r="G1276" s="25" t="str">
        <f aca="true">IF(OR(D1276="",E1276=""),"",IFERROR(D1276*INDEX(UnidadesFactor,MATCH(E1276,Unidades,0)),""))</f>
        <v/>
      </c>
      <c r="H1276" s="17" t="str">
        <f aca="false">IF(I1276&lt;&gt;"OK","",IF(G1276=0,"",F1276/G1276))</f>
        <v/>
      </c>
      <c r="I1276" s="20" t="str">
        <f aca="true">IF(B1276="","",IF(ISNA(MATCH(B1276,ListaInsumos,0)),"Insumo no está en Insumos",IF(OR(D1276="",E1276="",F1276=""),"Faltan datos",IF(INDEX(UnidadesBase,MATCH(E1276,Unidades,0))&lt;&gt;INDEX(InsBase,MATCH(B1276,ListaInsumos,0)),"Unidad incompatible",IF(A1276="","Falta fecha","OK")))))</f>
        <v/>
      </c>
      <c r="J1276" s="15"/>
    </row>
    <row r="1277" customFormat="false" ht="15" hidden="false" customHeight="false" outlineLevel="0" collapsed="false">
      <c r="A1277" s="26"/>
      <c r="B1277" s="15"/>
      <c r="C1277" s="15"/>
      <c r="D1277" s="27"/>
      <c r="E1277" s="15"/>
      <c r="F1277" s="28"/>
      <c r="G1277" s="25" t="str">
        <f aca="true">IF(OR(D1277="",E1277=""),"",IFERROR(D1277*INDEX(UnidadesFactor,MATCH(E1277,Unidades,0)),""))</f>
        <v/>
      </c>
      <c r="H1277" s="17" t="str">
        <f aca="false">IF(I1277&lt;&gt;"OK","",IF(G1277=0,"",F1277/G1277))</f>
        <v/>
      </c>
      <c r="I1277" s="20" t="str">
        <f aca="true">IF(B1277="","",IF(ISNA(MATCH(B1277,ListaInsumos,0)),"Insumo no está en Insumos",IF(OR(D1277="",E1277="",F1277=""),"Faltan datos",IF(INDEX(UnidadesBase,MATCH(E1277,Unidades,0))&lt;&gt;INDEX(InsBase,MATCH(B1277,ListaInsumos,0)),"Unidad incompatible",IF(A1277="","Falta fecha","OK")))))</f>
        <v/>
      </c>
      <c r="J1277" s="15"/>
    </row>
    <row r="1278" customFormat="false" ht="15" hidden="false" customHeight="false" outlineLevel="0" collapsed="false">
      <c r="A1278" s="26"/>
      <c r="B1278" s="15"/>
      <c r="C1278" s="15"/>
      <c r="D1278" s="27"/>
      <c r="E1278" s="15"/>
      <c r="F1278" s="28"/>
      <c r="G1278" s="25" t="str">
        <f aca="true">IF(OR(D1278="",E1278=""),"",IFERROR(D1278*INDEX(UnidadesFactor,MATCH(E1278,Unidades,0)),""))</f>
        <v/>
      </c>
      <c r="H1278" s="17" t="str">
        <f aca="false">IF(I1278&lt;&gt;"OK","",IF(G1278=0,"",F1278/G1278))</f>
        <v/>
      </c>
      <c r="I1278" s="20" t="str">
        <f aca="true">IF(B1278="","",IF(ISNA(MATCH(B1278,ListaInsumos,0)),"Insumo no está en Insumos",IF(OR(D1278="",E1278="",F1278=""),"Faltan datos",IF(INDEX(UnidadesBase,MATCH(E1278,Unidades,0))&lt;&gt;INDEX(InsBase,MATCH(B1278,ListaInsumos,0)),"Unidad incompatible",IF(A1278="","Falta fecha","OK")))))</f>
        <v/>
      </c>
      <c r="J1278" s="15"/>
    </row>
    <row r="1279" customFormat="false" ht="15" hidden="false" customHeight="false" outlineLevel="0" collapsed="false">
      <c r="A1279" s="26"/>
      <c r="B1279" s="15"/>
      <c r="C1279" s="15"/>
      <c r="D1279" s="27"/>
      <c r="E1279" s="15"/>
      <c r="F1279" s="28"/>
      <c r="G1279" s="25" t="str">
        <f aca="true">IF(OR(D1279="",E1279=""),"",IFERROR(D1279*INDEX(UnidadesFactor,MATCH(E1279,Unidades,0)),""))</f>
        <v/>
      </c>
      <c r="H1279" s="17" t="str">
        <f aca="false">IF(I1279&lt;&gt;"OK","",IF(G1279=0,"",F1279/G1279))</f>
        <v/>
      </c>
      <c r="I1279" s="20" t="str">
        <f aca="true">IF(B1279="","",IF(ISNA(MATCH(B1279,ListaInsumos,0)),"Insumo no está en Insumos",IF(OR(D1279="",E1279="",F1279=""),"Faltan datos",IF(INDEX(UnidadesBase,MATCH(E1279,Unidades,0))&lt;&gt;INDEX(InsBase,MATCH(B1279,ListaInsumos,0)),"Unidad incompatible",IF(A1279="","Falta fecha","OK")))))</f>
        <v/>
      </c>
      <c r="J1279" s="15"/>
    </row>
    <row r="1280" customFormat="false" ht="15" hidden="false" customHeight="false" outlineLevel="0" collapsed="false">
      <c r="A1280" s="26"/>
      <c r="B1280" s="15"/>
      <c r="C1280" s="15"/>
      <c r="D1280" s="27"/>
      <c r="E1280" s="15"/>
      <c r="F1280" s="28"/>
      <c r="G1280" s="25" t="str">
        <f aca="true">IF(OR(D1280="",E1280=""),"",IFERROR(D1280*INDEX(UnidadesFactor,MATCH(E1280,Unidades,0)),""))</f>
        <v/>
      </c>
      <c r="H1280" s="17" t="str">
        <f aca="false">IF(I1280&lt;&gt;"OK","",IF(G1280=0,"",F1280/G1280))</f>
        <v/>
      </c>
      <c r="I1280" s="20" t="str">
        <f aca="true">IF(B1280="","",IF(ISNA(MATCH(B1280,ListaInsumos,0)),"Insumo no está en Insumos",IF(OR(D1280="",E1280="",F1280=""),"Faltan datos",IF(INDEX(UnidadesBase,MATCH(E1280,Unidades,0))&lt;&gt;INDEX(InsBase,MATCH(B1280,ListaInsumos,0)),"Unidad incompatible",IF(A1280="","Falta fecha","OK")))))</f>
        <v/>
      </c>
      <c r="J1280" s="15"/>
    </row>
    <row r="1281" customFormat="false" ht="15" hidden="false" customHeight="false" outlineLevel="0" collapsed="false">
      <c r="A1281" s="26"/>
      <c r="B1281" s="15"/>
      <c r="C1281" s="15"/>
      <c r="D1281" s="27"/>
      <c r="E1281" s="15"/>
      <c r="F1281" s="28"/>
      <c r="G1281" s="25" t="str">
        <f aca="true">IF(OR(D1281="",E1281=""),"",IFERROR(D1281*INDEX(UnidadesFactor,MATCH(E1281,Unidades,0)),""))</f>
        <v/>
      </c>
      <c r="H1281" s="17" t="str">
        <f aca="false">IF(I1281&lt;&gt;"OK","",IF(G1281=0,"",F1281/G1281))</f>
        <v/>
      </c>
      <c r="I1281" s="20" t="str">
        <f aca="true">IF(B1281="","",IF(ISNA(MATCH(B1281,ListaInsumos,0)),"Insumo no está en Insumos",IF(OR(D1281="",E1281="",F1281=""),"Faltan datos",IF(INDEX(UnidadesBase,MATCH(E1281,Unidades,0))&lt;&gt;INDEX(InsBase,MATCH(B1281,ListaInsumos,0)),"Unidad incompatible",IF(A1281="","Falta fecha","OK")))))</f>
        <v/>
      </c>
      <c r="J1281" s="15"/>
    </row>
    <row r="1282" customFormat="false" ht="15" hidden="false" customHeight="false" outlineLevel="0" collapsed="false">
      <c r="A1282" s="26"/>
      <c r="B1282" s="15"/>
      <c r="C1282" s="15"/>
      <c r="D1282" s="27"/>
      <c r="E1282" s="15"/>
      <c r="F1282" s="28"/>
      <c r="G1282" s="25" t="str">
        <f aca="true">IF(OR(D1282="",E1282=""),"",IFERROR(D1282*INDEX(UnidadesFactor,MATCH(E1282,Unidades,0)),""))</f>
        <v/>
      </c>
      <c r="H1282" s="17" t="str">
        <f aca="false">IF(I1282&lt;&gt;"OK","",IF(G1282=0,"",F1282/G1282))</f>
        <v/>
      </c>
      <c r="I1282" s="20" t="str">
        <f aca="true">IF(B1282="","",IF(ISNA(MATCH(B1282,ListaInsumos,0)),"Insumo no está en Insumos",IF(OR(D1282="",E1282="",F1282=""),"Faltan datos",IF(INDEX(UnidadesBase,MATCH(E1282,Unidades,0))&lt;&gt;INDEX(InsBase,MATCH(B1282,ListaInsumos,0)),"Unidad incompatible",IF(A1282="","Falta fecha","OK")))))</f>
        <v/>
      </c>
      <c r="J1282" s="15"/>
    </row>
    <row r="1283" customFormat="false" ht="15" hidden="false" customHeight="false" outlineLevel="0" collapsed="false">
      <c r="A1283" s="26"/>
      <c r="B1283" s="15"/>
      <c r="C1283" s="15"/>
      <c r="D1283" s="27"/>
      <c r="E1283" s="15"/>
      <c r="F1283" s="28"/>
      <c r="G1283" s="25" t="str">
        <f aca="true">IF(OR(D1283="",E1283=""),"",IFERROR(D1283*INDEX(UnidadesFactor,MATCH(E1283,Unidades,0)),""))</f>
        <v/>
      </c>
      <c r="H1283" s="17" t="str">
        <f aca="false">IF(I1283&lt;&gt;"OK","",IF(G1283=0,"",F1283/G1283))</f>
        <v/>
      </c>
      <c r="I1283" s="20" t="str">
        <f aca="true">IF(B1283="","",IF(ISNA(MATCH(B1283,ListaInsumos,0)),"Insumo no está en Insumos",IF(OR(D1283="",E1283="",F1283=""),"Faltan datos",IF(INDEX(UnidadesBase,MATCH(E1283,Unidades,0))&lt;&gt;INDEX(InsBase,MATCH(B1283,ListaInsumos,0)),"Unidad incompatible",IF(A1283="","Falta fecha","OK")))))</f>
        <v/>
      </c>
      <c r="J1283" s="15"/>
    </row>
    <row r="1284" customFormat="false" ht="15" hidden="false" customHeight="false" outlineLevel="0" collapsed="false">
      <c r="A1284" s="26"/>
      <c r="B1284" s="15"/>
      <c r="C1284" s="15"/>
      <c r="D1284" s="27"/>
      <c r="E1284" s="15"/>
      <c r="F1284" s="28"/>
      <c r="G1284" s="25" t="str">
        <f aca="true">IF(OR(D1284="",E1284=""),"",IFERROR(D1284*INDEX(UnidadesFactor,MATCH(E1284,Unidades,0)),""))</f>
        <v/>
      </c>
      <c r="H1284" s="17" t="str">
        <f aca="false">IF(I1284&lt;&gt;"OK","",IF(G1284=0,"",F1284/G1284))</f>
        <v/>
      </c>
      <c r="I1284" s="20" t="str">
        <f aca="true">IF(B1284="","",IF(ISNA(MATCH(B1284,ListaInsumos,0)),"Insumo no está en Insumos",IF(OR(D1284="",E1284="",F1284=""),"Faltan datos",IF(INDEX(UnidadesBase,MATCH(E1284,Unidades,0))&lt;&gt;INDEX(InsBase,MATCH(B1284,ListaInsumos,0)),"Unidad incompatible",IF(A1284="","Falta fecha","OK")))))</f>
        <v/>
      </c>
      <c r="J1284" s="15"/>
    </row>
    <row r="1285" customFormat="false" ht="15" hidden="false" customHeight="false" outlineLevel="0" collapsed="false">
      <c r="A1285" s="26"/>
      <c r="B1285" s="15"/>
      <c r="C1285" s="15"/>
      <c r="D1285" s="27"/>
      <c r="E1285" s="15"/>
      <c r="F1285" s="28"/>
      <c r="G1285" s="25" t="str">
        <f aca="true">IF(OR(D1285="",E1285=""),"",IFERROR(D1285*INDEX(UnidadesFactor,MATCH(E1285,Unidades,0)),""))</f>
        <v/>
      </c>
      <c r="H1285" s="17" t="str">
        <f aca="false">IF(I1285&lt;&gt;"OK","",IF(G1285=0,"",F1285/G1285))</f>
        <v/>
      </c>
      <c r="I1285" s="20" t="str">
        <f aca="true">IF(B1285="","",IF(ISNA(MATCH(B1285,ListaInsumos,0)),"Insumo no está en Insumos",IF(OR(D1285="",E1285="",F1285=""),"Faltan datos",IF(INDEX(UnidadesBase,MATCH(E1285,Unidades,0))&lt;&gt;INDEX(InsBase,MATCH(B1285,ListaInsumos,0)),"Unidad incompatible",IF(A1285="","Falta fecha","OK")))))</f>
        <v/>
      </c>
      <c r="J1285" s="15"/>
    </row>
    <row r="1286" customFormat="false" ht="15" hidden="false" customHeight="false" outlineLevel="0" collapsed="false">
      <c r="A1286" s="26"/>
      <c r="B1286" s="15"/>
      <c r="C1286" s="15"/>
      <c r="D1286" s="27"/>
      <c r="E1286" s="15"/>
      <c r="F1286" s="28"/>
      <c r="G1286" s="25" t="str">
        <f aca="true">IF(OR(D1286="",E1286=""),"",IFERROR(D1286*INDEX(UnidadesFactor,MATCH(E1286,Unidades,0)),""))</f>
        <v/>
      </c>
      <c r="H1286" s="17" t="str">
        <f aca="false">IF(I1286&lt;&gt;"OK","",IF(G1286=0,"",F1286/G1286))</f>
        <v/>
      </c>
      <c r="I1286" s="20" t="str">
        <f aca="true">IF(B1286="","",IF(ISNA(MATCH(B1286,ListaInsumos,0)),"Insumo no está en Insumos",IF(OR(D1286="",E1286="",F1286=""),"Faltan datos",IF(INDEX(UnidadesBase,MATCH(E1286,Unidades,0))&lt;&gt;INDEX(InsBase,MATCH(B1286,ListaInsumos,0)),"Unidad incompatible",IF(A1286="","Falta fecha","OK")))))</f>
        <v/>
      </c>
      <c r="J1286" s="15"/>
    </row>
    <row r="1287" customFormat="false" ht="15" hidden="false" customHeight="false" outlineLevel="0" collapsed="false">
      <c r="A1287" s="26"/>
      <c r="B1287" s="15"/>
      <c r="C1287" s="15"/>
      <c r="D1287" s="27"/>
      <c r="E1287" s="15"/>
      <c r="F1287" s="28"/>
      <c r="G1287" s="25" t="str">
        <f aca="true">IF(OR(D1287="",E1287=""),"",IFERROR(D1287*INDEX(UnidadesFactor,MATCH(E1287,Unidades,0)),""))</f>
        <v/>
      </c>
      <c r="H1287" s="17" t="str">
        <f aca="false">IF(I1287&lt;&gt;"OK","",IF(G1287=0,"",F1287/G1287))</f>
        <v/>
      </c>
      <c r="I1287" s="20" t="str">
        <f aca="true">IF(B1287="","",IF(ISNA(MATCH(B1287,ListaInsumos,0)),"Insumo no está en Insumos",IF(OR(D1287="",E1287="",F1287=""),"Faltan datos",IF(INDEX(UnidadesBase,MATCH(E1287,Unidades,0))&lt;&gt;INDEX(InsBase,MATCH(B1287,ListaInsumos,0)),"Unidad incompatible",IF(A1287="","Falta fecha","OK")))))</f>
        <v/>
      </c>
      <c r="J1287" s="15"/>
    </row>
    <row r="1288" customFormat="false" ht="15" hidden="false" customHeight="false" outlineLevel="0" collapsed="false">
      <c r="A1288" s="26"/>
      <c r="B1288" s="15"/>
      <c r="C1288" s="15"/>
      <c r="D1288" s="27"/>
      <c r="E1288" s="15"/>
      <c r="F1288" s="28"/>
      <c r="G1288" s="25" t="str">
        <f aca="true">IF(OR(D1288="",E1288=""),"",IFERROR(D1288*INDEX(UnidadesFactor,MATCH(E1288,Unidades,0)),""))</f>
        <v/>
      </c>
      <c r="H1288" s="17" t="str">
        <f aca="false">IF(I1288&lt;&gt;"OK","",IF(G1288=0,"",F1288/G1288))</f>
        <v/>
      </c>
      <c r="I1288" s="20" t="str">
        <f aca="true">IF(B1288="","",IF(ISNA(MATCH(B1288,ListaInsumos,0)),"Insumo no está en Insumos",IF(OR(D1288="",E1288="",F1288=""),"Faltan datos",IF(INDEX(UnidadesBase,MATCH(E1288,Unidades,0))&lt;&gt;INDEX(InsBase,MATCH(B1288,ListaInsumos,0)),"Unidad incompatible",IF(A1288="","Falta fecha","OK")))))</f>
        <v/>
      </c>
      <c r="J1288" s="15"/>
    </row>
    <row r="1289" customFormat="false" ht="15" hidden="false" customHeight="false" outlineLevel="0" collapsed="false">
      <c r="A1289" s="26"/>
      <c r="B1289" s="15"/>
      <c r="C1289" s="15"/>
      <c r="D1289" s="27"/>
      <c r="E1289" s="15"/>
      <c r="F1289" s="28"/>
      <c r="G1289" s="25" t="str">
        <f aca="true">IF(OR(D1289="",E1289=""),"",IFERROR(D1289*INDEX(UnidadesFactor,MATCH(E1289,Unidades,0)),""))</f>
        <v/>
      </c>
      <c r="H1289" s="17" t="str">
        <f aca="false">IF(I1289&lt;&gt;"OK","",IF(G1289=0,"",F1289/G1289))</f>
        <v/>
      </c>
      <c r="I1289" s="20" t="str">
        <f aca="true">IF(B1289="","",IF(ISNA(MATCH(B1289,ListaInsumos,0)),"Insumo no está en Insumos",IF(OR(D1289="",E1289="",F1289=""),"Faltan datos",IF(INDEX(UnidadesBase,MATCH(E1289,Unidades,0))&lt;&gt;INDEX(InsBase,MATCH(B1289,ListaInsumos,0)),"Unidad incompatible",IF(A1289="","Falta fecha","OK")))))</f>
        <v/>
      </c>
      <c r="J1289" s="15"/>
    </row>
    <row r="1290" customFormat="false" ht="15" hidden="false" customHeight="false" outlineLevel="0" collapsed="false">
      <c r="A1290" s="26"/>
      <c r="B1290" s="15"/>
      <c r="C1290" s="15"/>
      <c r="D1290" s="27"/>
      <c r="E1290" s="15"/>
      <c r="F1290" s="28"/>
      <c r="G1290" s="25" t="str">
        <f aca="true">IF(OR(D1290="",E1290=""),"",IFERROR(D1290*INDEX(UnidadesFactor,MATCH(E1290,Unidades,0)),""))</f>
        <v/>
      </c>
      <c r="H1290" s="17" t="str">
        <f aca="false">IF(I1290&lt;&gt;"OK","",IF(G1290=0,"",F1290/G1290))</f>
        <v/>
      </c>
      <c r="I1290" s="20" t="str">
        <f aca="true">IF(B1290="","",IF(ISNA(MATCH(B1290,ListaInsumos,0)),"Insumo no está en Insumos",IF(OR(D1290="",E1290="",F1290=""),"Faltan datos",IF(INDEX(UnidadesBase,MATCH(E1290,Unidades,0))&lt;&gt;INDEX(InsBase,MATCH(B1290,ListaInsumos,0)),"Unidad incompatible",IF(A1290="","Falta fecha","OK")))))</f>
        <v/>
      </c>
      <c r="J1290" s="15"/>
    </row>
    <row r="1291" customFormat="false" ht="15" hidden="false" customHeight="false" outlineLevel="0" collapsed="false">
      <c r="A1291" s="26"/>
      <c r="B1291" s="15"/>
      <c r="C1291" s="15"/>
      <c r="D1291" s="27"/>
      <c r="E1291" s="15"/>
      <c r="F1291" s="28"/>
      <c r="G1291" s="25" t="str">
        <f aca="true">IF(OR(D1291="",E1291=""),"",IFERROR(D1291*INDEX(UnidadesFactor,MATCH(E1291,Unidades,0)),""))</f>
        <v/>
      </c>
      <c r="H1291" s="17" t="str">
        <f aca="false">IF(I1291&lt;&gt;"OK","",IF(G1291=0,"",F1291/G1291))</f>
        <v/>
      </c>
      <c r="I1291" s="20" t="str">
        <f aca="true">IF(B1291="","",IF(ISNA(MATCH(B1291,ListaInsumos,0)),"Insumo no está en Insumos",IF(OR(D1291="",E1291="",F1291=""),"Faltan datos",IF(INDEX(UnidadesBase,MATCH(E1291,Unidades,0))&lt;&gt;INDEX(InsBase,MATCH(B1291,ListaInsumos,0)),"Unidad incompatible",IF(A1291="","Falta fecha","OK")))))</f>
        <v/>
      </c>
      <c r="J1291" s="15"/>
    </row>
    <row r="1292" customFormat="false" ht="15" hidden="false" customHeight="false" outlineLevel="0" collapsed="false">
      <c r="A1292" s="26"/>
      <c r="B1292" s="15"/>
      <c r="C1292" s="15"/>
      <c r="D1292" s="27"/>
      <c r="E1292" s="15"/>
      <c r="F1292" s="28"/>
      <c r="G1292" s="25" t="str">
        <f aca="true">IF(OR(D1292="",E1292=""),"",IFERROR(D1292*INDEX(UnidadesFactor,MATCH(E1292,Unidades,0)),""))</f>
        <v/>
      </c>
      <c r="H1292" s="17" t="str">
        <f aca="false">IF(I1292&lt;&gt;"OK","",IF(G1292=0,"",F1292/G1292))</f>
        <v/>
      </c>
      <c r="I1292" s="20" t="str">
        <f aca="true">IF(B1292="","",IF(ISNA(MATCH(B1292,ListaInsumos,0)),"Insumo no está en Insumos",IF(OR(D1292="",E1292="",F1292=""),"Faltan datos",IF(INDEX(UnidadesBase,MATCH(E1292,Unidades,0))&lt;&gt;INDEX(InsBase,MATCH(B1292,ListaInsumos,0)),"Unidad incompatible",IF(A1292="","Falta fecha","OK")))))</f>
        <v/>
      </c>
      <c r="J1292" s="15"/>
    </row>
    <row r="1293" customFormat="false" ht="15" hidden="false" customHeight="false" outlineLevel="0" collapsed="false">
      <c r="A1293" s="26"/>
      <c r="B1293" s="15"/>
      <c r="C1293" s="15"/>
      <c r="D1293" s="27"/>
      <c r="E1293" s="15"/>
      <c r="F1293" s="28"/>
      <c r="G1293" s="25" t="str">
        <f aca="true">IF(OR(D1293="",E1293=""),"",IFERROR(D1293*INDEX(UnidadesFactor,MATCH(E1293,Unidades,0)),""))</f>
        <v/>
      </c>
      <c r="H1293" s="17" t="str">
        <f aca="false">IF(I1293&lt;&gt;"OK","",IF(G1293=0,"",F1293/G1293))</f>
        <v/>
      </c>
      <c r="I1293" s="20" t="str">
        <f aca="true">IF(B1293="","",IF(ISNA(MATCH(B1293,ListaInsumos,0)),"Insumo no está en Insumos",IF(OR(D1293="",E1293="",F1293=""),"Faltan datos",IF(INDEX(UnidadesBase,MATCH(E1293,Unidades,0))&lt;&gt;INDEX(InsBase,MATCH(B1293,ListaInsumos,0)),"Unidad incompatible",IF(A1293="","Falta fecha","OK")))))</f>
        <v/>
      </c>
      <c r="J1293" s="15"/>
    </row>
    <row r="1294" customFormat="false" ht="15" hidden="false" customHeight="false" outlineLevel="0" collapsed="false">
      <c r="A1294" s="26"/>
      <c r="B1294" s="15"/>
      <c r="C1294" s="15"/>
      <c r="D1294" s="27"/>
      <c r="E1294" s="15"/>
      <c r="F1294" s="28"/>
      <c r="G1294" s="25" t="str">
        <f aca="true">IF(OR(D1294="",E1294=""),"",IFERROR(D1294*INDEX(UnidadesFactor,MATCH(E1294,Unidades,0)),""))</f>
        <v/>
      </c>
      <c r="H1294" s="17" t="str">
        <f aca="false">IF(I1294&lt;&gt;"OK","",IF(G1294=0,"",F1294/G1294))</f>
        <v/>
      </c>
      <c r="I1294" s="20" t="str">
        <f aca="true">IF(B1294="","",IF(ISNA(MATCH(B1294,ListaInsumos,0)),"Insumo no está en Insumos",IF(OR(D1294="",E1294="",F1294=""),"Faltan datos",IF(INDEX(UnidadesBase,MATCH(E1294,Unidades,0))&lt;&gt;INDEX(InsBase,MATCH(B1294,ListaInsumos,0)),"Unidad incompatible",IF(A1294="","Falta fecha","OK")))))</f>
        <v/>
      </c>
      <c r="J1294" s="15"/>
    </row>
    <row r="1295" customFormat="false" ht="15" hidden="false" customHeight="false" outlineLevel="0" collapsed="false">
      <c r="A1295" s="26"/>
      <c r="B1295" s="15"/>
      <c r="C1295" s="15"/>
      <c r="D1295" s="27"/>
      <c r="E1295" s="15"/>
      <c r="F1295" s="28"/>
      <c r="G1295" s="25" t="str">
        <f aca="true">IF(OR(D1295="",E1295=""),"",IFERROR(D1295*INDEX(UnidadesFactor,MATCH(E1295,Unidades,0)),""))</f>
        <v/>
      </c>
      <c r="H1295" s="17" t="str">
        <f aca="false">IF(I1295&lt;&gt;"OK","",IF(G1295=0,"",F1295/G1295))</f>
        <v/>
      </c>
      <c r="I1295" s="20" t="str">
        <f aca="true">IF(B1295="","",IF(ISNA(MATCH(B1295,ListaInsumos,0)),"Insumo no está en Insumos",IF(OR(D1295="",E1295="",F1295=""),"Faltan datos",IF(INDEX(UnidadesBase,MATCH(E1295,Unidades,0))&lt;&gt;INDEX(InsBase,MATCH(B1295,ListaInsumos,0)),"Unidad incompatible",IF(A1295="","Falta fecha","OK")))))</f>
        <v/>
      </c>
      <c r="J1295" s="15"/>
    </row>
    <row r="1296" customFormat="false" ht="15" hidden="false" customHeight="false" outlineLevel="0" collapsed="false">
      <c r="A1296" s="26"/>
      <c r="B1296" s="15"/>
      <c r="C1296" s="15"/>
      <c r="D1296" s="27"/>
      <c r="E1296" s="15"/>
      <c r="F1296" s="28"/>
      <c r="G1296" s="25" t="str">
        <f aca="true">IF(OR(D1296="",E1296=""),"",IFERROR(D1296*INDEX(UnidadesFactor,MATCH(E1296,Unidades,0)),""))</f>
        <v/>
      </c>
      <c r="H1296" s="17" t="str">
        <f aca="false">IF(I1296&lt;&gt;"OK","",IF(G1296=0,"",F1296/G1296))</f>
        <v/>
      </c>
      <c r="I1296" s="20" t="str">
        <f aca="true">IF(B1296="","",IF(ISNA(MATCH(B1296,ListaInsumos,0)),"Insumo no está en Insumos",IF(OR(D1296="",E1296="",F1296=""),"Faltan datos",IF(INDEX(UnidadesBase,MATCH(E1296,Unidades,0))&lt;&gt;INDEX(InsBase,MATCH(B1296,ListaInsumos,0)),"Unidad incompatible",IF(A1296="","Falta fecha","OK")))))</f>
        <v/>
      </c>
      <c r="J1296" s="15"/>
    </row>
    <row r="1297" customFormat="false" ht="15" hidden="false" customHeight="false" outlineLevel="0" collapsed="false">
      <c r="A1297" s="26"/>
      <c r="B1297" s="15"/>
      <c r="C1297" s="15"/>
      <c r="D1297" s="27"/>
      <c r="E1297" s="15"/>
      <c r="F1297" s="28"/>
      <c r="G1297" s="25" t="str">
        <f aca="true">IF(OR(D1297="",E1297=""),"",IFERROR(D1297*INDEX(UnidadesFactor,MATCH(E1297,Unidades,0)),""))</f>
        <v/>
      </c>
      <c r="H1297" s="17" t="str">
        <f aca="false">IF(I1297&lt;&gt;"OK","",IF(G1297=0,"",F1297/G1297))</f>
        <v/>
      </c>
      <c r="I1297" s="20" t="str">
        <f aca="true">IF(B1297="","",IF(ISNA(MATCH(B1297,ListaInsumos,0)),"Insumo no está en Insumos",IF(OR(D1297="",E1297="",F1297=""),"Faltan datos",IF(INDEX(UnidadesBase,MATCH(E1297,Unidades,0))&lt;&gt;INDEX(InsBase,MATCH(B1297,ListaInsumos,0)),"Unidad incompatible",IF(A1297="","Falta fecha","OK")))))</f>
        <v/>
      </c>
      <c r="J1297" s="15"/>
    </row>
    <row r="1298" customFormat="false" ht="15" hidden="false" customHeight="false" outlineLevel="0" collapsed="false">
      <c r="A1298" s="26"/>
      <c r="B1298" s="15"/>
      <c r="C1298" s="15"/>
      <c r="D1298" s="27"/>
      <c r="E1298" s="15"/>
      <c r="F1298" s="28"/>
      <c r="G1298" s="25" t="str">
        <f aca="true">IF(OR(D1298="",E1298=""),"",IFERROR(D1298*INDEX(UnidadesFactor,MATCH(E1298,Unidades,0)),""))</f>
        <v/>
      </c>
      <c r="H1298" s="17" t="str">
        <f aca="false">IF(I1298&lt;&gt;"OK","",IF(G1298=0,"",F1298/G1298))</f>
        <v/>
      </c>
      <c r="I1298" s="20" t="str">
        <f aca="true">IF(B1298="","",IF(ISNA(MATCH(B1298,ListaInsumos,0)),"Insumo no está en Insumos",IF(OR(D1298="",E1298="",F1298=""),"Faltan datos",IF(INDEX(UnidadesBase,MATCH(E1298,Unidades,0))&lt;&gt;INDEX(InsBase,MATCH(B1298,ListaInsumos,0)),"Unidad incompatible",IF(A1298="","Falta fecha","OK")))))</f>
        <v/>
      </c>
      <c r="J1298" s="15"/>
    </row>
    <row r="1299" customFormat="false" ht="15" hidden="false" customHeight="false" outlineLevel="0" collapsed="false">
      <c r="A1299" s="26"/>
      <c r="B1299" s="15"/>
      <c r="C1299" s="15"/>
      <c r="D1299" s="27"/>
      <c r="E1299" s="15"/>
      <c r="F1299" s="28"/>
      <c r="G1299" s="25" t="str">
        <f aca="true">IF(OR(D1299="",E1299=""),"",IFERROR(D1299*INDEX(UnidadesFactor,MATCH(E1299,Unidades,0)),""))</f>
        <v/>
      </c>
      <c r="H1299" s="17" t="str">
        <f aca="false">IF(I1299&lt;&gt;"OK","",IF(G1299=0,"",F1299/G1299))</f>
        <v/>
      </c>
      <c r="I1299" s="20" t="str">
        <f aca="true">IF(B1299="","",IF(ISNA(MATCH(B1299,ListaInsumos,0)),"Insumo no está en Insumos",IF(OR(D1299="",E1299="",F1299=""),"Faltan datos",IF(INDEX(UnidadesBase,MATCH(E1299,Unidades,0))&lt;&gt;INDEX(InsBase,MATCH(B1299,ListaInsumos,0)),"Unidad incompatible",IF(A1299="","Falta fecha","OK")))))</f>
        <v/>
      </c>
      <c r="J1299" s="15"/>
    </row>
    <row r="1300" customFormat="false" ht="15" hidden="false" customHeight="false" outlineLevel="0" collapsed="false">
      <c r="A1300" s="26"/>
      <c r="B1300" s="15"/>
      <c r="C1300" s="15"/>
      <c r="D1300" s="27"/>
      <c r="E1300" s="15"/>
      <c r="F1300" s="28"/>
      <c r="G1300" s="25" t="str">
        <f aca="true">IF(OR(D1300="",E1300=""),"",IFERROR(D1300*INDEX(UnidadesFactor,MATCH(E1300,Unidades,0)),""))</f>
        <v/>
      </c>
      <c r="H1300" s="17" t="str">
        <f aca="false">IF(I1300&lt;&gt;"OK","",IF(G1300=0,"",F1300/G1300))</f>
        <v/>
      </c>
      <c r="I1300" s="20" t="str">
        <f aca="true">IF(B1300="","",IF(ISNA(MATCH(B1300,ListaInsumos,0)),"Insumo no está en Insumos",IF(OR(D1300="",E1300="",F1300=""),"Faltan datos",IF(INDEX(UnidadesBase,MATCH(E1300,Unidades,0))&lt;&gt;INDEX(InsBase,MATCH(B1300,ListaInsumos,0)),"Unidad incompatible",IF(A1300="","Falta fecha","OK")))))</f>
        <v/>
      </c>
      <c r="J1300" s="15"/>
    </row>
    <row r="1301" customFormat="false" ht="15" hidden="false" customHeight="false" outlineLevel="0" collapsed="false">
      <c r="A1301" s="26"/>
      <c r="B1301" s="15"/>
      <c r="C1301" s="15"/>
      <c r="D1301" s="27"/>
      <c r="E1301" s="15"/>
      <c r="F1301" s="28"/>
      <c r="G1301" s="25" t="str">
        <f aca="true">IF(OR(D1301="",E1301=""),"",IFERROR(D1301*INDEX(UnidadesFactor,MATCH(E1301,Unidades,0)),""))</f>
        <v/>
      </c>
      <c r="H1301" s="17" t="str">
        <f aca="false">IF(I1301&lt;&gt;"OK","",IF(G1301=0,"",F1301/G1301))</f>
        <v/>
      </c>
      <c r="I1301" s="20" t="str">
        <f aca="true">IF(B1301="","",IF(ISNA(MATCH(B1301,ListaInsumos,0)),"Insumo no está en Insumos",IF(OR(D1301="",E1301="",F1301=""),"Faltan datos",IF(INDEX(UnidadesBase,MATCH(E1301,Unidades,0))&lt;&gt;INDEX(InsBase,MATCH(B1301,ListaInsumos,0)),"Unidad incompatible",IF(A1301="","Falta fecha","OK")))))</f>
        <v/>
      </c>
      <c r="J1301" s="15"/>
    </row>
    <row r="1302" customFormat="false" ht="15" hidden="false" customHeight="false" outlineLevel="0" collapsed="false">
      <c r="A1302" s="26"/>
      <c r="B1302" s="15"/>
      <c r="C1302" s="15"/>
      <c r="D1302" s="27"/>
      <c r="E1302" s="15"/>
      <c r="F1302" s="28"/>
      <c r="G1302" s="25" t="str">
        <f aca="true">IF(OR(D1302="",E1302=""),"",IFERROR(D1302*INDEX(UnidadesFactor,MATCH(E1302,Unidades,0)),""))</f>
        <v/>
      </c>
      <c r="H1302" s="17" t="str">
        <f aca="false">IF(I1302&lt;&gt;"OK","",IF(G1302=0,"",F1302/G1302))</f>
        <v/>
      </c>
      <c r="I1302" s="20" t="str">
        <f aca="true">IF(B1302="","",IF(ISNA(MATCH(B1302,ListaInsumos,0)),"Insumo no está en Insumos",IF(OR(D1302="",E1302="",F1302=""),"Faltan datos",IF(INDEX(UnidadesBase,MATCH(E1302,Unidades,0))&lt;&gt;INDEX(InsBase,MATCH(B1302,ListaInsumos,0)),"Unidad incompatible",IF(A1302="","Falta fecha","OK")))))</f>
        <v/>
      </c>
      <c r="J1302" s="15"/>
    </row>
    <row r="1303" customFormat="false" ht="15" hidden="false" customHeight="false" outlineLevel="0" collapsed="false">
      <c r="A1303" s="26"/>
      <c r="B1303" s="15"/>
      <c r="C1303" s="15"/>
      <c r="D1303" s="27"/>
      <c r="E1303" s="15"/>
      <c r="F1303" s="28"/>
      <c r="G1303" s="25" t="str">
        <f aca="true">IF(OR(D1303="",E1303=""),"",IFERROR(D1303*INDEX(UnidadesFactor,MATCH(E1303,Unidades,0)),""))</f>
        <v/>
      </c>
      <c r="H1303" s="17" t="str">
        <f aca="false">IF(I1303&lt;&gt;"OK","",IF(G1303=0,"",F1303/G1303))</f>
        <v/>
      </c>
      <c r="I1303" s="20" t="str">
        <f aca="true">IF(B1303="","",IF(ISNA(MATCH(B1303,ListaInsumos,0)),"Insumo no está en Insumos",IF(OR(D1303="",E1303="",F1303=""),"Faltan datos",IF(INDEX(UnidadesBase,MATCH(E1303,Unidades,0))&lt;&gt;INDEX(InsBase,MATCH(B1303,ListaInsumos,0)),"Unidad incompatible",IF(A1303="","Falta fecha","OK")))))</f>
        <v/>
      </c>
      <c r="J1303" s="15"/>
    </row>
    <row r="1304" customFormat="false" ht="15" hidden="false" customHeight="false" outlineLevel="0" collapsed="false">
      <c r="A1304" s="26"/>
      <c r="B1304" s="15"/>
      <c r="C1304" s="15"/>
      <c r="D1304" s="27"/>
      <c r="E1304" s="15"/>
      <c r="F1304" s="28"/>
      <c r="G1304" s="25" t="str">
        <f aca="true">IF(OR(D1304="",E1304=""),"",IFERROR(D1304*INDEX(UnidadesFactor,MATCH(E1304,Unidades,0)),""))</f>
        <v/>
      </c>
      <c r="H1304" s="17" t="str">
        <f aca="false">IF(I1304&lt;&gt;"OK","",IF(G1304=0,"",F1304/G1304))</f>
        <v/>
      </c>
      <c r="I1304" s="20" t="str">
        <f aca="true">IF(B1304="","",IF(ISNA(MATCH(B1304,ListaInsumos,0)),"Insumo no está en Insumos",IF(OR(D1304="",E1304="",F1304=""),"Faltan datos",IF(INDEX(UnidadesBase,MATCH(E1304,Unidades,0))&lt;&gt;INDEX(InsBase,MATCH(B1304,ListaInsumos,0)),"Unidad incompatible",IF(A1304="","Falta fecha","OK")))))</f>
        <v/>
      </c>
      <c r="J1304" s="15"/>
    </row>
    <row r="1305" customFormat="false" ht="15" hidden="false" customHeight="false" outlineLevel="0" collapsed="false">
      <c r="A1305" s="26"/>
      <c r="B1305" s="15"/>
      <c r="C1305" s="15"/>
      <c r="D1305" s="27"/>
      <c r="E1305" s="15"/>
      <c r="F1305" s="28"/>
      <c r="G1305" s="25" t="str">
        <f aca="true">IF(OR(D1305="",E1305=""),"",IFERROR(D1305*INDEX(UnidadesFactor,MATCH(E1305,Unidades,0)),""))</f>
        <v/>
      </c>
      <c r="H1305" s="17" t="str">
        <f aca="false">IF(I1305&lt;&gt;"OK","",IF(G1305=0,"",F1305/G1305))</f>
        <v/>
      </c>
      <c r="I1305" s="20" t="str">
        <f aca="true">IF(B1305="","",IF(ISNA(MATCH(B1305,ListaInsumos,0)),"Insumo no está en Insumos",IF(OR(D1305="",E1305="",F1305=""),"Faltan datos",IF(INDEX(UnidadesBase,MATCH(E1305,Unidades,0))&lt;&gt;INDEX(InsBase,MATCH(B1305,ListaInsumos,0)),"Unidad incompatible",IF(A1305="","Falta fecha","OK")))))</f>
        <v/>
      </c>
      <c r="J1305" s="15"/>
    </row>
    <row r="1306" customFormat="false" ht="15" hidden="false" customHeight="false" outlineLevel="0" collapsed="false">
      <c r="A1306" s="26"/>
      <c r="B1306" s="15"/>
      <c r="C1306" s="15"/>
      <c r="D1306" s="27"/>
      <c r="E1306" s="15"/>
      <c r="F1306" s="28"/>
      <c r="G1306" s="25" t="str">
        <f aca="true">IF(OR(D1306="",E1306=""),"",IFERROR(D1306*INDEX(UnidadesFactor,MATCH(E1306,Unidades,0)),""))</f>
        <v/>
      </c>
      <c r="H1306" s="17" t="str">
        <f aca="false">IF(I1306&lt;&gt;"OK","",IF(G1306=0,"",F1306/G1306))</f>
        <v/>
      </c>
      <c r="I1306" s="20" t="str">
        <f aca="true">IF(B1306="","",IF(ISNA(MATCH(B1306,ListaInsumos,0)),"Insumo no está en Insumos",IF(OR(D1306="",E1306="",F1306=""),"Faltan datos",IF(INDEX(UnidadesBase,MATCH(E1306,Unidades,0))&lt;&gt;INDEX(InsBase,MATCH(B1306,ListaInsumos,0)),"Unidad incompatible",IF(A1306="","Falta fecha","OK")))))</f>
        <v/>
      </c>
      <c r="J1306" s="15"/>
    </row>
    <row r="1307" customFormat="false" ht="15" hidden="false" customHeight="false" outlineLevel="0" collapsed="false">
      <c r="A1307" s="26"/>
      <c r="B1307" s="15"/>
      <c r="C1307" s="15"/>
      <c r="D1307" s="27"/>
      <c r="E1307" s="15"/>
      <c r="F1307" s="28"/>
      <c r="G1307" s="25" t="str">
        <f aca="true">IF(OR(D1307="",E1307=""),"",IFERROR(D1307*INDEX(UnidadesFactor,MATCH(E1307,Unidades,0)),""))</f>
        <v/>
      </c>
      <c r="H1307" s="17" t="str">
        <f aca="false">IF(I1307&lt;&gt;"OK","",IF(G1307=0,"",F1307/G1307))</f>
        <v/>
      </c>
      <c r="I1307" s="20" t="str">
        <f aca="true">IF(B1307="","",IF(ISNA(MATCH(B1307,ListaInsumos,0)),"Insumo no está en Insumos",IF(OR(D1307="",E1307="",F1307=""),"Faltan datos",IF(INDEX(UnidadesBase,MATCH(E1307,Unidades,0))&lt;&gt;INDEX(InsBase,MATCH(B1307,ListaInsumos,0)),"Unidad incompatible",IF(A1307="","Falta fecha","OK")))))</f>
        <v/>
      </c>
      <c r="J1307" s="15"/>
    </row>
    <row r="1308" customFormat="false" ht="15" hidden="false" customHeight="false" outlineLevel="0" collapsed="false">
      <c r="A1308" s="26"/>
      <c r="B1308" s="15"/>
      <c r="C1308" s="15"/>
      <c r="D1308" s="27"/>
      <c r="E1308" s="15"/>
      <c r="F1308" s="28"/>
      <c r="G1308" s="25" t="str">
        <f aca="true">IF(OR(D1308="",E1308=""),"",IFERROR(D1308*INDEX(UnidadesFactor,MATCH(E1308,Unidades,0)),""))</f>
        <v/>
      </c>
      <c r="H1308" s="17" t="str">
        <f aca="false">IF(I1308&lt;&gt;"OK","",IF(G1308=0,"",F1308/G1308))</f>
        <v/>
      </c>
      <c r="I1308" s="20" t="str">
        <f aca="true">IF(B1308="","",IF(ISNA(MATCH(B1308,ListaInsumos,0)),"Insumo no está en Insumos",IF(OR(D1308="",E1308="",F1308=""),"Faltan datos",IF(INDEX(UnidadesBase,MATCH(E1308,Unidades,0))&lt;&gt;INDEX(InsBase,MATCH(B1308,ListaInsumos,0)),"Unidad incompatible",IF(A1308="","Falta fecha","OK")))))</f>
        <v/>
      </c>
      <c r="J1308" s="15"/>
    </row>
    <row r="1309" customFormat="false" ht="15" hidden="false" customHeight="false" outlineLevel="0" collapsed="false">
      <c r="A1309" s="26"/>
      <c r="B1309" s="15"/>
      <c r="C1309" s="15"/>
      <c r="D1309" s="27"/>
      <c r="E1309" s="15"/>
      <c r="F1309" s="28"/>
      <c r="G1309" s="25" t="str">
        <f aca="true">IF(OR(D1309="",E1309=""),"",IFERROR(D1309*INDEX(UnidadesFactor,MATCH(E1309,Unidades,0)),""))</f>
        <v/>
      </c>
      <c r="H1309" s="17" t="str">
        <f aca="false">IF(I1309&lt;&gt;"OK","",IF(G1309=0,"",F1309/G1309))</f>
        <v/>
      </c>
      <c r="I1309" s="20" t="str">
        <f aca="true">IF(B1309="","",IF(ISNA(MATCH(B1309,ListaInsumos,0)),"Insumo no está en Insumos",IF(OR(D1309="",E1309="",F1309=""),"Faltan datos",IF(INDEX(UnidadesBase,MATCH(E1309,Unidades,0))&lt;&gt;INDEX(InsBase,MATCH(B1309,ListaInsumos,0)),"Unidad incompatible",IF(A1309="","Falta fecha","OK")))))</f>
        <v/>
      </c>
      <c r="J1309" s="15"/>
    </row>
    <row r="1310" customFormat="false" ht="15" hidden="false" customHeight="false" outlineLevel="0" collapsed="false">
      <c r="A1310" s="26"/>
      <c r="B1310" s="15"/>
      <c r="C1310" s="15"/>
      <c r="D1310" s="27"/>
      <c r="E1310" s="15"/>
      <c r="F1310" s="28"/>
      <c r="G1310" s="25" t="str">
        <f aca="true">IF(OR(D1310="",E1310=""),"",IFERROR(D1310*INDEX(UnidadesFactor,MATCH(E1310,Unidades,0)),""))</f>
        <v/>
      </c>
      <c r="H1310" s="17" t="str">
        <f aca="false">IF(I1310&lt;&gt;"OK","",IF(G1310=0,"",F1310/G1310))</f>
        <v/>
      </c>
      <c r="I1310" s="20" t="str">
        <f aca="true">IF(B1310="","",IF(ISNA(MATCH(B1310,ListaInsumos,0)),"Insumo no está en Insumos",IF(OR(D1310="",E1310="",F1310=""),"Faltan datos",IF(INDEX(UnidadesBase,MATCH(E1310,Unidades,0))&lt;&gt;INDEX(InsBase,MATCH(B1310,ListaInsumos,0)),"Unidad incompatible",IF(A1310="","Falta fecha","OK")))))</f>
        <v/>
      </c>
      <c r="J1310" s="15"/>
    </row>
    <row r="1311" customFormat="false" ht="15" hidden="false" customHeight="false" outlineLevel="0" collapsed="false">
      <c r="A1311" s="26"/>
      <c r="B1311" s="15"/>
      <c r="C1311" s="15"/>
      <c r="D1311" s="27"/>
      <c r="E1311" s="15"/>
      <c r="F1311" s="28"/>
      <c r="G1311" s="25" t="str">
        <f aca="true">IF(OR(D1311="",E1311=""),"",IFERROR(D1311*INDEX(UnidadesFactor,MATCH(E1311,Unidades,0)),""))</f>
        <v/>
      </c>
      <c r="H1311" s="17" t="str">
        <f aca="false">IF(I1311&lt;&gt;"OK","",IF(G1311=0,"",F1311/G1311))</f>
        <v/>
      </c>
      <c r="I1311" s="20" t="str">
        <f aca="true">IF(B1311="","",IF(ISNA(MATCH(B1311,ListaInsumos,0)),"Insumo no está en Insumos",IF(OR(D1311="",E1311="",F1311=""),"Faltan datos",IF(INDEX(UnidadesBase,MATCH(E1311,Unidades,0))&lt;&gt;INDEX(InsBase,MATCH(B1311,ListaInsumos,0)),"Unidad incompatible",IF(A1311="","Falta fecha","OK")))))</f>
        <v/>
      </c>
      <c r="J1311" s="15"/>
    </row>
    <row r="1312" customFormat="false" ht="15" hidden="false" customHeight="false" outlineLevel="0" collapsed="false">
      <c r="A1312" s="26"/>
      <c r="B1312" s="15"/>
      <c r="C1312" s="15"/>
      <c r="D1312" s="27"/>
      <c r="E1312" s="15"/>
      <c r="F1312" s="28"/>
      <c r="G1312" s="25" t="str">
        <f aca="true">IF(OR(D1312="",E1312=""),"",IFERROR(D1312*INDEX(UnidadesFactor,MATCH(E1312,Unidades,0)),""))</f>
        <v/>
      </c>
      <c r="H1312" s="17" t="str">
        <f aca="false">IF(I1312&lt;&gt;"OK","",IF(G1312=0,"",F1312/G1312))</f>
        <v/>
      </c>
      <c r="I1312" s="20" t="str">
        <f aca="true">IF(B1312="","",IF(ISNA(MATCH(B1312,ListaInsumos,0)),"Insumo no está en Insumos",IF(OR(D1312="",E1312="",F1312=""),"Faltan datos",IF(INDEX(UnidadesBase,MATCH(E1312,Unidades,0))&lt;&gt;INDEX(InsBase,MATCH(B1312,ListaInsumos,0)),"Unidad incompatible",IF(A1312="","Falta fecha","OK")))))</f>
        <v/>
      </c>
      <c r="J1312" s="15"/>
    </row>
    <row r="1313" customFormat="false" ht="15" hidden="false" customHeight="false" outlineLevel="0" collapsed="false">
      <c r="A1313" s="26"/>
      <c r="B1313" s="15"/>
      <c r="C1313" s="15"/>
      <c r="D1313" s="27"/>
      <c r="E1313" s="15"/>
      <c r="F1313" s="28"/>
      <c r="G1313" s="25" t="str">
        <f aca="true">IF(OR(D1313="",E1313=""),"",IFERROR(D1313*INDEX(UnidadesFactor,MATCH(E1313,Unidades,0)),""))</f>
        <v/>
      </c>
      <c r="H1313" s="17" t="str">
        <f aca="false">IF(I1313&lt;&gt;"OK","",IF(G1313=0,"",F1313/G1313))</f>
        <v/>
      </c>
      <c r="I1313" s="20" t="str">
        <f aca="true">IF(B1313="","",IF(ISNA(MATCH(B1313,ListaInsumos,0)),"Insumo no está en Insumos",IF(OR(D1313="",E1313="",F1313=""),"Faltan datos",IF(INDEX(UnidadesBase,MATCH(E1313,Unidades,0))&lt;&gt;INDEX(InsBase,MATCH(B1313,ListaInsumos,0)),"Unidad incompatible",IF(A1313="","Falta fecha","OK")))))</f>
        <v/>
      </c>
      <c r="J1313" s="15"/>
    </row>
    <row r="1314" customFormat="false" ht="15" hidden="false" customHeight="false" outlineLevel="0" collapsed="false">
      <c r="A1314" s="26"/>
      <c r="B1314" s="15"/>
      <c r="C1314" s="15"/>
      <c r="D1314" s="27"/>
      <c r="E1314" s="15"/>
      <c r="F1314" s="28"/>
      <c r="G1314" s="25" t="str">
        <f aca="true">IF(OR(D1314="",E1314=""),"",IFERROR(D1314*INDEX(UnidadesFactor,MATCH(E1314,Unidades,0)),""))</f>
        <v/>
      </c>
      <c r="H1314" s="17" t="str">
        <f aca="false">IF(I1314&lt;&gt;"OK","",IF(G1314=0,"",F1314/G1314))</f>
        <v/>
      </c>
      <c r="I1314" s="20" t="str">
        <f aca="true">IF(B1314="","",IF(ISNA(MATCH(B1314,ListaInsumos,0)),"Insumo no está en Insumos",IF(OR(D1314="",E1314="",F1314=""),"Faltan datos",IF(INDEX(UnidadesBase,MATCH(E1314,Unidades,0))&lt;&gt;INDEX(InsBase,MATCH(B1314,ListaInsumos,0)),"Unidad incompatible",IF(A1314="","Falta fecha","OK")))))</f>
        <v/>
      </c>
      <c r="J1314" s="15"/>
    </row>
    <row r="1315" customFormat="false" ht="15" hidden="false" customHeight="false" outlineLevel="0" collapsed="false">
      <c r="A1315" s="26"/>
      <c r="B1315" s="15"/>
      <c r="C1315" s="15"/>
      <c r="D1315" s="27"/>
      <c r="E1315" s="15"/>
      <c r="F1315" s="28"/>
      <c r="G1315" s="25" t="str">
        <f aca="true">IF(OR(D1315="",E1315=""),"",IFERROR(D1315*INDEX(UnidadesFactor,MATCH(E1315,Unidades,0)),""))</f>
        <v/>
      </c>
      <c r="H1315" s="17" t="str">
        <f aca="false">IF(I1315&lt;&gt;"OK","",IF(G1315=0,"",F1315/G1315))</f>
        <v/>
      </c>
      <c r="I1315" s="20" t="str">
        <f aca="true">IF(B1315="","",IF(ISNA(MATCH(B1315,ListaInsumos,0)),"Insumo no está en Insumos",IF(OR(D1315="",E1315="",F1315=""),"Faltan datos",IF(INDEX(UnidadesBase,MATCH(E1315,Unidades,0))&lt;&gt;INDEX(InsBase,MATCH(B1315,ListaInsumos,0)),"Unidad incompatible",IF(A1315="","Falta fecha","OK")))))</f>
        <v/>
      </c>
      <c r="J1315" s="15"/>
    </row>
    <row r="1316" customFormat="false" ht="15" hidden="false" customHeight="false" outlineLevel="0" collapsed="false">
      <c r="A1316" s="26"/>
      <c r="B1316" s="15"/>
      <c r="C1316" s="15"/>
      <c r="D1316" s="27"/>
      <c r="E1316" s="15"/>
      <c r="F1316" s="28"/>
      <c r="G1316" s="25" t="str">
        <f aca="true">IF(OR(D1316="",E1316=""),"",IFERROR(D1316*INDEX(UnidadesFactor,MATCH(E1316,Unidades,0)),""))</f>
        <v/>
      </c>
      <c r="H1316" s="17" t="str">
        <f aca="false">IF(I1316&lt;&gt;"OK","",IF(G1316=0,"",F1316/G1316))</f>
        <v/>
      </c>
      <c r="I1316" s="20" t="str">
        <f aca="true">IF(B1316="","",IF(ISNA(MATCH(B1316,ListaInsumos,0)),"Insumo no está en Insumos",IF(OR(D1316="",E1316="",F1316=""),"Faltan datos",IF(INDEX(UnidadesBase,MATCH(E1316,Unidades,0))&lt;&gt;INDEX(InsBase,MATCH(B1316,ListaInsumos,0)),"Unidad incompatible",IF(A1316="","Falta fecha","OK")))))</f>
        <v/>
      </c>
      <c r="J1316" s="15"/>
    </row>
    <row r="1317" customFormat="false" ht="15" hidden="false" customHeight="false" outlineLevel="0" collapsed="false">
      <c r="A1317" s="26"/>
      <c r="B1317" s="15"/>
      <c r="C1317" s="15"/>
      <c r="D1317" s="27"/>
      <c r="E1317" s="15"/>
      <c r="F1317" s="28"/>
      <c r="G1317" s="25" t="str">
        <f aca="true">IF(OR(D1317="",E1317=""),"",IFERROR(D1317*INDEX(UnidadesFactor,MATCH(E1317,Unidades,0)),""))</f>
        <v/>
      </c>
      <c r="H1317" s="17" t="str">
        <f aca="false">IF(I1317&lt;&gt;"OK","",IF(G1317=0,"",F1317/G1317))</f>
        <v/>
      </c>
      <c r="I1317" s="20" t="str">
        <f aca="true">IF(B1317="","",IF(ISNA(MATCH(B1317,ListaInsumos,0)),"Insumo no está en Insumos",IF(OR(D1317="",E1317="",F1317=""),"Faltan datos",IF(INDEX(UnidadesBase,MATCH(E1317,Unidades,0))&lt;&gt;INDEX(InsBase,MATCH(B1317,ListaInsumos,0)),"Unidad incompatible",IF(A1317="","Falta fecha","OK")))))</f>
        <v/>
      </c>
      <c r="J1317" s="15"/>
    </row>
    <row r="1318" customFormat="false" ht="15" hidden="false" customHeight="false" outlineLevel="0" collapsed="false">
      <c r="A1318" s="26"/>
      <c r="B1318" s="15"/>
      <c r="C1318" s="15"/>
      <c r="D1318" s="27"/>
      <c r="E1318" s="15"/>
      <c r="F1318" s="28"/>
      <c r="G1318" s="25" t="str">
        <f aca="true">IF(OR(D1318="",E1318=""),"",IFERROR(D1318*INDEX(UnidadesFactor,MATCH(E1318,Unidades,0)),""))</f>
        <v/>
      </c>
      <c r="H1318" s="17" t="str">
        <f aca="false">IF(I1318&lt;&gt;"OK","",IF(G1318=0,"",F1318/G1318))</f>
        <v/>
      </c>
      <c r="I1318" s="20" t="str">
        <f aca="true">IF(B1318="","",IF(ISNA(MATCH(B1318,ListaInsumos,0)),"Insumo no está en Insumos",IF(OR(D1318="",E1318="",F1318=""),"Faltan datos",IF(INDEX(UnidadesBase,MATCH(E1318,Unidades,0))&lt;&gt;INDEX(InsBase,MATCH(B1318,ListaInsumos,0)),"Unidad incompatible",IF(A1318="","Falta fecha","OK")))))</f>
        <v/>
      </c>
      <c r="J1318" s="15"/>
    </row>
    <row r="1319" customFormat="false" ht="15" hidden="false" customHeight="false" outlineLevel="0" collapsed="false">
      <c r="A1319" s="26"/>
      <c r="B1319" s="15"/>
      <c r="C1319" s="15"/>
      <c r="D1319" s="27"/>
      <c r="E1319" s="15"/>
      <c r="F1319" s="28"/>
      <c r="G1319" s="25" t="str">
        <f aca="true">IF(OR(D1319="",E1319=""),"",IFERROR(D1319*INDEX(UnidadesFactor,MATCH(E1319,Unidades,0)),""))</f>
        <v/>
      </c>
      <c r="H1319" s="17" t="str">
        <f aca="false">IF(I1319&lt;&gt;"OK","",IF(G1319=0,"",F1319/G1319))</f>
        <v/>
      </c>
      <c r="I1319" s="20" t="str">
        <f aca="true">IF(B1319="","",IF(ISNA(MATCH(B1319,ListaInsumos,0)),"Insumo no está en Insumos",IF(OR(D1319="",E1319="",F1319=""),"Faltan datos",IF(INDEX(UnidadesBase,MATCH(E1319,Unidades,0))&lt;&gt;INDEX(InsBase,MATCH(B1319,ListaInsumos,0)),"Unidad incompatible",IF(A1319="","Falta fecha","OK")))))</f>
        <v/>
      </c>
      <c r="J1319" s="15"/>
    </row>
    <row r="1320" customFormat="false" ht="15" hidden="false" customHeight="false" outlineLevel="0" collapsed="false">
      <c r="A1320" s="26"/>
      <c r="B1320" s="15"/>
      <c r="C1320" s="15"/>
      <c r="D1320" s="27"/>
      <c r="E1320" s="15"/>
      <c r="F1320" s="28"/>
      <c r="G1320" s="25" t="str">
        <f aca="true">IF(OR(D1320="",E1320=""),"",IFERROR(D1320*INDEX(UnidadesFactor,MATCH(E1320,Unidades,0)),""))</f>
        <v/>
      </c>
      <c r="H1320" s="17" t="str">
        <f aca="false">IF(I1320&lt;&gt;"OK","",IF(G1320=0,"",F1320/G1320))</f>
        <v/>
      </c>
      <c r="I1320" s="20" t="str">
        <f aca="true">IF(B1320="","",IF(ISNA(MATCH(B1320,ListaInsumos,0)),"Insumo no está en Insumos",IF(OR(D1320="",E1320="",F1320=""),"Faltan datos",IF(INDEX(UnidadesBase,MATCH(E1320,Unidades,0))&lt;&gt;INDEX(InsBase,MATCH(B1320,ListaInsumos,0)),"Unidad incompatible",IF(A1320="","Falta fecha","OK")))))</f>
        <v/>
      </c>
      <c r="J1320" s="15"/>
    </row>
    <row r="1321" customFormat="false" ht="15" hidden="false" customHeight="false" outlineLevel="0" collapsed="false">
      <c r="A1321" s="26"/>
      <c r="B1321" s="15"/>
      <c r="C1321" s="15"/>
      <c r="D1321" s="27"/>
      <c r="E1321" s="15"/>
      <c r="F1321" s="28"/>
      <c r="G1321" s="25" t="str">
        <f aca="true">IF(OR(D1321="",E1321=""),"",IFERROR(D1321*INDEX(UnidadesFactor,MATCH(E1321,Unidades,0)),""))</f>
        <v/>
      </c>
      <c r="H1321" s="17" t="str">
        <f aca="false">IF(I1321&lt;&gt;"OK","",IF(G1321=0,"",F1321/G1321))</f>
        <v/>
      </c>
      <c r="I1321" s="20" t="str">
        <f aca="true">IF(B1321="","",IF(ISNA(MATCH(B1321,ListaInsumos,0)),"Insumo no está en Insumos",IF(OR(D1321="",E1321="",F1321=""),"Faltan datos",IF(INDEX(UnidadesBase,MATCH(E1321,Unidades,0))&lt;&gt;INDEX(InsBase,MATCH(B1321,ListaInsumos,0)),"Unidad incompatible",IF(A1321="","Falta fecha","OK")))))</f>
        <v/>
      </c>
      <c r="J1321" s="15"/>
    </row>
    <row r="1322" customFormat="false" ht="15" hidden="false" customHeight="false" outlineLevel="0" collapsed="false">
      <c r="A1322" s="26"/>
      <c r="B1322" s="15"/>
      <c r="C1322" s="15"/>
      <c r="D1322" s="27"/>
      <c r="E1322" s="15"/>
      <c r="F1322" s="28"/>
      <c r="G1322" s="25" t="str">
        <f aca="true">IF(OR(D1322="",E1322=""),"",IFERROR(D1322*INDEX(UnidadesFactor,MATCH(E1322,Unidades,0)),""))</f>
        <v/>
      </c>
      <c r="H1322" s="17" t="str">
        <f aca="false">IF(I1322&lt;&gt;"OK","",IF(G1322=0,"",F1322/G1322))</f>
        <v/>
      </c>
      <c r="I1322" s="20" t="str">
        <f aca="true">IF(B1322="","",IF(ISNA(MATCH(B1322,ListaInsumos,0)),"Insumo no está en Insumos",IF(OR(D1322="",E1322="",F1322=""),"Faltan datos",IF(INDEX(UnidadesBase,MATCH(E1322,Unidades,0))&lt;&gt;INDEX(InsBase,MATCH(B1322,ListaInsumos,0)),"Unidad incompatible",IF(A1322="","Falta fecha","OK")))))</f>
        <v/>
      </c>
      <c r="J1322" s="15"/>
    </row>
    <row r="1323" customFormat="false" ht="15" hidden="false" customHeight="false" outlineLevel="0" collapsed="false">
      <c r="A1323" s="26"/>
      <c r="B1323" s="15"/>
      <c r="C1323" s="15"/>
      <c r="D1323" s="27"/>
      <c r="E1323" s="15"/>
      <c r="F1323" s="28"/>
      <c r="G1323" s="25" t="str">
        <f aca="true">IF(OR(D1323="",E1323=""),"",IFERROR(D1323*INDEX(UnidadesFactor,MATCH(E1323,Unidades,0)),""))</f>
        <v/>
      </c>
      <c r="H1323" s="17" t="str">
        <f aca="false">IF(I1323&lt;&gt;"OK","",IF(G1323=0,"",F1323/G1323))</f>
        <v/>
      </c>
      <c r="I1323" s="20" t="str">
        <f aca="true">IF(B1323="","",IF(ISNA(MATCH(B1323,ListaInsumos,0)),"Insumo no está en Insumos",IF(OR(D1323="",E1323="",F1323=""),"Faltan datos",IF(INDEX(UnidadesBase,MATCH(E1323,Unidades,0))&lt;&gt;INDEX(InsBase,MATCH(B1323,ListaInsumos,0)),"Unidad incompatible",IF(A1323="","Falta fecha","OK")))))</f>
        <v/>
      </c>
      <c r="J1323" s="15"/>
    </row>
    <row r="1324" customFormat="false" ht="15" hidden="false" customHeight="false" outlineLevel="0" collapsed="false">
      <c r="A1324" s="26"/>
      <c r="B1324" s="15"/>
      <c r="C1324" s="15"/>
      <c r="D1324" s="27"/>
      <c r="E1324" s="15"/>
      <c r="F1324" s="28"/>
      <c r="G1324" s="25" t="str">
        <f aca="true">IF(OR(D1324="",E1324=""),"",IFERROR(D1324*INDEX(UnidadesFactor,MATCH(E1324,Unidades,0)),""))</f>
        <v/>
      </c>
      <c r="H1324" s="17" t="str">
        <f aca="false">IF(I1324&lt;&gt;"OK","",IF(G1324=0,"",F1324/G1324))</f>
        <v/>
      </c>
      <c r="I1324" s="20" t="str">
        <f aca="true">IF(B1324="","",IF(ISNA(MATCH(B1324,ListaInsumos,0)),"Insumo no está en Insumos",IF(OR(D1324="",E1324="",F1324=""),"Faltan datos",IF(INDEX(UnidadesBase,MATCH(E1324,Unidades,0))&lt;&gt;INDEX(InsBase,MATCH(B1324,ListaInsumos,0)),"Unidad incompatible",IF(A1324="","Falta fecha","OK")))))</f>
        <v/>
      </c>
      <c r="J1324" s="15"/>
    </row>
    <row r="1325" customFormat="false" ht="15" hidden="false" customHeight="false" outlineLevel="0" collapsed="false">
      <c r="A1325" s="26"/>
      <c r="B1325" s="15"/>
      <c r="C1325" s="15"/>
      <c r="D1325" s="27"/>
      <c r="E1325" s="15"/>
      <c r="F1325" s="28"/>
      <c r="G1325" s="25" t="str">
        <f aca="true">IF(OR(D1325="",E1325=""),"",IFERROR(D1325*INDEX(UnidadesFactor,MATCH(E1325,Unidades,0)),""))</f>
        <v/>
      </c>
      <c r="H1325" s="17" t="str">
        <f aca="false">IF(I1325&lt;&gt;"OK","",IF(G1325=0,"",F1325/G1325))</f>
        <v/>
      </c>
      <c r="I1325" s="20" t="str">
        <f aca="true">IF(B1325="","",IF(ISNA(MATCH(B1325,ListaInsumos,0)),"Insumo no está en Insumos",IF(OR(D1325="",E1325="",F1325=""),"Faltan datos",IF(INDEX(UnidadesBase,MATCH(E1325,Unidades,0))&lt;&gt;INDEX(InsBase,MATCH(B1325,ListaInsumos,0)),"Unidad incompatible",IF(A1325="","Falta fecha","OK")))))</f>
        <v/>
      </c>
      <c r="J1325" s="15"/>
    </row>
    <row r="1326" customFormat="false" ht="15" hidden="false" customHeight="false" outlineLevel="0" collapsed="false">
      <c r="A1326" s="26"/>
      <c r="B1326" s="15"/>
      <c r="C1326" s="15"/>
      <c r="D1326" s="27"/>
      <c r="E1326" s="15"/>
      <c r="F1326" s="28"/>
      <c r="G1326" s="25" t="str">
        <f aca="true">IF(OR(D1326="",E1326=""),"",IFERROR(D1326*INDEX(UnidadesFactor,MATCH(E1326,Unidades,0)),""))</f>
        <v/>
      </c>
      <c r="H1326" s="17" t="str">
        <f aca="false">IF(I1326&lt;&gt;"OK","",IF(G1326=0,"",F1326/G1326))</f>
        <v/>
      </c>
      <c r="I1326" s="20" t="str">
        <f aca="true">IF(B1326="","",IF(ISNA(MATCH(B1326,ListaInsumos,0)),"Insumo no está en Insumos",IF(OR(D1326="",E1326="",F1326=""),"Faltan datos",IF(INDEX(UnidadesBase,MATCH(E1326,Unidades,0))&lt;&gt;INDEX(InsBase,MATCH(B1326,ListaInsumos,0)),"Unidad incompatible",IF(A1326="","Falta fecha","OK")))))</f>
        <v/>
      </c>
      <c r="J1326" s="15"/>
    </row>
    <row r="1327" customFormat="false" ht="15" hidden="false" customHeight="false" outlineLevel="0" collapsed="false">
      <c r="A1327" s="26"/>
      <c r="B1327" s="15"/>
      <c r="C1327" s="15"/>
      <c r="D1327" s="27"/>
      <c r="E1327" s="15"/>
      <c r="F1327" s="28"/>
      <c r="G1327" s="25" t="str">
        <f aca="true">IF(OR(D1327="",E1327=""),"",IFERROR(D1327*INDEX(UnidadesFactor,MATCH(E1327,Unidades,0)),""))</f>
        <v/>
      </c>
      <c r="H1327" s="17" t="str">
        <f aca="false">IF(I1327&lt;&gt;"OK","",IF(G1327=0,"",F1327/G1327))</f>
        <v/>
      </c>
      <c r="I1327" s="20" t="str">
        <f aca="true">IF(B1327="","",IF(ISNA(MATCH(B1327,ListaInsumos,0)),"Insumo no está en Insumos",IF(OR(D1327="",E1327="",F1327=""),"Faltan datos",IF(INDEX(UnidadesBase,MATCH(E1327,Unidades,0))&lt;&gt;INDEX(InsBase,MATCH(B1327,ListaInsumos,0)),"Unidad incompatible",IF(A1327="","Falta fecha","OK")))))</f>
        <v/>
      </c>
      <c r="J1327" s="15"/>
    </row>
    <row r="1328" customFormat="false" ht="15" hidden="false" customHeight="false" outlineLevel="0" collapsed="false">
      <c r="A1328" s="26"/>
      <c r="B1328" s="15"/>
      <c r="C1328" s="15"/>
      <c r="D1328" s="27"/>
      <c r="E1328" s="15"/>
      <c r="F1328" s="28"/>
      <c r="G1328" s="25" t="str">
        <f aca="true">IF(OR(D1328="",E1328=""),"",IFERROR(D1328*INDEX(UnidadesFactor,MATCH(E1328,Unidades,0)),""))</f>
        <v/>
      </c>
      <c r="H1328" s="17" t="str">
        <f aca="false">IF(I1328&lt;&gt;"OK","",IF(G1328=0,"",F1328/G1328))</f>
        <v/>
      </c>
      <c r="I1328" s="20" t="str">
        <f aca="true">IF(B1328="","",IF(ISNA(MATCH(B1328,ListaInsumos,0)),"Insumo no está en Insumos",IF(OR(D1328="",E1328="",F1328=""),"Faltan datos",IF(INDEX(UnidadesBase,MATCH(E1328,Unidades,0))&lt;&gt;INDEX(InsBase,MATCH(B1328,ListaInsumos,0)),"Unidad incompatible",IF(A1328="","Falta fecha","OK")))))</f>
        <v/>
      </c>
      <c r="J1328" s="15"/>
    </row>
    <row r="1329" customFormat="false" ht="15" hidden="false" customHeight="false" outlineLevel="0" collapsed="false">
      <c r="A1329" s="26"/>
      <c r="B1329" s="15"/>
      <c r="C1329" s="15"/>
      <c r="D1329" s="27"/>
      <c r="E1329" s="15"/>
      <c r="F1329" s="28"/>
      <c r="G1329" s="25" t="str">
        <f aca="true">IF(OR(D1329="",E1329=""),"",IFERROR(D1329*INDEX(UnidadesFactor,MATCH(E1329,Unidades,0)),""))</f>
        <v/>
      </c>
      <c r="H1329" s="17" t="str">
        <f aca="false">IF(I1329&lt;&gt;"OK","",IF(G1329=0,"",F1329/G1329))</f>
        <v/>
      </c>
      <c r="I1329" s="20" t="str">
        <f aca="true">IF(B1329="","",IF(ISNA(MATCH(B1329,ListaInsumos,0)),"Insumo no está en Insumos",IF(OR(D1329="",E1329="",F1329=""),"Faltan datos",IF(INDEX(UnidadesBase,MATCH(E1329,Unidades,0))&lt;&gt;INDEX(InsBase,MATCH(B1329,ListaInsumos,0)),"Unidad incompatible",IF(A1329="","Falta fecha","OK")))))</f>
        <v/>
      </c>
      <c r="J1329" s="15"/>
    </row>
    <row r="1330" customFormat="false" ht="15" hidden="false" customHeight="false" outlineLevel="0" collapsed="false">
      <c r="A1330" s="26"/>
      <c r="B1330" s="15"/>
      <c r="C1330" s="15"/>
      <c r="D1330" s="27"/>
      <c r="E1330" s="15"/>
      <c r="F1330" s="28"/>
      <c r="G1330" s="25" t="str">
        <f aca="true">IF(OR(D1330="",E1330=""),"",IFERROR(D1330*INDEX(UnidadesFactor,MATCH(E1330,Unidades,0)),""))</f>
        <v/>
      </c>
      <c r="H1330" s="17" t="str">
        <f aca="false">IF(I1330&lt;&gt;"OK","",IF(G1330=0,"",F1330/G1330))</f>
        <v/>
      </c>
      <c r="I1330" s="20" t="str">
        <f aca="true">IF(B1330="","",IF(ISNA(MATCH(B1330,ListaInsumos,0)),"Insumo no está en Insumos",IF(OR(D1330="",E1330="",F1330=""),"Faltan datos",IF(INDEX(UnidadesBase,MATCH(E1330,Unidades,0))&lt;&gt;INDEX(InsBase,MATCH(B1330,ListaInsumos,0)),"Unidad incompatible",IF(A1330="","Falta fecha","OK")))))</f>
        <v/>
      </c>
      <c r="J1330" s="15"/>
    </row>
    <row r="1331" customFormat="false" ht="15" hidden="false" customHeight="false" outlineLevel="0" collapsed="false">
      <c r="A1331" s="26"/>
      <c r="B1331" s="15"/>
      <c r="C1331" s="15"/>
      <c r="D1331" s="27"/>
      <c r="E1331" s="15"/>
      <c r="F1331" s="28"/>
      <c r="G1331" s="25" t="str">
        <f aca="true">IF(OR(D1331="",E1331=""),"",IFERROR(D1331*INDEX(UnidadesFactor,MATCH(E1331,Unidades,0)),""))</f>
        <v/>
      </c>
      <c r="H1331" s="17" t="str">
        <f aca="false">IF(I1331&lt;&gt;"OK","",IF(G1331=0,"",F1331/G1331))</f>
        <v/>
      </c>
      <c r="I1331" s="20" t="str">
        <f aca="true">IF(B1331="","",IF(ISNA(MATCH(B1331,ListaInsumos,0)),"Insumo no está en Insumos",IF(OR(D1331="",E1331="",F1331=""),"Faltan datos",IF(INDEX(UnidadesBase,MATCH(E1331,Unidades,0))&lt;&gt;INDEX(InsBase,MATCH(B1331,ListaInsumos,0)),"Unidad incompatible",IF(A1331="","Falta fecha","OK")))))</f>
        <v/>
      </c>
      <c r="J1331" s="15"/>
    </row>
    <row r="1332" customFormat="false" ht="15" hidden="false" customHeight="false" outlineLevel="0" collapsed="false">
      <c r="A1332" s="26"/>
      <c r="B1332" s="15"/>
      <c r="C1332" s="15"/>
      <c r="D1332" s="27"/>
      <c r="E1332" s="15"/>
      <c r="F1332" s="28"/>
      <c r="G1332" s="25" t="str">
        <f aca="true">IF(OR(D1332="",E1332=""),"",IFERROR(D1332*INDEX(UnidadesFactor,MATCH(E1332,Unidades,0)),""))</f>
        <v/>
      </c>
      <c r="H1332" s="17" t="str">
        <f aca="false">IF(I1332&lt;&gt;"OK","",IF(G1332=0,"",F1332/G1332))</f>
        <v/>
      </c>
      <c r="I1332" s="20" t="str">
        <f aca="true">IF(B1332="","",IF(ISNA(MATCH(B1332,ListaInsumos,0)),"Insumo no está en Insumos",IF(OR(D1332="",E1332="",F1332=""),"Faltan datos",IF(INDEX(UnidadesBase,MATCH(E1332,Unidades,0))&lt;&gt;INDEX(InsBase,MATCH(B1332,ListaInsumos,0)),"Unidad incompatible",IF(A1332="","Falta fecha","OK")))))</f>
        <v/>
      </c>
      <c r="J1332" s="15"/>
    </row>
    <row r="1333" customFormat="false" ht="15" hidden="false" customHeight="false" outlineLevel="0" collapsed="false">
      <c r="A1333" s="26"/>
      <c r="B1333" s="15"/>
      <c r="C1333" s="15"/>
      <c r="D1333" s="27"/>
      <c r="E1333" s="15"/>
      <c r="F1333" s="28"/>
      <c r="G1333" s="25" t="str">
        <f aca="true">IF(OR(D1333="",E1333=""),"",IFERROR(D1333*INDEX(UnidadesFactor,MATCH(E1333,Unidades,0)),""))</f>
        <v/>
      </c>
      <c r="H1333" s="17" t="str">
        <f aca="false">IF(I1333&lt;&gt;"OK","",IF(G1333=0,"",F1333/G1333))</f>
        <v/>
      </c>
      <c r="I1333" s="20" t="str">
        <f aca="true">IF(B1333="","",IF(ISNA(MATCH(B1333,ListaInsumos,0)),"Insumo no está en Insumos",IF(OR(D1333="",E1333="",F1333=""),"Faltan datos",IF(INDEX(UnidadesBase,MATCH(E1333,Unidades,0))&lt;&gt;INDEX(InsBase,MATCH(B1333,ListaInsumos,0)),"Unidad incompatible",IF(A1333="","Falta fecha","OK")))))</f>
        <v/>
      </c>
      <c r="J1333" s="15"/>
    </row>
    <row r="1334" customFormat="false" ht="15" hidden="false" customHeight="false" outlineLevel="0" collapsed="false">
      <c r="A1334" s="26"/>
      <c r="B1334" s="15"/>
      <c r="C1334" s="15"/>
      <c r="D1334" s="27"/>
      <c r="E1334" s="15"/>
      <c r="F1334" s="28"/>
      <c r="G1334" s="25" t="str">
        <f aca="true">IF(OR(D1334="",E1334=""),"",IFERROR(D1334*INDEX(UnidadesFactor,MATCH(E1334,Unidades,0)),""))</f>
        <v/>
      </c>
      <c r="H1334" s="17" t="str">
        <f aca="false">IF(I1334&lt;&gt;"OK","",IF(G1334=0,"",F1334/G1334))</f>
        <v/>
      </c>
      <c r="I1334" s="20" t="str">
        <f aca="true">IF(B1334="","",IF(ISNA(MATCH(B1334,ListaInsumos,0)),"Insumo no está en Insumos",IF(OR(D1334="",E1334="",F1334=""),"Faltan datos",IF(INDEX(UnidadesBase,MATCH(E1334,Unidades,0))&lt;&gt;INDEX(InsBase,MATCH(B1334,ListaInsumos,0)),"Unidad incompatible",IF(A1334="","Falta fecha","OK")))))</f>
        <v/>
      </c>
      <c r="J1334" s="15"/>
    </row>
    <row r="1335" customFormat="false" ht="15" hidden="false" customHeight="false" outlineLevel="0" collapsed="false">
      <c r="A1335" s="26"/>
      <c r="B1335" s="15"/>
      <c r="C1335" s="15"/>
      <c r="D1335" s="27"/>
      <c r="E1335" s="15"/>
      <c r="F1335" s="28"/>
      <c r="G1335" s="25" t="str">
        <f aca="true">IF(OR(D1335="",E1335=""),"",IFERROR(D1335*INDEX(UnidadesFactor,MATCH(E1335,Unidades,0)),""))</f>
        <v/>
      </c>
      <c r="H1335" s="17" t="str">
        <f aca="false">IF(I1335&lt;&gt;"OK","",IF(G1335=0,"",F1335/G1335))</f>
        <v/>
      </c>
      <c r="I1335" s="20" t="str">
        <f aca="true">IF(B1335="","",IF(ISNA(MATCH(B1335,ListaInsumos,0)),"Insumo no está en Insumos",IF(OR(D1335="",E1335="",F1335=""),"Faltan datos",IF(INDEX(UnidadesBase,MATCH(E1335,Unidades,0))&lt;&gt;INDEX(InsBase,MATCH(B1335,ListaInsumos,0)),"Unidad incompatible",IF(A1335="","Falta fecha","OK")))))</f>
        <v/>
      </c>
      <c r="J1335" s="15"/>
    </row>
    <row r="1336" customFormat="false" ht="15" hidden="false" customHeight="false" outlineLevel="0" collapsed="false">
      <c r="A1336" s="26"/>
      <c r="B1336" s="15"/>
      <c r="C1336" s="15"/>
      <c r="D1336" s="27"/>
      <c r="E1336" s="15"/>
      <c r="F1336" s="28"/>
      <c r="G1336" s="25" t="str">
        <f aca="true">IF(OR(D1336="",E1336=""),"",IFERROR(D1336*INDEX(UnidadesFactor,MATCH(E1336,Unidades,0)),""))</f>
        <v/>
      </c>
      <c r="H1336" s="17" t="str">
        <f aca="false">IF(I1336&lt;&gt;"OK","",IF(G1336=0,"",F1336/G1336))</f>
        <v/>
      </c>
      <c r="I1336" s="20" t="str">
        <f aca="true">IF(B1336="","",IF(ISNA(MATCH(B1336,ListaInsumos,0)),"Insumo no está en Insumos",IF(OR(D1336="",E1336="",F1336=""),"Faltan datos",IF(INDEX(UnidadesBase,MATCH(E1336,Unidades,0))&lt;&gt;INDEX(InsBase,MATCH(B1336,ListaInsumos,0)),"Unidad incompatible",IF(A1336="","Falta fecha","OK")))))</f>
        <v/>
      </c>
      <c r="J1336" s="15"/>
    </row>
    <row r="1337" customFormat="false" ht="15" hidden="false" customHeight="false" outlineLevel="0" collapsed="false">
      <c r="A1337" s="26"/>
      <c r="B1337" s="15"/>
      <c r="C1337" s="15"/>
      <c r="D1337" s="27"/>
      <c r="E1337" s="15"/>
      <c r="F1337" s="28"/>
      <c r="G1337" s="25" t="str">
        <f aca="true">IF(OR(D1337="",E1337=""),"",IFERROR(D1337*INDEX(UnidadesFactor,MATCH(E1337,Unidades,0)),""))</f>
        <v/>
      </c>
      <c r="H1337" s="17" t="str">
        <f aca="false">IF(I1337&lt;&gt;"OK","",IF(G1337=0,"",F1337/G1337))</f>
        <v/>
      </c>
      <c r="I1337" s="20" t="str">
        <f aca="true">IF(B1337="","",IF(ISNA(MATCH(B1337,ListaInsumos,0)),"Insumo no está en Insumos",IF(OR(D1337="",E1337="",F1337=""),"Faltan datos",IF(INDEX(UnidadesBase,MATCH(E1337,Unidades,0))&lt;&gt;INDEX(InsBase,MATCH(B1337,ListaInsumos,0)),"Unidad incompatible",IF(A1337="","Falta fecha","OK")))))</f>
        <v/>
      </c>
      <c r="J1337" s="15"/>
    </row>
    <row r="1338" customFormat="false" ht="15" hidden="false" customHeight="false" outlineLevel="0" collapsed="false">
      <c r="A1338" s="26"/>
      <c r="B1338" s="15"/>
      <c r="C1338" s="15"/>
      <c r="D1338" s="27"/>
      <c r="E1338" s="15"/>
      <c r="F1338" s="28"/>
      <c r="G1338" s="25" t="str">
        <f aca="true">IF(OR(D1338="",E1338=""),"",IFERROR(D1338*INDEX(UnidadesFactor,MATCH(E1338,Unidades,0)),""))</f>
        <v/>
      </c>
      <c r="H1338" s="17" t="str">
        <f aca="false">IF(I1338&lt;&gt;"OK","",IF(G1338=0,"",F1338/G1338))</f>
        <v/>
      </c>
      <c r="I1338" s="20" t="str">
        <f aca="true">IF(B1338="","",IF(ISNA(MATCH(B1338,ListaInsumos,0)),"Insumo no está en Insumos",IF(OR(D1338="",E1338="",F1338=""),"Faltan datos",IF(INDEX(UnidadesBase,MATCH(E1338,Unidades,0))&lt;&gt;INDEX(InsBase,MATCH(B1338,ListaInsumos,0)),"Unidad incompatible",IF(A1338="","Falta fecha","OK")))))</f>
        <v/>
      </c>
      <c r="J1338" s="15"/>
    </row>
    <row r="1339" customFormat="false" ht="15" hidden="false" customHeight="false" outlineLevel="0" collapsed="false">
      <c r="A1339" s="26"/>
      <c r="B1339" s="15"/>
      <c r="C1339" s="15"/>
      <c r="D1339" s="27"/>
      <c r="E1339" s="15"/>
      <c r="F1339" s="28"/>
      <c r="G1339" s="25" t="str">
        <f aca="true">IF(OR(D1339="",E1339=""),"",IFERROR(D1339*INDEX(UnidadesFactor,MATCH(E1339,Unidades,0)),""))</f>
        <v/>
      </c>
      <c r="H1339" s="17" t="str">
        <f aca="false">IF(I1339&lt;&gt;"OK","",IF(G1339=0,"",F1339/G1339))</f>
        <v/>
      </c>
      <c r="I1339" s="20" t="str">
        <f aca="true">IF(B1339="","",IF(ISNA(MATCH(B1339,ListaInsumos,0)),"Insumo no está en Insumos",IF(OR(D1339="",E1339="",F1339=""),"Faltan datos",IF(INDEX(UnidadesBase,MATCH(E1339,Unidades,0))&lt;&gt;INDEX(InsBase,MATCH(B1339,ListaInsumos,0)),"Unidad incompatible",IF(A1339="","Falta fecha","OK")))))</f>
        <v/>
      </c>
      <c r="J1339" s="15"/>
    </row>
    <row r="1340" customFormat="false" ht="15" hidden="false" customHeight="false" outlineLevel="0" collapsed="false">
      <c r="A1340" s="26"/>
      <c r="B1340" s="15"/>
      <c r="C1340" s="15"/>
      <c r="D1340" s="27"/>
      <c r="E1340" s="15"/>
      <c r="F1340" s="28"/>
      <c r="G1340" s="25" t="str">
        <f aca="true">IF(OR(D1340="",E1340=""),"",IFERROR(D1340*INDEX(UnidadesFactor,MATCH(E1340,Unidades,0)),""))</f>
        <v/>
      </c>
      <c r="H1340" s="17" t="str">
        <f aca="false">IF(I1340&lt;&gt;"OK","",IF(G1340=0,"",F1340/G1340))</f>
        <v/>
      </c>
      <c r="I1340" s="20" t="str">
        <f aca="true">IF(B1340="","",IF(ISNA(MATCH(B1340,ListaInsumos,0)),"Insumo no está en Insumos",IF(OR(D1340="",E1340="",F1340=""),"Faltan datos",IF(INDEX(UnidadesBase,MATCH(E1340,Unidades,0))&lt;&gt;INDEX(InsBase,MATCH(B1340,ListaInsumos,0)),"Unidad incompatible",IF(A1340="","Falta fecha","OK")))))</f>
        <v/>
      </c>
      <c r="J1340" s="15"/>
    </row>
    <row r="1341" customFormat="false" ht="15" hidden="false" customHeight="false" outlineLevel="0" collapsed="false">
      <c r="A1341" s="26"/>
      <c r="B1341" s="15"/>
      <c r="C1341" s="15"/>
      <c r="D1341" s="27"/>
      <c r="E1341" s="15"/>
      <c r="F1341" s="28"/>
      <c r="G1341" s="25" t="str">
        <f aca="true">IF(OR(D1341="",E1341=""),"",IFERROR(D1341*INDEX(UnidadesFactor,MATCH(E1341,Unidades,0)),""))</f>
        <v/>
      </c>
      <c r="H1341" s="17" t="str">
        <f aca="false">IF(I1341&lt;&gt;"OK","",IF(G1341=0,"",F1341/G1341))</f>
        <v/>
      </c>
      <c r="I1341" s="20" t="str">
        <f aca="true">IF(B1341="","",IF(ISNA(MATCH(B1341,ListaInsumos,0)),"Insumo no está en Insumos",IF(OR(D1341="",E1341="",F1341=""),"Faltan datos",IF(INDEX(UnidadesBase,MATCH(E1341,Unidades,0))&lt;&gt;INDEX(InsBase,MATCH(B1341,ListaInsumos,0)),"Unidad incompatible",IF(A1341="","Falta fecha","OK")))))</f>
        <v/>
      </c>
      <c r="J1341" s="15"/>
    </row>
    <row r="1342" customFormat="false" ht="15" hidden="false" customHeight="false" outlineLevel="0" collapsed="false">
      <c r="A1342" s="26"/>
      <c r="B1342" s="15"/>
      <c r="C1342" s="15"/>
      <c r="D1342" s="27"/>
      <c r="E1342" s="15"/>
      <c r="F1342" s="28"/>
      <c r="G1342" s="25" t="str">
        <f aca="true">IF(OR(D1342="",E1342=""),"",IFERROR(D1342*INDEX(UnidadesFactor,MATCH(E1342,Unidades,0)),""))</f>
        <v/>
      </c>
      <c r="H1342" s="17" t="str">
        <f aca="false">IF(I1342&lt;&gt;"OK","",IF(G1342=0,"",F1342/G1342))</f>
        <v/>
      </c>
      <c r="I1342" s="20" t="str">
        <f aca="true">IF(B1342="","",IF(ISNA(MATCH(B1342,ListaInsumos,0)),"Insumo no está en Insumos",IF(OR(D1342="",E1342="",F1342=""),"Faltan datos",IF(INDEX(UnidadesBase,MATCH(E1342,Unidades,0))&lt;&gt;INDEX(InsBase,MATCH(B1342,ListaInsumos,0)),"Unidad incompatible",IF(A1342="","Falta fecha","OK")))))</f>
        <v/>
      </c>
      <c r="J1342" s="15"/>
    </row>
    <row r="1343" customFormat="false" ht="15" hidden="false" customHeight="false" outlineLevel="0" collapsed="false">
      <c r="A1343" s="26"/>
      <c r="B1343" s="15"/>
      <c r="C1343" s="15"/>
      <c r="D1343" s="27"/>
      <c r="E1343" s="15"/>
      <c r="F1343" s="28"/>
      <c r="G1343" s="25" t="str">
        <f aca="true">IF(OR(D1343="",E1343=""),"",IFERROR(D1343*INDEX(UnidadesFactor,MATCH(E1343,Unidades,0)),""))</f>
        <v/>
      </c>
      <c r="H1343" s="17" t="str">
        <f aca="false">IF(I1343&lt;&gt;"OK","",IF(G1343=0,"",F1343/G1343))</f>
        <v/>
      </c>
      <c r="I1343" s="20" t="str">
        <f aca="true">IF(B1343="","",IF(ISNA(MATCH(B1343,ListaInsumos,0)),"Insumo no está en Insumos",IF(OR(D1343="",E1343="",F1343=""),"Faltan datos",IF(INDEX(UnidadesBase,MATCH(E1343,Unidades,0))&lt;&gt;INDEX(InsBase,MATCH(B1343,ListaInsumos,0)),"Unidad incompatible",IF(A1343="","Falta fecha","OK")))))</f>
        <v/>
      </c>
      <c r="J1343" s="15"/>
    </row>
    <row r="1344" customFormat="false" ht="15" hidden="false" customHeight="false" outlineLevel="0" collapsed="false">
      <c r="A1344" s="26"/>
      <c r="B1344" s="15"/>
      <c r="C1344" s="15"/>
      <c r="D1344" s="27"/>
      <c r="E1344" s="15"/>
      <c r="F1344" s="28"/>
      <c r="G1344" s="25" t="str">
        <f aca="true">IF(OR(D1344="",E1344=""),"",IFERROR(D1344*INDEX(UnidadesFactor,MATCH(E1344,Unidades,0)),""))</f>
        <v/>
      </c>
      <c r="H1344" s="17" t="str">
        <f aca="false">IF(I1344&lt;&gt;"OK","",IF(G1344=0,"",F1344/G1344))</f>
        <v/>
      </c>
      <c r="I1344" s="20" t="str">
        <f aca="true">IF(B1344="","",IF(ISNA(MATCH(B1344,ListaInsumos,0)),"Insumo no está en Insumos",IF(OR(D1344="",E1344="",F1344=""),"Faltan datos",IF(INDEX(UnidadesBase,MATCH(E1344,Unidades,0))&lt;&gt;INDEX(InsBase,MATCH(B1344,ListaInsumos,0)),"Unidad incompatible",IF(A1344="","Falta fecha","OK")))))</f>
        <v/>
      </c>
      <c r="J1344" s="15"/>
    </row>
    <row r="1345" customFormat="false" ht="15" hidden="false" customHeight="false" outlineLevel="0" collapsed="false">
      <c r="A1345" s="26"/>
      <c r="B1345" s="15"/>
      <c r="C1345" s="15"/>
      <c r="D1345" s="27"/>
      <c r="E1345" s="15"/>
      <c r="F1345" s="28"/>
      <c r="G1345" s="25" t="str">
        <f aca="true">IF(OR(D1345="",E1345=""),"",IFERROR(D1345*INDEX(UnidadesFactor,MATCH(E1345,Unidades,0)),""))</f>
        <v/>
      </c>
      <c r="H1345" s="17" t="str">
        <f aca="false">IF(I1345&lt;&gt;"OK","",IF(G1345=0,"",F1345/G1345))</f>
        <v/>
      </c>
      <c r="I1345" s="20" t="str">
        <f aca="true">IF(B1345="","",IF(ISNA(MATCH(B1345,ListaInsumos,0)),"Insumo no está en Insumos",IF(OR(D1345="",E1345="",F1345=""),"Faltan datos",IF(INDEX(UnidadesBase,MATCH(E1345,Unidades,0))&lt;&gt;INDEX(InsBase,MATCH(B1345,ListaInsumos,0)),"Unidad incompatible",IF(A1345="","Falta fecha","OK")))))</f>
        <v/>
      </c>
      <c r="J1345" s="15"/>
    </row>
    <row r="1346" customFormat="false" ht="15" hidden="false" customHeight="false" outlineLevel="0" collapsed="false">
      <c r="A1346" s="26"/>
      <c r="B1346" s="15"/>
      <c r="C1346" s="15"/>
      <c r="D1346" s="27"/>
      <c r="E1346" s="15"/>
      <c r="F1346" s="28"/>
      <c r="G1346" s="25" t="str">
        <f aca="true">IF(OR(D1346="",E1346=""),"",IFERROR(D1346*INDEX(UnidadesFactor,MATCH(E1346,Unidades,0)),""))</f>
        <v/>
      </c>
      <c r="H1346" s="17" t="str">
        <f aca="false">IF(I1346&lt;&gt;"OK","",IF(G1346=0,"",F1346/G1346))</f>
        <v/>
      </c>
      <c r="I1346" s="20" t="str">
        <f aca="true">IF(B1346="","",IF(ISNA(MATCH(B1346,ListaInsumos,0)),"Insumo no está en Insumos",IF(OR(D1346="",E1346="",F1346=""),"Faltan datos",IF(INDEX(UnidadesBase,MATCH(E1346,Unidades,0))&lt;&gt;INDEX(InsBase,MATCH(B1346,ListaInsumos,0)),"Unidad incompatible",IF(A1346="","Falta fecha","OK")))))</f>
        <v/>
      </c>
      <c r="J1346" s="15"/>
    </row>
    <row r="1347" customFormat="false" ht="15" hidden="false" customHeight="false" outlineLevel="0" collapsed="false">
      <c r="A1347" s="26"/>
      <c r="B1347" s="15"/>
      <c r="C1347" s="15"/>
      <c r="D1347" s="27"/>
      <c r="E1347" s="15"/>
      <c r="F1347" s="28"/>
      <c r="G1347" s="25" t="str">
        <f aca="true">IF(OR(D1347="",E1347=""),"",IFERROR(D1347*INDEX(UnidadesFactor,MATCH(E1347,Unidades,0)),""))</f>
        <v/>
      </c>
      <c r="H1347" s="17" t="str">
        <f aca="false">IF(I1347&lt;&gt;"OK","",IF(G1347=0,"",F1347/G1347))</f>
        <v/>
      </c>
      <c r="I1347" s="20" t="str">
        <f aca="true">IF(B1347="","",IF(ISNA(MATCH(B1347,ListaInsumos,0)),"Insumo no está en Insumos",IF(OR(D1347="",E1347="",F1347=""),"Faltan datos",IF(INDEX(UnidadesBase,MATCH(E1347,Unidades,0))&lt;&gt;INDEX(InsBase,MATCH(B1347,ListaInsumos,0)),"Unidad incompatible",IF(A1347="","Falta fecha","OK")))))</f>
        <v/>
      </c>
      <c r="J1347" s="15"/>
    </row>
    <row r="1348" customFormat="false" ht="15" hidden="false" customHeight="false" outlineLevel="0" collapsed="false">
      <c r="A1348" s="26"/>
      <c r="B1348" s="15"/>
      <c r="C1348" s="15"/>
      <c r="D1348" s="27"/>
      <c r="E1348" s="15"/>
      <c r="F1348" s="28"/>
      <c r="G1348" s="25" t="str">
        <f aca="true">IF(OR(D1348="",E1348=""),"",IFERROR(D1348*INDEX(UnidadesFactor,MATCH(E1348,Unidades,0)),""))</f>
        <v/>
      </c>
      <c r="H1348" s="17" t="str">
        <f aca="false">IF(I1348&lt;&gt;"OK","",IF(G1348=0,"",F1348/G1348))</f>
        <v/>
      </c>
      <c r="I1348" s="20" t="str">
        <f aca="true">IF(B1348="","",IF(ISNA(MATCH(B1348,ListaInsumos,0)),"Insumo no está en Insumos",IF(OR(D1348="",E1348="",F1348=""),"Faltan datos",IF(INDEX(UnidadesBase,MATCH(E1348,Unidades,0))&lt;&gt;INDEX(InsBase,MATCH(B1348,ListaInsumos,0)),"Unidad incompatible",IF(A1348="","Falta fecha","OK")))))</f>
        <v/>
      </c>
      <c r="J1348" s="15"/>
    </row>
    <row r="1349" customFormat="false" ht="15" hidden="false" customHeight="false" outlineLevel="0" collapsed="false">
      <c r="A1349" s="26"/>
      <c r="B1349" s="15"/>
      <c r="C1349" s="15"/>
      <c r="D1349" s="27"/>
      <c r="E1349" s="15"/>
      <c r="F1349" s="28"/>
      <c r="G1349" s="25" t="str">
        <f aca="true">IF(OR(D1349="",E1349=""),"",IFERROR(D1349*INDEX(UnidadesFactor,MATCH(E1349,Unidades,0)),""))</f>
        <v/>
      </c>
      <c r="H1349" s="17" t="str">
        <f aca="false">IF(I1349&lt;&gt;"OK","",IF(G1349=0,"",F1349/G1349))</f>
        <v/>
      </c>
      <c r="I1349" s="20" t="str">
        <f aca="true">IF(B1349="","",IF(ISNA(MATCH(B1349,ListaInsumos,0)),"Insumo no está en Insumos",IF(OR(D1349="",E1349="",F1349=""),"Faltan datos",IF(INDEX(UnidadesBase,MATCH(E1349,Unidades,0))&lt;&gt;INDEX(InsBase,MATCH(B1349,ListaInsumos,0)),"Unidad incompatible",IF(A1349="","Falta fecha","OK")))))</f>
        <v/>
      </c>
      <c r="J1349" s="15"/>
    </row>
    <row r="1350" customFormat="false" ht="15" hidden="false" customHeight="false" outlineLevel="0" collapsed="false">
      <c r="A1350" s="26"/>
      <c r="B1350" s="15"/>
      <c r="C1350" s="15"/>
      <c r="D1350" s="27"/>
      <c r="E1350" s="15"/>
      <c r="F1350" s="28"/>
      <c r="G1350" s="25" t="str">
        <f aca="true">IF(OR(D1350="",E1350=""),"",IFERROR(D1350*INDEX(UnidadesFactor,MATCH(E1350,Unidades,0)),""))</f>
        <v/>
      </c>
      <c r="H1350" s="17" t="str">
        <f aca="false">IF(I1350&lt;&gt;"OK","",IF(G1350=0,"",F1350/G1350))</f>
        <v/>
      </c>
      <c r="I1350" s="20" t="str">
        <f aca="true">IF(B1350="","",IF(ISNA(MATCH(B1350,ListaInsumos,0)),"Insumo no está en Insumos",IF(OR(D1350="",E1350="",F1350=""),"Faltan datos",IF(INDEX(UnidadesBase,MATCH(E1350,Unidades,0))&lt;&gt;INDEX(InsBase,MATCH(B1350,ListaInsumos,0)),"Unidad incompatible",IF(A1350="","Falta fecha","OK")))))</f>
        <v/>
      </c>
      <c r="J1350" s="15"/>
    </row>
    <row r="1351" customFormat="false" ht="15" hidden="false" customHeight="false" outlineLevel="0" collapsed="false">
      <c r="A1351" s="26"/>
      <c r="B1351" s="15"/>
      <c r="C1351" s="15"/>
      <c r="D1351" s="27"/>
      <c r="E1351" s="15"/>
      <c r="F1351" s="28"/>
      <c r="G1351" s="25" t="str">
        <f aca="true">IF(OR(D1351="",E1351=""),"",IFERROR(D1351*INDEX(UnidadesFactor,MATCH(E1351,Unidades,0)),""))</f>
        <v/>
      </c>
      <c r="H1351" s="17" t="str">
        <f aca="false">IF(I1351&lt;&gt;"OK","",IF(G1351=0,"",F1351/G1351))</f>
        <v/>
      </c>
      <c r="I1351" s="20" t="str">
        <f aca="true">IF(B1351="","",IF(ISNA(MATCH(B1351,ListaInsumos,0)),"Insumo no está en Insumos",IF(OR(D1351="",E1351="",F1351=""),"Faltan datos",IF(INDEX(UnidadesBase,MATCH(E1351,Unidades,0))&lt;&gt;INDEX(InsBase,MATCH(B1351,ListaInsumos,0)),"Unidad incompatible",IF(A1351="","Falta fecha","OK")))))</f>
        <v/>
      </c>
      <c r="J1351" s="15"/>
    </row>
    <row r="1352" customFormat="false" ht="15" hidden="false" customHeight="false" outlineLevel="0" collapsed="false">
      <c r="A1352" s="26"/>
      <c r="B1352" s="15"/>
      <c r="C1352" s="15"/>
      <c r="D1352" s="27"/>
      <c r="E1352" s="15"/>
      <c r="F1352" s="28"/>
      <c r="G1352" s="25" t="str">
        <f aca="true">IF(OR(D1352="",E1352=""),"",IFERROR(D1352*INDEX(UnidadesFactor,MATCH(E1352,Unidades,0)),""))</f>
        <v/>
      </c>
      <c r="H1352" s="17" t="str">
        <f aca="false">IF(I1352&lt;&gt;"OK","",IF(G1352=0,"",F1352/G1352))</f>
        <v/>
      </c>
      <c r="I1352" s="20" t="str">
        <f aca="true">IF(B1352="","",IF(ISNA(MATCH(B1352,ListaInsumos,0)),"Insumo no está en Insumos",IF(OR(D1352="",E1352="",F1352=""),"Faltan datos",IF(INDEX(UnidadesBase,MATCH(E1352,Unidades,0))&lt;&gt;INDEX(InsBase,MATCH(B1352,ListaInsumos,0)),"Unidad incompatible",IF(A1352="","Falta fecha","OK")))))</f>
        <v/>
      </c>
      <c r="J1352" s="15"/>
    </row>
    <row r="1353" customFormat="false" ht="15" hidden="false" customHeight="false" outlineLevel="0" collapsed="false">
      <c r="A1353" s="26"/>
      <c r="B1353" s="15"/>
      <c r="C1353" s="15"/>
      <c r="D1353" s="27"/>
      <c r="E1353" s="15"/>
      <c r="F1353" s="28"/>
      <c r="G1353" s="25" t="str">
        <f aca="true">IF(OR(D1353="",E1353=""),"",IFERROR(D1353*INDEX(UnidadesFactor,MATCH(E1353,Unidades,0)),""))</f>
        <v/>
      </c>
      <c r="H1353" s="17" t="str">
        <f aca="false">IF(I1353&lt;&gt;"OK","",IF(G1353=0,"",F1353/G1353))</f>
        <v/>
      </c>
      <c r="I1353" s="20" t="str">
        <f aca="true">IF(B1353="","",IF(ISNA(MATCH(B1353,ListaInsumos,0)),"Insumo no está en Insumos",IF(OR(D1353="",E1353="",F1353=""),"Faltan datos",IF(INDEX(UnidadesBase,MATCH(E1353,Unidades,0))&lt;&gt;INDEX(InsBase,MATCH(B1353,ListaInsumos,0)),"Unidad incompatible",IF(A1353="","Falta fecha","OK")))))</f>
        <v/>
      </c>
      <c r="J1353" s="15"/>
    </row>
    <row r="1354" customFormat="false" ht="15" hidden="false" customHeight="false" outlineLevel="0" collapsed="false">
      <c r="A1354" s="26"/>
      <c r="B1354" s="15"/>
      <c r="C1354" s="15"/>
      <c r="D1354" s="27"/>
      <c r="E1354" s="15"/>
      <c r="F1354" s="28"/>
      <c r="G1354" s="25" t="str">
        <f aca="true">IF(OR(D1354="",E1354=""),"",IFERROR(D1354*INDEX(UnidadesFactor,MATCH(E1354,Unidades,0)),""))</f>
        <v/>
      </c>
      <c r="H1354" s="17" t="str">
        <f aca="false">IF(I1354&lt;&gt;"OK","",IF(G1354=0,"",F1354/G1354))</f>
        <v/>
      </c>
      <c r="I1354" s="20" t="str">
        <f aca="true">IF(B1354="","",IF(ISNA(MATCH(B1354,ListaInsumos,0)),"Insumo no está en Insumos",IF(OR(D1354="",E1354="",F1354=""),"Faltan datos",IF(INDEX(UnidadesBase,MATCH(E1354,Unidades,0))&lt;&gt;INDEX(InsBase,MATCH(B1354,ListaInsumos,0)),"Unidad incompatible",IF(A1354="","Falta fecha","OK")))))</f>
        <v/>
      </c>
      <c r="J1354" s="15"/>
    </row>
    <row r="1355" customFormat="false" ht="15" hidden="false" customHeight="false" outlineLevel="0" collapsed="false">
      <c r="A1355" s="26"/>
      <c r="B1355" s="15"/>
      <c r="C1355" s="15"/>
      <c r="D1355" s="27"/>
      <c r="E1355" s="15"/>
      <c r="F1355" s="28"/>
      <c r="G1355" s="25" t="str">
        <f aca="true">IF(OR(D1355="",E1355=""),"",IFERROR(D1355*INDEX(UnidadesFactor,MATCH(E1355,Unidades,0)),""))</f>
        <v/>
      </c>
      <c r="H1355" s="17" t="str">
        <f aca="false">IF(I1355&lt;&gt;"OK","",IF(G1355=0,"",F1355/G1355))</f>
        <v/>
      </c>
      <c r="I1355" s="20" t="str">
        <f aca="true">IF(B1355="","",IF(ISNA(MATCH(B1355,ListaInsumos,0)),"Insumo no está en Insumos",IF(OR(D1355="",E1355="",F1355=""),"Faltan datos",IF(INDEX(UnidadesBase,MATCH(E1355,Unidades,0))&lt;&gt;INDEX(InsBase,MATCH(B1355,ListaInsumos,0)),"Unidad incompatible",IF(A1355="","Falta fecha","OK")))))</f>
        <v/>
      </c>
      <c r="J1355" s="15"/>
    </row>
    <row r="1356" customFormat="false" ht="15" hidden="false" customHeight="false" outlineLevel="0" collapsed="false">
      <c r="A1356" s="26"/>
      <c r="B1356" s="15"/>
      <c r="C1356" s="15"/>
      <c r="D1356" s="27"/>
      <c r="E1356" s="15"/>
      <c r="F1356" s="28"/>
      <c r="G1356" s="25" t="str">
        <f aca="true">IF(OR(D1356="",E1356=""),"",IFERROR(D1356*INDEX(UnidadesFactor,MATCH(E1356,Unidades,0)),""))</f>
        <v/>
      </c>
      <c r="H1356" s="17" t="str">
        <f aca="false">IF(I1356&lt;&gt;"OK","",IF(G1356=0,"",F1356/G1356))</f>
        <v/>
      </c>
      <c r="I1356" s="20" t="str">
        <f aca="true">IF(B1356="","",IF(ISNA(MATCH(B1356,ListaInsumos,0)),"Insumo no está en Insumos",IF(OR(D1356="",E1356="",F1356=""),"Faltan datos",IF(INDEX(UnidadesBase,MATCH(E1356,Unidades,0))&lt;&gt;INDEX(InsBase,MATCH(B1356,ListaInsumos,0)),"Unidad incompatible",IF(A1356="","Falta fecha","OK")))))</f>
        <v/>
      </c>
      <c r="J1356" s="15"/>
    </row>
    <row r="1357" customFormat="false" ht="15" hidden="false" customHeight="false" outlineLevel="0" collapsed="false">
      <c r="A1357" s="26"/>
      <c r="B1357" s="15"/>
      <c r="C1357" s="15"/>
      <c r="D1357" s="27"/>
      <c r="E1357" s="15"/>
      <c r="F1357" s="28"/>
      <c r="G1357" s="25" t="str">
        <f aca="true">IF(OR(D1357="",E1357=""),"",IFERROR(D1357*INDEX(UnidadesFactor,MATCH(E1357,Unidades,0)),""))</f>
        <v/>
      </c>
      <c r="H1357" s="17" t="str">
        <f aca="false">IF(I1357&lt;&gt;"OK","",IF(G1357=0,"",F1357/G1357))</f>
        <v/>
      </c>
      <c r="I1357" s="20" t="str">
        <f aca="true">IF(B1357="","",IF(ISNA(MATCH(B1357,ListaInsumos,0)),"Insumo no está en Insumos",IF(OR(D1357="",E1357="",F1357=""),"Faltan datos",IF(INDEX(UnidadesBase,MATCH(E1357,Unidades,0))&lt;&gt;INDEX(InsBase,MATCH(B1357,ListaInsumos,0)),"Unidad incompatible",IF(A1357="","Falta fecha","OK")))))</f>
        <v/>
      </c>
      <c r="J1357" s="15"/>
    </row>
    <row r="1358" customFormat="false" ht="15" hidden="false" customHeight="false" outlineLevel="0" collapsed="false">
      <c r="A1358" s="26"/>
      <c r="B1358" s="15"/>
      <c r="C1358" s="15"/>
      <c r="D1358" s="27"/>
      <c r="E1358" s="15"/>
      <c r="F1358" s="28"/>
      <c r="G1358" s="25" t="str">
        <f aca="true">IF(OR(D1358="",E1358=""),"",IFERROR(D1358*INDEX(UnidadesFactor,MATCH(E1358,Unidades,0)),""))</f>
        <v/>
      </c>
      <c r="H1358" s="17" t="str">
        <f aca="false">IF(I1358&lt;&gt;"OK","",IF(G1358=0,"",F1358/G1358))</f>
        <v/>
      </c>
      <c r="I1358" s="20" t="str">
        <f aca="true">IF(B1358="","",IF(ISNA(MATCH(B1358,ListaInsumos,0)),"Insumo no está en Insumos",IF(OR(D1358="",E1358="",F1358=""),"Faltan datos",IF(INDEX(UnidadesBase,MATCH(E1358,Unidades,0))&lt;&gt;INDEX(InsBase,MATCH(B1358,ListaInsumos,0)),"Unidad incompatible",IF(A1358="","Falta fecha","OK")))))</f>
        <v/>
      </c>
      <c r="J1358" s="15"/>
    </row>
    <row r="1359" customFormat="false" ht="15" hidden="false" customHeight="false" outlineLevel="0" collapsed="false">
      <c r="A1359" s="26"/>
      <c r="B1359" s="15"/>
      <c r="C1359" s="15"/>
      <c r="D1359" s="27"/>
      <c r="E1359" s="15"/>
      <c r="F1359" s="28"/>
      <c r="G1359" s="25" t="str">
        <f aca="true">IF(OR(D1359="",E1359=""),"",IFERROR(D1359*INDEX(UnidadesFactor,MATCH(E1359,Unidades,0)),""))</f>
        <v/>
      </c>
      <c r="H1359" s="17" t="str">
        <f aca="false">IF(I1359&lt;&gt;"OK","",IF(G1359=0,"",F1359/G1359))</f>
        <v/>
      </c>
      <c r="I1359" s="20" t="str">
        <f aca="true">IF(B1359="","",IF(ISNA(MATCH(B1359,ListaInsumos,0)),"Insumo no está en Insumos",IF(OR(D1359="",E1359="",F1359=""),"Faltan datos",IF(INDEX(UnidadesBase,MATCH(E1359,Unidades,0))&lt;&gt;INDEX(InsBase,MATCH(B1359,ListaInsumos,0)),"Unidad incompatible",IF(A1359="","Falta fecha","OK")))))</f>
        <v/>
      </c>
      <c r="J1359" s="15"/>
    </row>
    <row r="1360" customFormat="false" ht="15" hidden="false" customHeight="false" outlineLevel="0" collapsed="false">
      <c r="A1360" s="26"/>
      <c r="B1360" s="15"/>
      <c r="C1360" s="15"/>
      <c r="D1360" s="27"/>
      <c r="E1360" s="15"/>
      <c r="F1360" s="28"/>
      <c r="G1360" s="25" t="str">
        <f aca="true">IF(OR(D1360="",E1360=""),"",IFERROR(D1360*INDEX(UnidadesFactor,MATCH(E1360,Unidades,0)),""))</f>
        <v/>
      </c>
      <c r="H1360" s="17" t="str">
        <f aca="false">IF(I1360&lt;&gt;"OK","",IF(G1360=0,"",F1360/G1360))</f>
        <v/>
      </c>
      <c r="I1360" s="20" t="str">
        <f aca="true">IF(B1360="","",IF(ISNA(MATCH(B1360,ListaInsumos,0)),"Insumo no está en Insumos",IF(OR(D1360="",E1360="",F1360=""),"Faltan datos",IF(INDEX(UnidadesBase,MATCH(E1360,Unidades,0))&lt;&gt;INDEX(InsBase,MATCH(B1360,ListaInsumos,0)),"Unidad incompatible",IF(A1360="","Falta fecha","OK")))))</f>
        <v/>
      </c>
      <c r="J1360" s="15"/>
    </row>
    <row r="1361" customFormat="false" ht="15" hidden="false" customHeight="false" outlineLevel="0" collapsed="false">
      <c r="A1361" s="26"/>
      <c r="B1361" s="15"/>
      <c r="C1361" s="15"/>
      <c r="D1361" s="27"/>
      <c r="E1361" s="15"/>
      <c r="F1361" s="28"/>
      <c r="G1361" s="25" t="str">
        <f aca="true">IF(OR(D1361="",E1361=""),"",IFERROR(D1361*INDEX(UnidadesFactor,MATCH(E1361,Unidades,0)),""))</f>
        <v/>
      </c>
      <c r="H1361" s="17" t="str">
        <f aca="false">IF(I1361&lt;&gt;"OK","",IF(G1361=0,"",F1361/G1361))</f>
        <v/>
      </c>
      <c r="I1361" s="20" t="str">
        <f aca="true">IF(B1361="","",IF(ISNA(MATCH(B1361,ListaInsumos,0)),"Insumo no está en Insumos",IF(OR(D1361="",E1361="",F1361=""),"Faltan datos",IF(INDEX(UnidadesBase,MATCH(E1361,Unidades,0))&lt;&gt;INDEX(InsBase,MATCH(B1361,ListaInsumos,0)),"Unidad incompatible",IF(A1361="","Falta fecha","OK")))))</f>
        <v/>
      </c>
      <c r="J1361" s="15"/>
    </row>
    <row r="1362" customFormat="false" ht="15" hidden="false" customHeight="false" outlineLevel="0" collapsed="false">
      <c r="A1362" s="26"/>
      <c r="B1362" s="15"/>
      <c r="C1362" s="15"/>
      <c r="D1362" s="27"/>
      <c r="E1362" s="15"/>
      <c r="F1362" s="28"/>
      <c r="G1362" s="25" t="str">
        <f aca="true">IF(OR(D1362="",E1362=""),"",IFERROR(D1362*INDEX(UnidadesFactor,MATCH(E1362,Unidades,0)),""))</f>
        <v/>
      </c>
      <c r="H1362" s="17" t="str">
        <f aca="false">IF(I1362&lt;&gt;"OK","",IF(G1362=0,"",F1362/G1362))</f>
        <v/>
      </c>
      <c r="I1362" s="20" t="str">
        <f aca="true">IF(B1362="","",IF(ISNA(MATCH(B1362,ListaInsumos,0)),"Insumo no está en Insumos",IF(OR(D1362="",E1362="",F1362=""),"Faltan datos",IF(INDEX(UnidadesBase,MATCH(E1362,Unidades,0))&lt;&gt;INDEX(InsBase,MATCH(B1362,ListaInsumos,0)),"Unidad incompatible",IF(A1362="","Falta fecha","OK")))))</f>
        <v/>
      </c>
      <c r="J1362" s="15"/>
    </row>
    <row r="1363" customFormat="false" ht="15" hidden="false" customHeight="false" outlineLevel="0" collapsed="false">
      <c r="A1363" s="26"/>
      <c r="B1363" s="15"/>
      <c r="C1363" s="15"/>
      <c r="D1363" s="27"/>
      <c r="E1363" s="15"/>
      <c r="F1363" s="28"/>
      <c r="G1363" s="25" t="str">
        <f aca="true">IF(OR(D1363="",E1363=""),"",IFERROR(D1363*INDEX(UnidadesFactor,MATCH(E1363,Unidades,0)),""))</f>
        <v/>
      </c>
      <c r="H1363" s="17" t="str">
        <f aca="false">IF(I1363&lt;&gt;"OK","",IF(G1363=0,"",F1363/G1363))</f>
        <v/>
      </c>
      <c r="I1363" s="20" t="str">
        <f aca="true">IF(B1363="","",IF(ISNA(MATCH(B1363,ListaInsumos,0)),"Insumo no está en Insumos",IF(OR(D1363="",E1363="",F1363=""),"Faltan datos",IF(INDEX(UnidadesBase,MATCH(E1363,Unidades,0))&lt;&gt;INDEX(InsBase,MATCH(B1363,ListaInsumos,0)),"Unidad incompatible",IF(A1363="","Falta fecha","OK")))))</f>
        <v/>
      </c>
      <c r="J1363" s="15"/>
    </row>
    <row r="1364" customFormat="false" ht="15" hidden="false" customHeight="false" outlineLevel="0" collapsed="false">
      <c r="A1364" s="26"/>
      <c r="B1364" s="15"/>
      <c r="C1364" s="15"/>
      <c r="D1364" s="27"/>
      <c r="E1364" s="15"/>
      <c r="F1364" s="28"/>
      <c r="G1364" s="25" t="str">
        <f aca="true">IF(OR(D1364="",E1364=""),"",IFERROR(D1364*INDEX(UnidadesFactor,MATCH(E1364,Unidades,0)),""))</f>
        <v/>
      </c>
      <c r="H1364" s="17" t="str">
        <f aca="false">IF(I1364&lt;&gt;"OK","",IF(G1364=0,"",F1364/G1364))</f>
        <v/>
      </c>
      <c r="I1364" s="20" t="str">
        <f aca="true">IF(B1364="","",IF(ISNA(MATCH(B1364,ListaInsumos,0)),"Insumo no está en Insumos",IF(OR(D1364="",E1364="",F1364=""),"Faltan datos",IF(INDEX(UnidadesBase,MATCH(E1364,Unidades,0))&lt;&gt;INDEX(InsBase,MATCH(B1364,ListaInsumos,0)),"Unidad incompatible",IF(A1364="","Falta fecha","OK")))))</f>
        <v/>
      </c>
      <c r="J1364" s="15"/>
    </row>
    <row r="1365" customFormat="false" ht="15" hidden="false" customHeight="false" outlineLevel="0" collapsed="false">
      <c r="A1365" s="26"/>
      <c r="B1365" s="15"/>
      <c r="C1365" s="15"/>
      <c r="D1365" s="27"/>
      <c r="E1365" s="15"/>
      <c r="F1365" s="28"/>
      <c r="G1365" s="25" t="str">
        <f aca="true">IF(OR(D1365="",E1365=""),"",IFERROR(D1365*INDEX(UnidadesFactor,MATCH(E1365,Unidades,0)),""))</f>
        <v/>
      </c>
      <c r="H1365" s="17" t="str">
        <f aca="false">IF(I1365&lt;&gt;"OK","",IF(G1365=0,"",F1365/G1365))</f>
        <v/>
      </c>
      <c r="I1365" s="20" t="str">
        <f aca="true">IF(B1365="","",IF(ISNA(MATCH(B1365,ListaInsumos,0)),"Insumo no está en Insumos",IF(OR(D1365="",E1365="",F1365=""),"Faltan datos",IF(INDEX(UnidadesBase,MATCH(E1365,Unidades,0))&lt;&gt;INDEX(InsBase,MATCH(B1365,ListaInsumos,0)),"Unidad incompatible",IF(A1365="","Falta fecha","OK")))))</f>
        <v/>
      </c>
      <c r="J1365" s="15"/>
    </row>
    <row r="1366" customFormat="false" ht="15" hidden="false" customHeight="false" outlineLevel="0" collapsed="false">
      <c r="A1366" s="26"/>
      <c r="B1366" s="15"/>
      <c r="C1366" s="15"/>
      <c r="D1366" s="27"/>
      <c r="E1366" s="15"/>
      <c r="F1366" s="28"/>
      <c r="G1366" s="25" t="str">
        <f aca="true">IF(OR(D1366="",E1366=""),"",IFERROR(D1366*INDEX(UnidadesFactor,MATCH(E1366,Unidades,0)),""))</f>
        <v/>
      </c>
      <c r="H1366" s="17" t="str">
        <f aca="false">IF(I1366&lt;&gt;"OK","",IF(G1366=0,"",F1366/G1366))</f>
        <v/>
      </c>
      <c r="I1366" s="20" t="str">
        <f aca="true">IF(B1366="","",IF(ISNA(MATCH(B1366,ListaInsumos,0)),"Insumo no está en Insumos",IF(OR(D1366="",E1366="",F1366=""),"Faltan datos",IF(INDEX(UnidadesBase,MATCH(E1366,Unidades,0))&lt;&gt;INDEX(InsBase,MATCH(B1366,ListaInsumos,0)),"Unidad incompatible",IF(A1366="","Falta fecha","OK")))))</f>
        <v/>
      </c>
      <c r="J1366" s="15"/>
    </row>
    <row r="1367" customFormat="false" ht="15" hidden="false" customHeight="false" outlineLevel="0" collapsed="false">
      <c r="A1367" s="26"/>
      <c r="B1367" s="15"/>
      <c r="C1367" s="15"/>
      <c r="D1367" s="27"/>
      <c r="E1367" s="15"/>
      <c r="F1367" s="28"/>
      <c r="G1367" s="25" t="str">
        <f aca="true">IF(OR(D1367="",E1367=""),"",IFERROR(D1367*INDEX(UnidadesFactor,MATCH(E1367,Unidades,0)),""))</f>
        <v/>
      </c>
      <c r="H1367" s="17" t="str">
        <f aca="false">IF(I1367&lt;&gt;"OK","",IF(G1367=0,"",F1367/G1367))</f>
        <v/>
      </c>
      <c r="I1367" s="20" t="str">
        <f aca="true">IF(B1367="","",IF(ISNA(MATCH(B1367,ListaInsumos,0)),"Insumo no está en Insumos",IF(OR(D1367="",E1367="",F1367=""),"Faltan datos",IF(INDEX(UnidadesBase,MATCH(E1367,Unidades,0))&lt;&gt;INDEX(InsBase,MATCH(B1367,ListaInsumos,0)),"Unidad incompatible",IF(A1367="","Falta fecha","OK")))))</f>
        <v/>
      </c>
      <c r="J1367" s="15"/>
    </row>
    <row r="1368" customFormat="false" ht="15" hidden="false" customHeight="false" outlineLevel="0" collapsed="false">
      <c r="A1368" s="26"/>
      <c r="B1368" s="15"/>
      <c r="C1368" s="15"/>
      <c r="D1368" s="27"/>
      <c r="E1368" s="15"/>
      <c r="F1368" s="28"/>
      <c r="G1368" s="25" t="str">
        <f aca="true">IF(OR(D1368="",E1368=""),"",IFERROR(D1368*INDEX(UnidadesFactor,MATCH(E1368,Unidades,0)),""))</f>
        <v/>
      </c>
      <c r="H1368" s="17" t="str">
        <f aca="false">IF(I1368&lt;&gt;"OK","",IF(G1368=0,"",F1368/G1368))</f>
        <v/>
      </c>
      <c r="I1368" s="20" t="str">
        <f aca="true">IF(B1368="","",IF(ISNA(MATCH(B1368,ListaInsumos,0)),"Insumo no está en Insumos",IF(OR(D1368="",E1368="",F1368=""),"Faltan datos",IF(INDEX(UnidadesBase,MATCH(E1368,Unidades,0))&lt;&gt;INDEX(InsBase,MATCH(B1368,ListaInsumos,0)),"Unidad incompatible",IF(A1368="","Falta fecha","OK")))))</f>
        <v/>
      </c>
      <c r="J1368" s="15"/>
    </row>
    <row r="1369" customFormat="false" ht="15" hidden="false" customHeight="false" outlineLevel="0" collapsed="false">
      <c r="A1369" s="26"/>
      <c r="B1369" s="15"/>
      <c r="C1369" s="15"/>
      <c r="D1369" s="27"/>
      <c r="E1369" s="15"/>
      <c r="F1369" s="28"/>
      <c r="G1369" s="25" t="str">
        <f aca="true">IF(OR(D1369="",E1369=""),"",IFERROR(D1369*INDEX(UnidadesFactor,MATCH(E1369,Unidades,0)),""))</f>
        <v/>
      </c>
      <c r="H1369" s="17" t="str">
        <f aca="false">IF(I1369&lt;&gt;"OK","",IF(G1369=0,"",F1369/G1369))</f>
        <v/>
      </c>
      <c r="I1369" s="20" t="str">
        <f aca="true">IF(B1369="","",IF(ISNA(MATCH(B1369,ListaInsumos,0)),"Insumo no está en Insumos",IF(OR(D1369="",E1369="",F1369=""),"Faltan datos",IF(INDEX(UnidadesBase,MATCH(E1369,Unidades,0))&lt;&gt;INDEX(InsBase,MATCH(B1369,ListaInsumos,0)),"Unidad incompatible",IF(A1369="","Falta fecha","OK")))))</f>
        <v/>
      </c>
      <c r="J1369" s="15"/>
    </row>
    <row r="1370" customFormat="false" ht="15" hidden="false" customHeight="false" outlineLevel="0" collapsed="false">
      <c r="A1370" s="26"/>
      <c r="B1370" s="15"/>
      <c r="C1370" s="15"/>
      <c r="D1370" s="27"/>
      <c r="E1370" s="15"/>
      <c r="F1370" s="28"/>
      <c r="G1370" s="25" t="str">
        <f aca="true">IF(OR(D1370="",E1370=""),"",IFERROR(D1370*INDEX(UnidadesFactor,MATCH(E1370,Unidades,0)),""))</f>
        <v/>
      </c>
      <c r="H1370" s="17" t="str">
        <f aca="false">IF(I1370&lt;&gt;"OK","",IF(G1370=0,"",F1370/G1370))</f>
        <v/>
      </c>
      <c r="I1370" s="20" t="str">
        <f aca="true">IF(B1370="","",IF(ISNA(MATCH(B1370,ListaInsumos,0)),"Insumo no está en Insumos",IF(OR(D1370="",E1370="",F1370=""),"Faltan datos",IF(INDEX(UnidadesBase,MATCH(E1370,Unidades,0))&lt;&gt;INDEX(InsBase,MATCH(B1370,ListaInsumos,0)),"Unidad incompatible",IF(A1370="","Falta fecha","OK")))))</f>
        <v/>
      </c>
      <c r="J1370" s="15"/>
    </row>
    <row r="1371" customFormat="false" ht="15" hidden="false" customHeight="false" outlineLevel="0" collapsed="false">
      <c r="A1371" s="26"/>
      <c r="B1371" s="15"/>
      <c r="C1371" s="15"/>
      <c r="D1371" s="27"/>
      <c r="E1371" s="15"/>
      <c r="F1371" s="28"/>
      <c r="G1371" s="25" t="str">
        <f aca="true">IF(OR(D1371="",E1371=""),"",IFERROR(D1371*INDEX(UnidadesFactor,MATCH(E1371,Unidades,0)),""))</f>
        <v/>
      </c>
      <c r="H1371" s="17" t="str">
        <f aca="false">IF(I1371&lt;&gt;"OK","",IF(G1371=0,"",F1371/G1371))</f>
        <v/>
      </c>
      <c r="I1371" s="20" t="str">
        <f aca="true">IF(B1371="","",IF(ISNA(MATCH(B1371,ListaInsumos,0)),"Insumo no está en Insumos",IF(OR(D1371="",E1371="",F1371=""),"Faltan datos",IF(INDEX(UnidadesBase,MATCH(E1371,Unidades,0))&lt;&gt;INDEX(InsBase,MATCH(B1371,ListaInsumos,0)),"Unidad incompatible",IF(A1371="","Falta fecha","OK")))))</f>
        <v/>
      </c>
      <c r="J1371" s="15"/>
    </row>
    <row r="1372" customFormat="false" ht="15" hidden="false" customHeight="false" outlineLevel="0" collapsed="false">
      <c r="A1372" s="26"/>
      <c r="B1372" s="15"/>
      <c r="C1372" s="15"/>
      <c r="D1372" s="27"/>
      <c r="E1372" s="15"/>
      <c r="F1372" s="28"/>
      <c r="G1372" s="25" t="str">
        <f aca="true">IF(OR(D1372="",E1372=""),"",IFERROR(D1372*INDEX(UnidadesFactor,MATCH(E1372,Unidades,0)),""))</f>
        <v/>
      </c>
      <c r="H1372" s="17" t="str">
        <f aca="false">IF(I1372&lt;&gt;"OK","",IF(G1372=0,"",F1372/G1372))</f>
        <v/>
      </c>
      <c r="I1372" s="20" t="str">
        <f aca="true">IF(B1372="","",IF(ISNA(MATCH(B1372,ListaInsumos,0)),"Insumo no está en Insumos",IF(OR(D1372="",E1372="",F1372=""),"Faltan datos",IF(INDEX(UnidadesBase,MATCH(E1372,Unidades,0))&lt;&gt;INDEX(InsBase,MATCH(B1372,ListaInsumos,0)),"Unidad incompatible",IF(A1372="","Falta fecha","OK")))))</f>
        <v/>
      </c>
      <c r="J1372" s="15"/>
    </row>
    <row r="1373" customFormat="false" ht="15" hidden="false" customHeight="false" outlineLevel="0" collapsed="false">
      <c r="A1373" s="26"/>
      <c r="B1373" s="15"/>
      <c r="C1373" s="15"/>
      <c r="D1373" s="27"/>
      <c r="E1373" s="15"/>
      <c r="F1373" s="28"/>
      <c r="G1373" s="25" t="str">
        <f aca="true">IF(OR(D1373="",E1373=""),"",IFERROR(D1373*INDEX(UnidadesFactor,MATCH(E1373,Unidades,0)),""))</f>
        <v/>
      </c>
      <c r="H1373" s="17" t="str">
        <f aca="false">IF(I1373&lt;&gt;"OK","",IF(G1373=0,"",F1373/G1373))</f>
        <v/>
      </c>
      <c r="I1373" s="20" t="str">
        <f aca="true">IF(B1373="","",IF(ISNA(MATCH(B1373,ListaInsumos,0)),"Insumo no está en Insumos",IF(OR(D1373="",E1373="",F1373=""),"Faltan datos",IF(INDEX(UnidadesBase,MATCH(E1373,Unidades,0))&lt;&gt;INDEX(InsBase,MATCH(B1373,ListaInsumos,0)),"Unidad incompatible",IF(A1373="","Falta fecha","OK")))))</f>
        <v/>
      </c>
      <c r="J1373" s="15"/>
    </row>
    <row r="1374" customFormat="false" ht="15" hidden="false" customHeight="false" outlineLevel="0" collapsed="false">
      <c r="A1374" s="26"/>
      <c r="B1374" s="15"/>
      <c r="C1374" s="15"/>
      <c r="D1374" s="27"/>
      <c r="E1374" s="15"/>
      <c r="F1374" s="28"/>
      <c r="G1374" s="25" t="str">
        <f aca="true">IF(OR(D1374="",E1374=""),"",IFERROR(D1374*INDEX(UnidadesFactor,MATCH(E1374,Unidades,0)),""))</f>
        <v/>
      </c>
      <c r="H1374" s="17" t="str">
        <f aca="false">IF(I1374&lt;&gt;"OK","",IF(G1374=0,"",F1374/G1374))</f>
        <v/>
      </c>
      <c r="I1374" s="20" t="str">
        <f aca="true">IF(B1374="","",IF(ISNA(MATCH(B1374,ListaInsumos,0)),"Insumo no está en Insumos",IF(OR(D1374="",E1374="",F1374=""),"Faltan datos",IF(INDEX(UnidadesBase,MATCH(E1374,Unidades,0))&lt;&gt;INDEX(InsBase,MATCH(B1374,ListaInsumos,0)),"Unidad incompatible",IF(A1374="","Falta fecha","OK")))))</f>
        <v/>
      </c>
      <c r="J1374" s="15"/>
    </row>
    <row r="1375" customFormat="false" ht="15" hidden="false" customHeight="false" outlineLevel="0" collapsed="false">
      <c r="A1375" s="26"/>
      <c r="B1375" s="15"/>
      <c r="C1375" s="15"/>
      <c r="D1375" s="27"/>
      <c r="E1375" s="15"/>
      <c r="F1375" s="28"/>
      <c r="G1375" s="25" t="str">
        <f aca="true">IF(OR(D1375="",E1375=""),"",IFERROR(D1375*INDEX(UnidadesFactor,MATCH(E1375,Unidades,0)),""))</f>
        <v/>
      </c>
      <c r="H1375" s="17" t="str">
        <f aca="false">IF(I1375&lt;&gt;"OK","",IF(G1375=0,"",F1375/G1375))</f>
        <v/>
      </c>
      <c r="I1375" s="20" t="str">
        <f aca="true">IF(B1375="","",IF(ISNA(MATCH(B1375,ListaInsumos,0)),"Insumo no está en Insumos",IF(OR(D1375="",E1375="",F1375=""),"Faltan datos",IF(INDEX(UnidadesBase,MATCH(E1375,Unidades,0))&lt;&gt;INDEX(InsBase,MATCH(B1375,ListaInsumos,0)),"Unidad incompatible",IF(A1375="","Falta fecha","OK")))))</f>
        <v/>
      </c>
      <c r="J1375" s="15"/>
    </row>
    <row r="1376" customFormat="false" ht="15" hidden="false" customHeight="false" outlineLevel="0" collapsed="false">
      <c r="A1376" s="26"/>
      <c r="B1376" s="15"/>
      <c r="C1376" s="15"/>
      <c r="D1376" s="27"/>
      <c r="E1376" s="15"/>
      <c r="F1376" s="28"/>
      <c r="G1376" s="25" t="str">
        <f aca="true">IF(OR(D1376="",E1376=""),"",IFERROR(D1376*INDEX(UnidadesFactor,MATCH(E1376,Unidades,0)),""))</f>
        <v/>
      </c>
      <c r="H1376" s="17" t="str">
        <f aca="false">IF(I1376&lt;&gt;"OK","",IF(G1376=0,"",F1376/G1376))</f>
        <v/>
      </c>
      <c r="I1376" s="20" t="str">
        <f aca="true">IF(B1376="","",IF(ISNA(MATCH(B1376,ListaInsumos,0)),"Insumo no está en Insumos",IF(OR(D1376="",E1376="",F1376=""),"Faltan datos",IF(INDEX(UnidadesBase,MATCH(E1376,Unidades,0))&lt;&gt;INDEX(InsBase,MATCH(B1376,ListaInsumos,0)),"Unidad incompatible",IF(A1376="","Falta fecha","OK")))))</f>
        <v/>
      </c>
      <c r="J1376" s="15"/>
    </row>
    <row r="1377" customFormat="false" ht="15" hidden="false" customHeight="false" outlineLevel="0" collapsed="false">
      <c r="A1377" s="26"/>
      <c r="B1377" s="15"/>
      <c r="C1377" s="15"/>
      <c r="D1377" s="27"/>
      <c r="E1377" s="15"/>
      <c r="F1377" s="28"/>
      <c r="G1377" s="25" t="str">
        <f aca="true">IF(OR(D1377="",E1377=""),"",IFERROR(D1377*INDEX(UnidadesFactor,MATCH(E1377,Unidades,0)),""))</f>
        <v/>
      </c>
      <c r="H1377" s="17" t="str">
        <f aca="false">IF(I1377&lt;&gt;"OK","",IF(G1377=0,"",F1377/G1377))</f>
        <v/>
      </c>
      <c r="I1377" s="20" t="str">
        <f aca="true">IF(B1377="","",IF(ISNA(MATCH(B1377,ListaInsumos,0)),"Insumo no está en Insumos",IF(OR(D1377="",E1377="",F1377=""),"Faltan datos",IF(INDEX(UnidadesBase,MATCH(E1377,Unidades,0))&lt;&gt;INDEX(InsBase,MATCH(B1377,ListaInsumos,0)),"Unidad incompatible",IF(A1377="","Falta fecha","OK")))))</f>
        <v/>
      </c>
      <c r="J1377" s="15"/>
    </row>
    <row r="1378" customFormat="false" ht="15" hidden="false" customHeight="false" outlineLevel="0" collapsed="false">
      <c r="A1378" s="26"/>
      <c r="B1378" s="15"/>
      <c r="C1378" s="15"/>
      <c r="D1378" s="27"/>
      <c r="E1378" s="15"/>
      <c r="F1378" s="28"/>
      <c r="G1378" s="25" t="str">
        <f aca="true">IF(OR(D1378="",E1378=""),"",IFERROR(D1378*INDEX(UnidadesFactor,MATCH(E1378,Unidades,0)),""))</f>
        <v/>
      </c>
      <c r="H1378" s="17" t="str">
        <f aca="false">IF(I1378&lt;&gt;"OK","",IF(G1378=0,"",F1378/G1378))</f>
        <v/>
      </c>
      <c r="I1378" s="20" t="str">
        <f aca="true">IF(B1378="","",IF(ISNA(MATCH(B1378,ListaInsumos,0)),"Insumo no está en Insumos",IF(OR(D1378="",E1378="",F1378=""),"Faltan datos",IF(INDEX(UnidadesBase,MATCH(E1378,Unidades,0))&lt;&gt;INDEX(InsBase,MATCH(B1378,ListaInsumos,0)),"Unidad incompatible",IF(A1378="","Falta fecha","OK")))))</f>
        <v/>
      </c>
      <c r="J1378" s="15"/>
    </row>
    <row r="1379" customFormat="false" ht="15" hidden="false" customHeight="false" outlineLevel="0" collapsed="false">
      <c r="A1379" s="26"/>
      <c r="B1379" s="15"/>
      <c r="C1379" s="15"/>
      <c r="D1379" s="27"/>
      <c r="E1379" s="15"/>
      <c r="F1379" s="28"/>
      <c r="G1379" s="25" t="str">
        <f aca="true">IF(OR(D1379="",E1379=""),"",IFERROR(D1379*INDEX(UnidadesFactor,MATCH(E1379,Unidades,0)),""))</f>
        <v/>
      </c>
      <c r="H1379" s="17" t="str">
        <f aca="false">IF(I1379&lt;&gt;"OK","",IF(G1379=0,"",F1379/G1379))</f>
        <v/>
      </c>
      <c r="I1379" s="20" t="str">
        <f aca="true">IF(B1379="","",IF(ISNA(MATCH(B1379,ListaInsumos,0)),"Insumo no está en Insumos",IF(OR(D1379="",E1379="",F1379=""),"Faltan datos",IF(INDEX(UnidadesBase,MATCH(E1379,Unidades,0))&lt;&gt;INDEX(InsBase,MATCH(B1379,ListaInsumos,0)),"Unidad incompatible",IF(A1379="","Falta fecha","OK")))))</f>
        <v/>
      </c>
      <c r="J1379" s="15"/>
    </row>
    <row r="1380" customFormat="false" ht="15" hidden="false" customHeight="false" outlineLevel="0" collapsed="false">
      <c r="A1380" s="26"/>
      <c r="B1380" s="15"/>
      <c r="C1380" s="15"/>
      <c r="D1380" s="27"/>
      <c r="E1380" s="15"/>
      <c r="F1380" s="28"/>
      <c r="G1380" s="25" t="str">
        <f aca="true">IF(OR(D1380="",E1380=""),"",IFERROR(D1380*INDEX(UnidadesFactor,MATCH(E1380,Unidades,0)),""))</f>
        <v/>
      </c>
      <c r="H1380" s="17" t="str">
        <f aca="false">IF(I1380&lt;&gt;"OK","",IF(G1380=0,"",F1380/G1380))</f>
        <v/>
      </c>
      <c r="I1380" s="20" t="str">
        <f aca="true">IF(B1380="","",IF(ISNA(MATCH(B1380,ListaInsumos,0)),"Insumo no está en Insumos",IF(OR(D1380="",E1380="",F1380=""),"Faltan datos",IF(INDEX(UnidadesBase,MATCH(E1380,Unidades,0))&lt;&gt;INDEX(InsBase,MATCH(B1380,ListaInsumos,0)),"Unidad incompatible",IF(A1380="","Falta fecha","OK")))))</f>
        <v/>
      </c>
      <c r="J1380" s="15"/>
    </row>
    <row r="1381" customFormat="false" ht="15" hidden="false" customHeight="false" outlineLevel="0" collapsed="false">
      <c r="A1381" s="26"/>
      <c r="B1381" s="15"/>
      <c r="C1381" s="15"/>
      <c r="D1381" s="27"/>
      <c r="E1381" s="15"/>
      <c r="F1381" s="28"/>
      <c r="G1381" s="25" t="str">
        <f aca="true">IF(OR(D1381="",E1381=""),"",IFERROR(D1381*INDEX(UnidadesFactor,MATCH(E1381,Unidades,0)),""))</f>
        <v/>
      </c>
      <c r="H1381" s="17" t="str">
        <f aca="false">IF(I1381&lt;&gt;"OK","",IF(G1381=0,"",F1381/G1381))</f>
        <v/>
      </c>
      <c r="I1381" s="20" t="str">
        <f aca="true">IF(B1381="","",IF(ISNA(MATCH(B1381,ListaInsumos,0)),"Insumo no está en Insumos",IF(OR(D1381="",E1381="",F1381=""),"Faltan datos",IF(INDEX(UnidadesBase,MATCH(E1381,Unidades,0))&lt;&gt;INDEX(InsBase,MATCH(B1381,ListaInsumos,0)),"Unidad incompatible",IF(A1381="","Falta fecha","OK")))))</f>
        <v/>
      </c>
      <c r="J1381" s="15"/>
    </row>
    <row r="1382" customFormat="false" ht="15" hidden="false" customHeight="false" outlineLevel="0" collapsed="false">
      <c r="A1382" s="26"/>
      <c r="B1382" s="15"/>
      <c r="C1382" s="15"/>
      <c r="D1382" s="27"/>
      <c r="E1382" s="15"/>
      <c r="F1382" s="28"/>
      <c r="G1382" s="25" t="str">
        <f aca="true">IF(OR(D1382="",E1382=""),"",IFERROR(D1382*INDEX(UnidadesFactor,MATCH(E1382,Unidades,0)),""))</f>
        <v/>
      </c>
      <c r="H1382" s="17" t="str">
        <f aca="false">IF(I1382&lt;&gt;"OK","",IF(G1382=0,"",F1382/G1382))</f>
        <v/>
      </c>
      <c r="I1382" s="20" t="str">
        <f aca="true">IF(B1382="","",IF(ISNA(MATCH(B1382,ListaInsumos,0)),"Insumo no está en Insumos",IF(OR(D1382="",E1382="",F1382=""),"Faltan datos",IF(INDEX(UnidadesBase,MATCH(E1382,Unidades,0))&lt;&gt;INDEX(InsBase,MATCH(B1382,ListaInsumos,0)),"Unidad incompatible",IF(A1382="","Falta fecha","OK")))))</f>
        <v/>
      </c>
      <c r="J1382" s="15"/>
    </row>
    <row r="1383" customFormat="false" ht="15" hidden="false" customHeight="false" outlineLevel="0" collapsed="false">
      <c r="A1383" s="26"/>
      <c r="B1383" s="15"/>
      <c r="C1383" s="15"/>
      <c r="D1383" s="27"/>
      <c r="E1383" s="15"/>
      <c r="F1383" s="28"/>
      <c r="G1383" s="25" t="str">
        <f aca="true">IF(OR(D1383="",E1383=""),"",IFERROR(D1383*INDEX(UnidadesFactor,MATCH(E1383,Unidades,0)),""))</f>
        <v/>
      </c>
      <c r="H1383" s="17" t="str">
        <f aca="false">IF(I1383&lt;&gt;"OK","",IF(G1383=0,"",F1383/G1383))</f>
        <v/>
      </c>
      <c r="I1383" s="20" t="str">
        <f aca="true">IF(B1383="","",IF(ISNA(MATCH(B1383,ListaInsumos,0)),"Insumo no está en Insumos",IF(OR(D1383="",E1383="",F1383=""),"Faltan datos",IF(INDEX(UnidadesBase,MATCH(E1383,Unidades,0))&lt;&gt;INDEX(InsBase,MATCH(B1383,ListaInsumos,0)),"Unidad incompatible",IF(A1383="","Falta fecha","OK")))))</f>
        <v/>
      </c>
      <c r="J1383" s="15"/>
    </row>
    <row r="1384" customFormat="false" ht="15" hidden="false" customHeight="false" outlineLevel="0" collapsed="false">
      <c r="A1384" s="26"/>
      <c r="B1384" s="15"/>
      <c r="C1384" s="15"/>
      <c r="D1384" s="27"/>
      <c r="E1384" s="15"/>
      <c r="F1384" s="28"/>
      <c r="G1384" s="25" t="str">
        <f aca="true">IF(OR(D1384="",E1384=""),"",IFERROR(D1384*INDEX(UnidadesFactor,MATCH(E1384,Unidades,0)),""))</f>
        <v/>
      </c>
      <c r="H1384" s="17" t="str">
        <f aca="false">IF(I1384&lt;&gt;"OK","",IF(G1384=0,"",F1384/G1384))</f>
        <v/>
      </c>
      <c r="I1384" s="20" t="str">
        <f aca="true">IF(B1384="","",IF(ISNA(MATCH(B1384,ListaInsumos,0)),"Insumo no está en Insumos",IF(OR(D1384="",E1384="",F1384=""),"Faltan datos",IF(INDEX(UnidadesBase,MATCH(E1384,Unidades,0))&lt;&gt;INDEX(InsBase,MATCH(B1384,ListaInsumos,0)),"Unidad incompatible",IF(A1384="","Falta fecha","OK")))))</f>
        <v/>
      </c>
      <c r="J1384" s="15"/>
    </row>
    <row r="1385" customFormat="false" ht="15" hidden="false" customHeight="false" outlineLevel="0" collapsed="false">
      <c r="A1385" s="26"/>
      <c r="B1385" s="15"/>
      <c r="C1385" s="15"/>
      <c r="D1385" s="27"/>
      <c r="E1385" s="15"/>
      <c r="F1385" s="28"/>
      <c r="G1385" s="25" t="str">
        <f aca="true">IF(OR(D1385="",E1385=""),"",IFERROR(D1385*INDEX(UnidadesFactor,MATCH(E1385,Unidades,0)),""))</f>
        <v/>
      </c>
      <c r="H1385" s="17" t="str">
        <f aca="false">IF(I1385&lt;&gt;"OK","",IF(G1385=0,"",F1385/G1385))</f>
        <v/>
      </c>
      <c r="I1385" s="20" t="str">
        <f aca="true">IF(B1385="","",IF(ISNA(MATCH(B1385,ListaInsumos,0)),"Insumo no está en Insumos",IF(OR(D1385="",E1385="",F1385=""),"Faltan datos",IF(INDEX(UnidadesBase,MATCH(E1385,Unidades,0))&lt;&gt;INDEX(InsBase,MATCH(B1385,ListaInsumos,0)),"Unidad incompatible",IF(A1385="","Falta fecha","OK")))))</f>
        <v/>
      </c>
      <c r="J1385" s="15"/>
    </row>
    <row r="1386" customFormat="false" ht="15" hidden="false" customHeight="false" outlineLevel="0" collapsed="false">
      <c r="A1386" s="26"/>
      <c r="B1386" s="15"/>
      <c r="C1386" s="15"/>
      <c r="D1386" s="27"/>
      <c r="E1386" s="15"/>
      <c r="F1386" s="28"/>
      <c r="G1386" s="25" t="str">
        <f aca="true">IF(OR(D1386="",E1386=""),"",IFERROR(D1386*INDEX(UnidadesFactor,MATCH(E1386,Unidades,0)),""))</f>
        <v/>
      </c>
      <c r="H1386" s="17" t="str">
        <f aca="false">IF(I1386&lt;&gt;"OK","",IF(G1386=0,"",F1386/G1386))</f>
        <v/>
      </c>
      <c r="I1386" s="20" t="str">
        <f aca="true">IF(B1386="","",IF(ISNA(MATCH(B1386,ListaInsumos,0)),"Insumo no está en Insumos",IF(OR(D1386="",E1386="",F1386=""),"Faltan datos",IF(INDEX(UnidadesBase,MATCH(E1386,Unidades,0))&lt;&gt;INDEX(InsBase,MATCH(B1386,ListaInsumos,0)),"Unidad incompatible",IF(A1386="","Falta fecha","OK")))))</f>
        <v/>
      </c>
      <c r="J1386" s="15"/>
    </row>
    <row r="1387" customFormat="false" ht="15" hidden="false" customHeight="false" outlineLevel="0" collapsed="false">
      <c r="A1387" s="26"/>
      <c r="B1387" s="15"/>
      <c r="C1387" s="15"/>
      <c r="D1387" s="27"/>
      <c r="E1387" s="15"/>
      <c r="F1387" s="28"/>
      <c r="G1387" s="25" t="str">
        <f aca="true">IF(OR(D1387="",E1387=""),"",IFERROR(D1387*INDEX(UnidadesFactor,MATCH(E1387,Unidades,0)),""))</f>
        <v/>
      </c>
      <c r="H1387" s="17" t="str">
        <f aca="false">IF(I1387&lt;&gt;"OK","",IF(G1387=0,"",F1387/G1387))</f>
        <v/>
      </c>
      <c r="I1387" s="20" t="str">
        <f aca="true">IF(B1387="","",IF(ISNA(MATCH(B1387,ListaInsumos,0)),"Insumo no está en Insumos",IF(OR(D1387="",E1387="",F1387=""),"Faltan datos",IF(INDEX(UnidadesBase,MATCH(E1387,Unidades,0))&lt;&gt;INDEX(InsBase,MATCH(B1387,ListaInsumos,0)),"Unidad incompatible",IF(A1387="","Falta fecha","OK")))))</f>
        <v/>
      </c>
      <c r="J1387" s="15"/>
    </row>
    <row r="1388" customFormat="false" ht="15" hidden="false" customHeight="false" outlineLevel="0" collapsed="false">
      <c r="A1388" s="26"/>
      <c r="B1388" s="15"/>
      <c r="C1388" s="15"/>
      <c r="D1388" s="27"/>
      <c r="E1388" s="15"/>
      <c r="F1388" s="28"/>
      <c r="G1388" s="25" t="str">
        <f aca="true">IF(OR(D1388="",E1388=""),"",IFERROR(D1388*INDEX(UnidadesFactor,MATCH(E1388,Unidades,0)),""))</f>
        <v/>
      </c>
      <c r="H1388" s="17" t="str">
        <f aca="false">IF(I1388&lt;&gt;"OK","",IF(G1388=0,"",F1388/G1388))</f>
        <v/>
      </c>
      <c r="I1388" s="20" t="str">
        <f aca="true">IF(B1388="","",IF(ISNA(MATCH(B1388,ListaInsumos,0)),"Insumo no está en Insumos",IF(OR(D1388="",E1388="",F1388=""),"Faltan datos",IF(INDEX(UnidadesBase,MATCH(E1388,Unidades,0))&lt;&gt;INDEX(InsBase,MATCH(B1388,ListaInsumos,0)),"Unidad incompatible",IF(A1388="","Falta fecha","OK")))))</f>
        <v/>
      </c>
      <c r="J1388" s="15"/>
    </row>
    <row r="1389" customFormat="false" ht="15" hidden="false" customHeight="false" outlineLevel="0" collapsed="false">
      <c r="A1389" s="26"/>
      <c r="B1389" s="15"/>
      <c r="C1389" s="15"/>
      <c r="D1389" s="27"/>
      <c r="E1389" s="15"/>
      <c r="F1389" s="28"/>
      <c r="G1389" s="25" t="str">
        <f aca="true">IF(OR(D1389="",E1389=""),"",IFERROR(D1389*INDEX(UnidadesFactor,MATCH(E1389,Unidades,0)),""))</f>
        <v/>
      </c>
      <c r="H1389" s="17" t="str">
        <f aca="false">IF(I1389&lt;&gt;"OK","",IF(G1389=0,"",F1389/G1389))</f>
        <v/>
      </c>
      <c r="I1389" s="20" t="str">
        <f aca="true">IF(B1389="","",IF(ISNA(MATCH(B1389,ListaInsumos,0)),"Insumo no está en Insumos",IF(OR(D1389="",E1389="",F1389=""),"Faltan datos",IF(INDEX(UnidadesBase,MATCH(E1389,Unidades,0))&lt;&gt;INDEX(InsBase,MATCH(B1389,ListaInsumos,0)),"Unidad incompatible",IF(A1389="","Falta fecha","OK")))))</f>
        <v/>
      </c>
      <c r="J1389" s="15"/>
    </row>
    <row r="1390" customFormat="false" ht="15" hidden="false" customHeight="false" outlineLevel="0" collapsed="false">
      <c r="A1390" s="26"/>
      <c r="B1390" s="15"/>
      <c r="C1390" s="15"/>
      <c r="D1390" s="27"/>
      <c r="E1390" s="15"/>
      <c r="F1390" s="28"/>
      <c r="G1390" s="25" t="str">
        <f aca="true">IF(OR(D1390="",E1390=""),"",IFERROR(D1390*INDEX(UnidadesFactor,MATCH(E1390,Unidades,0)),""))</f>
        <v/>
      </c>
      <c r="H1390" s="17" t="str">
        <f aca="false">IF(I1390&lt;&gt;"OK","",IF(G1390=0,"",F1390/G1390))</f>
        <v/>
      </c>
      <c r="I1390" s="20" t="str">
        <f aca="true">IF(B1390="","",IF(ISNA(MATCH(B1390,ListaInsumos,0)),"Insumo no está en Insumos",IF(OR(D1390="",E1390="",F1390=""),"Faltan datos",IF(INDEX(UnidadesBase,MATCH(E1390,Unidades,0))&lt;&gt;INDEX(InsBase,MATCH(B1390,ListaInsumos,0)),"Unidad incompatible",IF(A1390="","Falta fecha","OK")))))</f>
        <v/>
      </c>
      <c r="J1390" s="15"/>
    </row>
    <row r="1391" customFormat="false" ht="15" hidden="false" customHeight="false" outlineLevel="0" collapsed="false">
      <c r="A1391" s="26"/>
      <c r="B1391" s="15"/>
      <c r="C1391" s="15"/>
      <c r="D1391" s="27"/>
      <c r="E1391" s="15"/>
      <c r="F1391" s="28"/>
      <c r="G1391" s="25" t="str">
        <f aca="true">IF(OR(D1391="",E1391=""),"",IFERROR(D1391*INDEX(UnidadesFactor,MATCH(E1391,Unidades,0)),""))</f>
        <v/>
      </c>
      <c r="H1391" s="17" t="str">
        <f aca="false">IF(I1391&lt;&gt;"OK","",IF(G1391=0,"",F1391/G1391))</f>
        <v/>
      </c>
      <c r="I1391" s="20" t="str">
        <f aca="true">IF(B1391="","",IF(ISNA(MATCH(B1391,ListaInsumos,0)),"Insumo no está en Insumos",IF(OR(D1391="",E1391="",F1391=""),"Faltan datos",IF(INDEX(UnidadesBase,MATCH(E1391,Unidades,0))&lt;&gt;INDEX(InsBase,MATCH(B1391,ListaInsumos,0)),"Unidad incompatible",IF(A1391="","Falta fecha","OK")))))</f>
        <v/>
      </c>
      <c r="J1391" s="15"/>
    </row>
    <row r="1392" customFormat="false" ht="15" hidden="false" customHeight="false" outlineLevel="0" collapsed="false">
      <c r="A1392" s="26"/>
      <c r="B1392" s="15"/>
      <c r="C1392" s="15"/>
      <c r="D1392" s="27"/>
      <c r="E1392" s="15"/>
      <c r="F1392" s="28"/>
      <c r="G1392" s="25" t="str">
        <f aca="true">IF(OR(D1392="",E1392=""),"",IFERROR(D1392*INDEX(UnidadesFactor,MATCH(E1392,Unidades,0)),""))</f>
        <v/>
      </c>
      <c r="H1392" s="17" t="str">
        <f aca="false">IF(I1392&lt;&gt;"OK","",IF(G1392=0,"",F1392/G1392))</f>
        <v/>
      </c>
      <c r="I1392" s="20" t="str">
        <f aca="true">IF(B1392="","",IF(ISNA(MATCH(B1392,ListaInsumos,0)),"Insumo no está en Insumos",IF(OR(D1392="",E1392="",F1392=""),"Faltan datos",IF(INDEX(UnidadesBase,MATCH(E1392,Unidades,0))&lt;&gt;INDEX(InsBase,MATCH(B1392,ListaInsumos,0)),"Unidad incompatible",IF(A1392="","Falta fecha","OK")))))</f>
        <v/>
      </c>
      <c r="J1392" s="15"/>
    </row>
    <row r="1393" customFormat="false" ht="15" hidden="false" customHeight="false" outlineLevel="0" collapsed="false">
      <c r="A1393" s="26"/>
      <c r="B1393" s="15"/>
      <c r="C1393" s="15"/>
      <c r="D1393" s="27"/>
      <c r="E1393" s="15"/>
      <c r="F1393" s="28"/>
      <c r="G1393" s="25" t="str">
        <f aca="true">IF(OR(D1393="",E1393=""),"",IFERROR(D1393*INDEX(UnidadesFactor,MATCH(E1393,Unidades,0)),""))</f>
        <v/>
      </c>
      <c r="H1393" s="17" t="str">
        <f aca="false">IF(I1393&lt;&gt;"OK","",IF(G1393=0,"",F1393/G1393))</f>
        <v/>
      </c>
      <c r="I1393" s="20" t="str">
        <f aca="true">IF(B1393="","",IF(ISNA(MATCH(B1393,ListaInsumos,0)),"Insumo no está en Insumos",IF(OR(D1393="",E1393="",F1393=""),"Faltan datos",IF(INDEX(UnidadesBase,MATCH(E1393,Unidades,0))&lt;&gt;INDEX(InsBase,MATCH(B1393,ListaInsumos,0)),"Unidad incompatible",IF(A1393="","Falta fecha","OK")))))</f>
        <v/>
      </c>
      <c r="J1393" s="15"/>
    </row>
    <row r="1394" customFormat="false" ht="15" hidden="false" customHeight="false" outlineLevel="0" collapsed="false">
      <c r="A1394" s="26"/>
      <c r="B1394" s="15"/>
      <c r="C1394" s="15"/>
      <c r="D1394" s="27"/>
      <c r="E1394" s="15"/>
      <c r="F1394" s="28"/>
      <c r="G1394" s="25" t="str">
        <f aca="true">IF(OR(D1394="",E1394=""),"",IFERROR(D1394*INDEX(UnidadesFactor,MATCH(E1394,Unidades,0)),""))</f>
        <v/>
      </c>
      <c r="H1394" s="17" t="str">
        <f aca="false">IF(I1394&lt;&gt;"OK","",IF(G1394=0,"",F1394/G1394))</f>
        <v/>
      </c>
      <c r="I1394" s="20" t="str">
        <f aca="true">IF(B1394="","",IF(ISNA(MATCH(B1394,ListaInsumos,0)),"Insumo no está en Insumos",IF(OR(D1394="",E1394="",F1394=""),"Faltan datos",IF(INDEX(UnidadesBase,MATCH(E1394,Unidades,0))&lt;&gt;INDEX(InsBase,MATCH(B1394,ListaInsumos,0)),"Unidad incompatible",IF(A1394="","Falta fecha","OK")))))</f>
        <v/>
      </c>
      <c r="J1394" s="15"/>
    </row>
    <row r="1395" customFormat="false" ht="15" hidden="false" customHeight="false" outlineLevel="0" collapsed="false">
      <c r="A1395" s="26"/>
      <c r="B1395" s="15"/>
      <c r="C1395" s="15"/>
      <c r="D1395" s="27"/>
      <c r="E1395" s="15"/>
      <c r="F1395" s="28"/>
      <c r="G1395" s="25" t="str">
        <f aca="true">IF(OR(D1395="",E1395=""),"",IFERROR(D1395*INDEX(UnidadesFactor,MATCH(E1395,Unidades,0)),""))</f>
        <v/>
      </c>
      <c r="H1395" s="17" t="str">
        <f aca="false">IF(I1395&lt;&gt;"OK","",IF(G1395=0,"",F1395/G1395))</f>
        <v/>
      </c>
      <c r="I1395" s="20" t="str">
        <f aca="true">IF(B1395="","",IF(ISNA(MATCH(B1395,ListaInsumos,0)),"Insumo no está en Insumos",IF(OR(D1395="",E1395="",F1395=""),"Faltan datos",IF(INDEX(UnidadesBase,MATCH(E1395,Unidades,0))&lt;&gt;INDEX(InsBase,MATCH(B1395,ListaInsumos,0)),"Unidad incompatible",IF(A1395="","Falta fecha","OK")))))</f>
        <v/>
      </c>
      <c r="J1395" s="15"/>
    </row>
    <row r="1396" customFormat="false" ht="15" hidden="false" customHeight="false" outlineLevel="0" collapsed="false">
      <c r="A1396" s="26"/>
      <c r="B1396" s="15"/>
      <c r="C1396" s="15"/>
      <c r="D1396" s="27"/>
      <c r="E1396" s="15"/>
      <c r="F1396" s="28"/>
      <c r="G1396" s="25" t="str">
        <f aca="true">IF(OR(D1396="",E1396=""),"",IFERROR(D1396*INDEX(UnidadesFactor,MATCH(E1396,Unidades,0)),""))</f>
        <v/>
      </c>
      <c r="H1396" s="17" t="str">
        <f aca="false">IF(I1396&lt;&gt;"OK","",IF(G1396=0,"",F1396/G1396))</f>
        <v/>
      </c>
      <c r="I1396" s="20" t="str">
        <f aca="true">IF(B1396="","",IF(ISNA(MATCH(B1396,ListaInsumos,0)),"Insumo no está en Insumos",IF(OR(D1396="",E1396="",F1396=""),"Faltan datos",IF(INDEX(UnidadesBase,MATCH(E1396,Unidades,0))&lt;&gt;INDEX(InsBase,MATCH(B1396,ListaInsumos,0)),"Unidad incompatible",IF(A1396="","Falta fecha","OK")))))</f>
        <v/>
      </c>
      <c r="J1396" s="15"/>
    </row>
    <row r="1397" customFormat="false" ht="15" hidden="false" customHeight="false" outlineLevel="0" collapsed="false">
      <c r="A1397" s="26"/>
      <c r="B1397" s="15"/>
      <c r="C1397" s="15"/>
      <c r="D1397" s="27"/>
      <c r="E1397" s="15"/>
      <c r="F1397" s="28"/>
      <c r="G1397" s="25" t="str">
        <f aca="true">IF(OR(D1397="",E1397=""),"",IFERROR(D1397*INDEX(UnidadesFactor,MATCH(E1397,Unidades,0)),""))</f>
        <v/>
      </c>
      <c r="H1397" s="17" t="str">
        <f aca="false">IF(I1397&lt;&gt;"OK","",IF(G1397=0,"",F1397/G1397))</f>
        <v/>
      </c>
      <c r="I1397" s="20" t="str">
        <f aca="true">IF(B1397="","",IF(ISNA(MATCH(B1397,ListaInsumos,0)),"Insumo no está en Insumos",IF(OR(D1397="",E1397="",F1397=""),"Faltan datos",IF(INDEX(UnidadesBase,MATCH(E1397,Unidades,0))&lt;&gt;INDEX(InsBase,MATCH(B1397,ListaInsumos,0)),"Unidad incompatible",IF(A1397="","Falta fecha","OK")))))</f>
        <v/>
      </c>
      <c r="J1397" s="15"/>
    </row>
    <row r="1398" customFormat="false" ht="15" hidden="false" customHeight="false" outlineLevel="0" collapsed="false">
      <c r="A1398" s="26"/>
      <c r="B1398" s="15"/>
      <c r="C1398" s="15"/>
      <c r="D1398" s="27"/>
      <c r="E1398" s="15"/>
      <c r="F1398" s="28"/>
      <c r="G1398" s="25" t="str">
        <f aca="true">IF(OR(D1398="",E1398=""),"",IFERROR(D1398*INDEX(UnidadesFactor,MATCH(E1398,Unidades,0)),""))</f>
        <v/>
      </c>
      <c r="H1398" s="17" t="str">
        <f aca="false">IF(I1398&lt;&gt;"OK","",IF(G1398=0,"",F1398/G1398))</f>
        <v/>
      </c>
      <c r="I1398" s="20" t="str">
        <f aca="true">IF(B1398="","",IF(ISNA(MATCH(B1398,ListaInsumos,0)),"Insumo no está en Insumos",IF(OR(D1398="",E1398="",F1398=""),"Faltan datos",IF(INDEX(UnidadesBase,MATCH(E1398,Unidades,0))&lt;&gt;INDEX(InsBase,MATCH(B1398,ListaInsumos,0)),"Unidad incompatible",IF(A1398="","Falta fecha","OK")))))</f>
        <v/>
      </c>
      <c r="J1398" s="15"/>
    </row>
    <row r="1399" customFormat="false" ht="15" hidden="false" customHeight="false" outlineLevel="0" collapsed="false">
      <c r="A1399" s="26"/>
      <c r="B1399" s="15"/>
      <c r="C1399" s="15"/>
      <c r="D1399" s="27"/>
      <c r="E1399" s="15"/>
      <c r="F1399" s="28"/>
      <c r="G1399" s="25" t="str">
        <f aca="true">IF(OR(D1399="",E1399=""),"",IFERROR(D1399*INDEX(UnidadesFactor,MATCH(E1399,Unidades,0)),""))</f>
        <v/>
      </c>
      <c r="H1399" s="17" t="str">
        <f aca="false">IF(I1399&lt;&gt;"OK","",IF(G1399=0,"",F1399/G1399))</f>
        <v/>
      </c>
      <c r="I1399" s="20" t="str">
        <f aca="true">IF(B1399="","",IF(ISNA(MATCH(B1399,ListaInsumos,0)),"Insumo no está en Insumos",IF(OR(D1399="",E1399="",F1399=""),"Faltan datos",IF(INDEX(UnidadesBase,MATCH(E1399,Unidades,0))&lt;&gt;INDEX(InsBase,MATCH(B1399,ListaInsumos,0)),"Unidad incompatible",IF(A1399="","Falta fecha","OK")))))</f>
        <v/>
      </c>
      <c r="J1399" s="15"/>
    </row>
    <row r="1400" customFormat="false" ht="15" hidden="false" customHeight="false" outlineLevel="0" collapsed="false">
      <c r="A1400" s="26"/>
      <c r="B1400" s="15"/>
      <c r="C1400" s="15"/>
      <c r="D1400" s="27"/>
      <c r="E1400" s="15"/>
      <c r="F1400" s="28"/>
      <c r="G1400" s="25" t="str">
        <f aca="true">IF(OR(D1400="",E1400=""),"",IFERROR(D1400*INDEX(UnidadesFactor,MATCH(E1400,Unidades,0)),""))</f>
        <v/>
      </c>
      <c r="H1400" s="17" t="str">
        <f aca="false">IF(I1400&lt;&gt;"OK","",IF(G1400=0,"",F1400/G1400))</f>
        <v/>
      </c>
      <c r="I1400" s="20" t="str">
        <f aca="true">IF(B1400="","",IF(ISNA(MATCH(B1400,ListaInsumos,0)),"Insumo no está en Insumos",IF(OR(D1400="",E1400="",F1400=""),"Faltan datos",IF(INDEX(UnidadesBase,MATCH(E1400,Unidades,0))&lt;&gt;INDEX(InsBase,MATCH(B1400,ListaInsumos,0)),"Unidad incompatible",IF(A1400="","Falta fecha","OK")))))</f>
        <v/>
      </c>
      <c r="J1400" s="15"/>
    </row>
    <row r="1401" customFormat="false" ht="15" hidden="false" customHeight="false" outlineLevel="0" collapsed="false">
      <c r="A1401" s="26"/>
      <c r="B1401" s="15"/>
      <c r="C1401" s="15"/>
      <c r="D1401" s="27"/>
      <c r="E1401" s="15"/>
      <c r="F1401" s="28"/>
      <c r="G1401" s="25" t="str">
        <f aca="true">IF(OR(D1401="",E1401=""),"",IFERROR(D1401*INDEX(UnidadesFactor,MATCH(E1401,Unidades,0)),""))</f>
        <v/>
      </c>
      <c r="H1401" s="17" t="str">
        <f aca="false">IF(I1401&lt;&gt;"OK","",IF(G1401=0,"",F1401/G1401))</f>
        <v/>
      </c>
      <c r="I1401" s="20" t="str">
        <f aca="true">IF(B1401="","",IF(ISNA(MATCH(B1401,ListaInsumos,0)),"Insumo no está en Insumos",IF(OR(D1401="",E1401="",F1401=""),"Faltan datos",IF(INDEX(UnidadesBase,MATCH(E1401,Unidades,0))&lt;&gt;INDEX(InsBase,MATCH(B1401,ListaInsumos,0)),"Unidad incompatible",IF(A1401="","Falta fecha","OK")))))</f>
        <v/>
      </c>
      <c r="J1401" s="15"/>
    </row>
    <row r="1402" customFormat="false" ht="15" hidden="false" customHeight="false" outlineLevel="0" collapsed="false">
      <c r="A1402" s="26"/>
      <c r="B1402" s="15"/>
      <c r="C1402" s="15"/>
      <c r="D1402" s="27"/>
      <c r="E1402" s="15"/>
      <c r="F1402" s="28"/>
      <c r="G1402" s="25" t="str">
        <f aca="true">IF(OR(D1402="",E1402=""),"",IFERROR(D1402*INDEX(UnidadesFactor,MATCH(E1402,Unidades,0)),""))</f>
        <v/>
      </c>
      <c r="H1402" s="17" t="str">
        <f aca="false">IF(I1402&lt;&gt;"OK","",IF(G1402=0,"",F1402/G1402))</f>
        <v/>
      </c>
      <c r="I1402" s="20" t="str">
        <f aca="true">IF(B1402="","",IF(ISNA(MATCH(B1402,ListaInsumos,0)),"Insumo no está en Insumos",IF(OR(D1402="",E1402="",F1402=""),"Faltan datos",IF(INDEX(UnidadesBase,MATCH(E1402,Unidades,0))&lt;&gt;INDEX(InsBase,MATCH(B1402,ListaInsumos,0)),"Unidad incompatible",IF(A1402="","Falta fecha","OK")))))</f>
        <v/>
      </c>
      <c r="J1402" s="15"/>
    </row>
    <row r="1403" customFormat="false" ht="15" hidden="false" customHeight="false" outlineLevel="0" collapsed="false">
      <c r="A1403" s="26"/>
      <c r="B1403" s="15"/>
      <c r="C1403" s="15"/>
      <c r="D1403" s="27"/>
      <c r="E1403" s="15"/>
      <c r="F1403" s="28"/>
      <c r="G1403" s="25" t="str">
        <f aca="true">IF(OR(D1403="",E1403=""),"",IFERROR(D1403*INDEX(UnidadesFactor,MATCH(E1403,Unidades,0)),""))</f>
        <v/>
      </c>
      <c r="H1403" s="17" t="str">
        <f aca="false">IF(I1403&lt;&gt;"OK","",IF(G1403=0,"",F1403/G1403))</f>
        <v/>
      </c>
      <c r="I1403" s="20" t="str">
        <f aca="true">IF(B1403="","",IF(ISNA(MATCH(B1403,ListaInsumos,0)),"Insumo no está en Insumos",IF(OR(D1403="",E1403="",F1403=""),"Faltan datos",IF(INDEX(UnidadesBase,MATCH(E1403,Unidades,0))&lt;&gt;INDEX(InsBase,MATCH(B1403,ListaInsumos,0)),"Unidad incompatible",IF(A1403="","Falta fecha","OK")))))</f>
        <v/>
      </c>
      <c r="J1403" s="15"/>
    </row>
    <row r="1404" customFormat="false" ht="15" hidden="false" customHeight="false" outlineLevel="0" collapsed="false">
      <c r="A1404" s="26"/>
      <c r="B1404" s="15"/>
      <c r="C1404" s="15"/>
      <c r="D1404" s="27"/>
      <c r="E1404" s="15"/>
      <c r="F1404" s="28"/>
      <c r="G1404" s="25" t="str">
        <f aca="true">IF(OR(D1404="",E1404=""),"",IFERROR(D1404*INDEX(UnidadesFactor,MATCH(E1404,Unidades,0)),""))</f>
        <v/>
      </c>
      <c r="H1404" s="17" t="str">
        <f aca="false">IF(I1404&lt;&gt;"OK","",IF(G1404=0,"",F1404/G1404))</f>
        <v/>
      </c>
      <c r="I1404" s="20" t="str">
        <f aca="true">IF(B1404="","",IF(ISNA(MATCH(B1404,ListaInsumos,0)),"Insumo no está en Insumos",IF(OR(D1404="",E1404="",F1404=""),"Faltan datos",IF(INDEX(UnidadesBase,MATCH(E1404,Unidades,0))&lt;&gt;INDEX(InsBase,MATCH(B1404,ListaInsumos,0)),"Unidad incompatible",IF(A1404="","Falta fecha","OK")))))</f>
        <v/>
      </c>
      <c r="J1404" s="15"/>
    </row>
    <row r="1405" customFormat="false" ht="15" hidden="false" customHeight="false" outlineLevel="0" collapsed="false">
      <c r="A1405" s="26"/>
      <c r="B1405" s="15"/>
      <c r="C1405" s="15"/>
      <c r="D1405" s="27"/>
      <c r="E1405" s="15"/>
      <c r="F1405" s="28"/>
      <c r="G1405" s="25" t="str">
        <f aca="true">IF(OR(D1405="",E1405=""),"",IFERROR(D1405*INDEX(UnidadesFactor,MATCH(E1405,Unidades,0)),""))</f>
        <v/>
      </c>
      <c r="H1405" s="17" t="str">
        <f aca="false">IF(I1405&lt;&gt;"OK","",IF(G1405=0,"",F1405/G1405))</f>
        <v/>
      </c>
      <c r="I1405" s="20" t="str">
        <f aca="true">IF(B1405="","",IF(ISNA(MATCH(B1405,ListaInsumos,0)),"Insumo no está en Insumos",IF(OR(D1405="",E1405="",F1405=""),"Faltan datos",IF(INDEX(UnidadesBase,MATCH(E1405,Unidades,0))&lt;&gt;INDEX(InsBase,MATCH(B1405,ListaInsumos,0)),"Unidad incompatible",IF(A1405="","Falta fecha","OK")))))</f>
        <v/>
      </c>
      <c r="J1405" s="15"/>
    </row>
    <row r="1406" customFormat="false" ht="15" hidden="false" customHeight="false" outlineLevel="0" collapsed="false">
      <c r="A1406" s="26"/>
      <c r="B1406" s="15"/>
      <c r="C1406" s="15"/>
      <c r="D1406" s="27"/>
      <c r="E1406" s="15"/>
      <c r="F1406" s="28"/>
      <c r="G1406" s="25" t="str">
        <f aca="true">IF(OR(D1406="",E1406=""),"",IFERROR(D1406*INDEX(UnidadesFactor,MATCH(E1406,Unidades,0)),""))</f>
        <v/>
      </c>
      <c r="H1406" s="17" t="str">
        <f aca="false">IF(I1406&lt;&gt;"OK","",IF(G1406=0,"",F1406/G1406))</f>
        <v/>
      </c>
      <c r="I1406" s="20" t="str">
        <f aca="true">IF(B1406="","",IF(ISNA(MATCH(B1406,ListaInsumos,0)),"Insumo no está en Insumos",IF(OR(D1406="",E1406="",F1406=""),"Faltan datos",IF(INDEX(UnidadesBase,MATCH(E1406,Unidades,0))&lt;&gt;INDEX(InsBase,MATCH(B1406,ListaInsumos,0)),"Unidad incompatible",IF(A1406="","Falta fecha","OK")))))</f>
        <v/>
      </c>
      <c r="J1406" s="15"/>
    </row>
    <row r="1407" customFormat="false" ht="15" hidden="false" customHeight="false" outlineLevel="0" collapsed="false">
      <c r="A1407" s="26"/>
      <c r="B1407" s="15"/>
      <c r="C1407" s="15"/>
      <c r="D1407" s="27"/>
      <c r="E1407" s="15"/>
      <c r="F1407" s="28"/>
      <c r="G1407" s="25" t="str">
        <f aca="true">IF(OR(D1407="",E1407=""),"",IFERROR(D1407*INDEX(UnidadesFactor,MATCH(E1407,Unidades,0)),""))</f>
        <v/>
      </c>
      <c r="H1407" s="17" t="str">
        <f aca="false">IF(I1407&lt;&gt;"OK","",IF(G1407=0,"",F1407/G1407))</f>
        <v/>
      </c>
      <c r="I1407" s="20" t="str">
        <f aca="true">IF(B1407="","",IF(ISNA(MATCH(B1407,ListaInsumos,0)),"Insumo no está en Insumos",IF(OR(D1407="",E1407="",F1407=""),"Faltan datos",IF(INDEX(UnidadesBase,MATCH(E1407,Unidades,0))&lt;&gt;INDEX(InsBase,MATCH(B1407,ListaInsumos,0)),"Unidad incompatible",IF(A1407="","Falta fecha","OK")))))</f>
        <v/>
      </c>
      <c r="J1407" s="15"/>
    </row>
    <row r="1408" customFormat="false" ht="15" hidden="false" customHeight="false" outlineLevel="0" collapsed="false">
      <c r="A1408" s="26"/>
      <c r="B1408" s="15"/>
      <c r="C1408" s="15"/>
      <c r="D1408" s="27"/>
      <c r="E1408" s="15"/>
      <c r="F1408" s="28"/>
      <c r="G1408" s="25" t="str">
        <f aca="true">IF(OR(D1408="",E1408=""),"",IFERROR(D1408*INDEX(UnidadesFactor,MATCH(E1408,Unidades,0)),""))</f>
        <v/>
      </c>
      <c r="H1408" s="17" t="str">
        <f aca="false">IF(I1408&lt;&gt;"OK","",IF(G1408=0,"",F1408/G1408))</f>
        <v/>
      </c>
      <c r="I1408" s="20" t="str">
        <f aca="true">IF(B1408="","",IF(ISNA(MATCH(B1408,ListaInsumos,0)),"Insumo no está en Insumos",IF(OR(D1408="",E1408="",F1408=""),"Faltan datos",IF(INDEX(UnidadesBase,MATCH(E1408,Unidades,0))&lt;&gt;INDEX(InsBase,MATCH(B1408,ListaInsumos,0)),"Unidad incompatible",IF(A1408="","Falta fecha","OK")))))</f>
        <v/>
      </c>
      <c r="J1408" s="15"/>
    </row>
    <row r="1409" customFormat="false" ht="15" hidden="false" customHeight="false" outlineLevel="0" collapsed="false">
      <c r="A1409" s="26"/>
      <c r="B1409" s="15"/>
      <c r="C1409" s="15"/>
      <c r="D1409" s="27"/>
      <c r="E1409" s="15"/>
      <c r="F1409" s="28"/>
      <c r="G1409" s="25" t="str">
        <f aca="true">IF(OR(D1409="",E1409=""),"",IFERROR(D1409*INDEX(UnidadesFactor,MATCH(E1409,Unidades,0)),""))</f>
        <v/>
      </c>
      <c r="H1409" s="17" t="str">
        <f aca="false">IF(I1409&lt;&gt;"OK","",IF(G1409=0,"",F1409/G1409))</f>
        <v/>
      </c>
      <c r="I1409" s="20" t="str">
        <f aca="true">IF(B1409="","",IF(ISNA(MATCH(B1409,ListaInsumos,0)),"Insumo no está en Insumos",IF(OR(D1409="",E1409="",F1409=""),"Faltan datos",IF(INDEX(UnidadesBase,MATCH(E1409,Unidades,0))&lt;&gt;INDEX(InsBase,MATCH(B1409,ListaInsumos,0)),"Unidad incompatible",IF(A1409="","Falta fecha","OK")))))</f>
        <v/>
      </c>
      <c r="J1409" s="15"/>
    </row>
    <row r="1410" customFormat="false" ht="15" hidden="false" customHeight="false" outlineLevel="0" collapsed="false">
      <c r="A1410" s="26"/>
      <c r="B1410" s="15"/>
      <c r="C1410" s="15"/>
      <c r="D1410" s="27"/>
      <c r="E1410" s="15"/>
      <c r="F1410" s="28"/>
      <c r="G1410" s="25" t="str">
        <f aca="true">IF(OR(D1410="",E1410=""),"",IFERROR(D1410*INDEX(UnidadesFactor,MATCH(E1410,Unidades,0)),""))</f>
        <v/>
      </c>
      <c r="H1410" s="17" t="str">
        <f aca="false">IF(I1410&lt;&gt;"OK","",IF(G1410=0,"",F1410/G1410))</f>
        <v/>
      </c>
      <c r="I1410" s="20" t="str">
        <f aca="true">IF(B1410="","",IF(ISNA(MATCH(B1410,ListaInsumos,0)),"Insumo no está en Insumos",IF(OR(D1410="",E1410="",F1410=""),"Faltan datos",IF(INDEX(UnidadesBase,MATCH(E1410,Unidades,0))&lt;&gt;INDEX(InsBase,MATCH(B1410,ListaInsumos,0)),"Unidad incompatible",IF(A1410="","Falta fecha","OK")))))</f>
        <v/>
      </c>
      <c r="J1410" s="15"/>
    </row>
    <row r="1411" customFormat="false" ht="15" hidden="false" customHeight="false" outlineLevel="0" collapsed="false">
      <c r="A1411" s="26"/>
      <c r="B1411" s="15"/>
      <c r="C1411" s="15"/>
      <c r="D1411" s="27"/>
      <c r="E1411" s="15"/>
      <c r="F1411" s="28"/>
      <c r="G1411" s="25" t="str">
        <f aca="true">IF(OR(D1411="",E1411=""),"",IFERROR(D1411*INDEX(UnidadesFactor,MATCH(E1411,Unidades,0)),""))</f>
        <v/>
      </c>
      <c r="H1411" s="17" t="str">
        <f aca="false">IF(I1411&lt;&gt;"OK","",IF(G1411=0,"",F1411/G1411))</f>
        <v/>
      </c>
      <c r="I1411" s="20" t="str">
        <f aca="true">IF(B1411="","",IF(ISNA(MATCH(B1411,ListaInsumos,0)),"Insumo no está en Insumos",IF(OR(D1411="",E1411="",F1411=""),"Faltan datos",IF(INDEX(UnidadesBase,MATCH(E1411,Unidades,0))&lt;&gt;INDEX(InsBase,MATCH(B1411,ListaInsumos,0)),"Unidad incompatible",IF(A1411="","Falta fecha","OK")))))</f>
        <v/>
      </c>
      <c r="J1411" s="15"/>
    </row>
    <row r="1412" customFormat="false" ht="15" hidden="false" customHeight="false" outlineLevel="0" collapsed="false">
      <c r="A1412" s="26"/>
      <c r="B1412" s="15"/>
      <c r="C1412" s="15"/>
      <c r="D1412" s="27"/>
      <c r="E1412" s="15"/>
      <c r="F1412" s="28"/>
      <c r="G1412" s="25" t="str">
        <f aca="true">IF(OR(D1412="",E1412=""),"",IFERROR(D1412*INDEX(UnidadesFactor,MATCH(E1412,Unidades,0)),""))</f>
        <v/>
      </c>
      <c r="H1412" s="17" t="str">
        <f aca="false">IF(I1412&lt;&gt;"OK","",IF(G1412=0,"",F1412/G1412))</f>
        <v/>
      </c>
      <c r="I1412" s="20" t="str">
        <f aca="true">IF(B1412="","",IF(ISNA(MATCH(B1412,ListaInsumos,0)),"Insumo no está en Insumos",IF(OR(D1412="",E1412="",F1412=""),"Faltan datos",IF(INDEX(UnidadesBase,MATCH(E1412,Unidades,0))&lt;&gt;INDEX(InsBase,MATCH(B1412,ListaInsumos,0)),"Unidad incompatible",IF(A1412="","Falta fecha","OK")))))</f>
        <v/>
      </c>
      <c r="J1412" s="15"/>
    </row>
    <row r="1413" customFormat="false" ht="15" hidden="false" customHeight="false" outlineLevel="0" collapsed="false">
      <c r="A1413" s="26"/>
      <c r="B1413" s="15"/>
      <c r="C1413" s="15"/>
      <c r="D1413" s="27"/>
      <c r="E1413" s="15"/>
      <c r="F1413" s="28"/>
      <c r="G1413" s="25" t="str">
        <f aca="true">IF(OR(D1413="",E1413=""),"",IFERROR(D1413*INDEX(UnidadesFactor,MATCH(E1413,Unidades,0)),""))</f>
        <v/>
      </c>
      <c r="H1413" s="17" t="str">
        <f aca="false">IF(I1413&lt;&gt;"OK","",IF(G1413=0,"",F1413/G1413))</f>
        <v/>
      </c>
      <c r="I1413" s="20" t="str">
        <f aca="true">IF(B1413="","",IF(ISNA(MATCH(B1413,ListaInsumos,0)),"Insumo no está en Insumos",IF(OR(D1413="",E1413="",F1413=""),"Faltan datos",IF(INDEX(UnidadesBase,MATCH(E1413,Unidades,0))&lt;&gt;INDEX(InsBase,MATCH(B1413,ListaInsumos,0)),"Unidad incompatible",IF(A1413="","Falta fecha","OK")))))</f>
        <v/>
      </c>
      <c r="J1413" s="15"/>
    </row>
    <row r="1414" customFormat="false" ht="15" hidden="false" customHeight="false" outlineLevel="0" collapsed="false">
      <c r="A1414" s="26"/>
      <c r="B1414" s="15"/>
      <c r="C1414" s="15"/>
      <c r="D1414" s="27"/>
      <c r="E1414" s="15"/>
      <c r="F1414" s="28"/>
      <c r="G1414" s="25" t="str">
        <f aca="true">IF(OR(D1414="",E1414=""),"",IFERROR(D1414*INDEX(UnidadesFactor,MATCH(E1414,Unidades,0)),""))</f>
        <v/>
      </c>
      <c r="H1414" s="17" t="str">
        <f aca="false">IF(I1414&lt;&gt;"OK","",IF(G1414=0,"",F1414/G1414))</f>
        <v/>
      </c>
      <c r="I1414" s="20" t="str">
        <f aca="true">IF(B1414="","",IF(ISNA(MATCH(B1414,ListaInsumos,0)),"Insumo no está en Insumos",IF(OR(D1414="",E1414="",F1414=""),"Faltan datos",IF(INDEX(UnidadesBase,MATCH(E1414,Unidades,0))&lt;&gt;INDEX(InsBase,MATCH(B1414,ListaInsumos,0)),"Unidad incompatible",IF(A1414="","Falta fecha","OK")))))</f>
        <v/>
      </c>
      <c r="J1414" s="15"/>
    </row>
    <row r="1415" customFormat="false" ht="15" hidden="false" customHeight="false" outlineLevel="0" collapsed="false">
      <c r="A1415" s="26"/>
      <c r="B1415" s="15"/>
      <c r="C1415" s="15"/>
      <c r="D1415" s="27"/>
      <c r="E1415" s="15"/>
      <c r="F1415" s="28"/>
      <c r="G1415" s="25" t="str">
        <f aca="true">IF(OR(D1415="",E1415=""),"",IFERROR(D1415*INDEX(UnidadesFactor,MATCH(E1415,Unidades,0)),""))</f>
        <v/>
      </c>
      <c r="H1415" s="17" t="str">
        <f aca="false">IF(I1415&lt;&gt;"OK","",IF(G1415=0,"",F1415/G1415))</f>
        <v/>
      </c>
      <c r="I1415" s="20" t="str">
        <f aca="true">IF(B1415="","",IF(ISNA(MATCH(B1415,ListaInsumos,0)),"Insumo no está en Insumos",IF(OR(D1415="",E1415="",F1415=""),"Faltan datos",IF(INDEX(UnidadesBase,MATCH(E1415,Unidades,0))&lt;&gt;INDEX(InsBase,MATCH(B1415,ListaInsumos,0)),"Unidad incompatible",IF(A1415="","Falta fecha","OK")))))</f>
        <v/>
      </c>
      <c r="J1415" s="15"/>
    </row>
    <row r="1416" customFormat="false" ht="15" hidden="false" customHeight="false" outlineLevel="0" collapsed="false">
      <c r="A1416" s="26"/>
      <c r="B1416" s="15"/>
      <c r="C1416" s="15"/>
      <c r="D1416" s="27"/>
      <c r="E1416" s="15"/>
      <c r="F1416" s="28"/>
      <c r="G1416" s="25" t="str">
        <f aca="true">IF(OR(D1416="",E1416=""),"",IFERROR(D1416*INDEX(UnidadesFactor,MATCH(E1416,Unidades,0)),""))</f>
        <v/>
      </c>
      <c r="H1416" s="17" t="str">
        <f aca="false">IF(I1416&lt;&gt;"OK","",IF(G1416=0,"",F1416/G1416))</f>
        <v/>
      </c>
      <c r="I1416" s="20" t="str">
        <f aca="true">IF(B1416="","",IF(ISNA(MATCH(B1416,ListaInsumos,0)),"Insumo no está en Insumos",IF(OR(D1416="",E1416="",F1416=""),"Faltan datos",IF(INDEX(UnidadesBase,MATCH(E1416,Unidades,0))&lt;&gt;INDEX(InsBase,MATCH(B1416,ListaInsumos,0)),"Unidad incompatible",IF(A1416="","Falta fecha","OK")))))</f>
        <v/>
      </c>
      <c r="J1416" s="15"/>
    </row>
    <row r="1417" customFormat="false" ht="15" hidden="false" customHeight="false" outlineLevel="0" collapsed="false">
      <c r="A1417" s="26"/>
      <c r="B1417" s="15"/>
      <c r="C1417" s="15"/>
      <c r="D1417" s="27"/>
      <c r="E1417" s="15"/>
      <c r="F1417" s="28"/>
      <c r="G1417" s="25" t="str">
        <f aca="true">IF(OR(D1417="",E1417=""),"",IFERROR(D1417*INDEX(UnidadesFactor,MATCH(E1417,Unidades,0)),""))</f>
        <v/>
      </c>
      <c r="H1417" s="17" t="str">
        <f aca="false">IF(I1417&lt;&gt;"OK","",IF(G1417=0,"",F1417/G1417))</f>
        <v/>
      </c>
      <c r="I1417" s="20" t="str">
        <f aca="true">IF(B1417="","",IF(ISNA(MATCH(B1417,ListaInsumos,0)),"Insumo no está en Insumos",IF(OR(D1417="",E1417="",F1417=""),"Faltan datos",IF(INDEX(UnidadesBase,MATCH(E1417,Unidades,0))&lt;&gt;INDEX(InsBase,MATCH(B1417,ListaInsumos,0)),"Unidad incompatible",IF(A1417="","Falta fecha","OK")))))</f>
        <v/>
      </c>
      <c r="J1417" s="15"/>
    </row>
    <row r="1418" customFormat="false" ht="15" hidden="false" customHeight="false" outlineLevel="0" collapsed="false">
      <c r="A1418" s="26"/>
      <c r="B1418" s="15"/>
      <c r="C1418" s="15"/>
      <c r="D1418" s="27"/>
      <c r="E1418" s="15"/>
      <c r="F1418" s="28"/>
      <c r="G1418" s="25" t="str">
        <f aca="true">IF(OR(D1418="",E1418=""),"",IFERROR(D1418*INDEX(UnidadesFactor,MATCH(E1418,Unidades,0)),""))</f>
        <v/>
      </c>
      <c r="H1418" s="17" t="str">
        <f aca="false">IF(I1418&lt;&gt;"OK","",IF(G1418=0,"",F1418/G1418))</f>
        <v/>
      </c>
      <c r="I1418" s="20" t="str">
        <f aca="true">IF(B1418="","",IF(ISNA(MATCH(B1418,ListaInsumos,0)),"Insumo no está en Insumos",IF(OR(D1418="",E1418="",F1418=""),"Faltan datos",IF(INDEX(UnidadesBase,MATCH(E1418,Unidades,0))&lt;&gt;INDEX(InsBase,MATCH(B1418,ListaInsumos,0)),"Unidad incompatible",IF(A1418="","Falta fecha","OK")))))</f>
        <v/>
      </c>
      <c r="J1418" s="15"/>
    </row>
    <row r="1419" customFormat="false" ht="15" hidden="false" customHeight="false" outlineLevel="0" collapsed="false">
      <c r="A1419" s="26"/>
      <c r="B1419" s="15"/>
      <c r="C1419" s="15"/>
      <c r="D1419" s="27"/>
      <c r="E1419" s="15"/>
      <c r="F1419" s="28"/>
      <c r="G1419" s="25" t="str">
        <f aca="true">IF(OR(D1419="",E1419=""),"",IFERROR(D1419*INDEX(UnidadesFactor,MATCH(E1419,Unidades,0)),""))</f>
        <v/>
      </c>
      <c r="H1419" s="17" t="str">
        <f aca="false">IF(I1419&lt;&gt;"OK","",IF(G1419=0,"",F1419/G1419))</f>
        <v/>
      </c>
      <c r="I1419" s="20" t="str">
        <f aca="true">IF(B1419="","",IF(ISNA(MATCH(B1419,ListaInsumos,0)),"Insumo no está en Insumos",IF(OR(D1419="",E1419="",F1419=""),"Faltan datos",IF(INDEX(UnidadesBase,MATCH(E1419,Unidades,0))&lt;&gt;INDEX(InsBase,MATCH(B1419,ListaInsumos,0)),"Unidad incompatible",IF(A1419="","Falta fecha","OK")))))</f>
        <v/>
      </c>
      <c r="J1419" s="15"/>
    </row>
    <row r="1420" customFormat="false" ht="15" hidden="false" customHeight="false" outlineLevel="0" collapsed="false">
      <c r="A1420" s="26"/>
      <c r="B1420" s="15"/>
      <c r="C1420" s="15"/>
      <c r="D1420" s="27"/>
      <c r="E1420" s="15"/>
      <c r="F1420" s="28"/>
      <c r="G1420" s="25" t="str">
        <f aca="true">IF(OR(D1420="",E1420=""),"",IFERROR(D1420*INDEX(UnidadesFactor,MATCH(E1420,Unidades,0)),""))</f>
        <v/>
      </c>
      <c r="H1420" s="17" t="str">
        <f aca="false">IF(I1420&lt;&gt;"OK","",IF(G1420=0,"",F1420/G1420))</f>
        <v/>
      </c>
      <c r="I1420" s="20" t="str">
        <f aca="true">IF(B1420="","",IF(ISNA(MATCH(B1420,ListaInsumos,0)),"Insumo no está en Insumos",IF(OR(D1420="",E1420="",F1420=""),"Faltan datos",IF(INDEX(UnidadesBase,MATCH(E1420,Unidades,0))&lt;&gt;INDEX(InsBase,MATCH(B1420,ListaInsumos,0)),"Unidad incompatible",IF(A1420="","Falta fecha","OK")))))</f>
        <v/>
      </c>
      <c r="J1420" s="15"/>
    </row>
    <row r="1421" customFormat="false" ht="15" hidden="false" customHeight="false" outlineLevel="0" collapsed="false">
      <c r="A1421" s="26"/>
      <c r="B1421" s="15"/>
      <c r="C1421" s="15"/>
      <c r="D1421" s="27"/>
      <c r="E1421" s="15"/>
      <c r="F1421" s="28"/>
      <c r="G1421" s="25" t="str">
        <f aca="true">IF(OR(D1421="",E1421=""),"",IFERROR(D1421*INDEX(UnidadesFactor,MATCH(E1421,Unidades,0)),""))</f>
        <v/>
      </c>
      <c r="H1421" s="17" t="str">
        <f aca="false">IF(I1421&lt;&gt;"OK","",IF(G1421=0,"",F1421/G1421))</f>
        <v/>
      </c>
      <c r="I1421" s="20" t="str">
        <f aca="true">IF(B1421="","",IF(ISNA(MATCH(B1421,ListaInsumos,0)),"Insumo no está en Insumos",IF(OR(D1421="",E1421="",F1421=""),"Faltan datos",IF(INDEX(UnidadesBase,MATCH(E1421,Unidades,0))&lt;&gt;INDEX(InsBase,MATCH(B1421,ListaInsumos,0)),"Unidad incompatible",IF(A1421="","Falta fecha","OK")))))</f>
        <v/>
      </c>
      <c r="J1421" s="15"/>
    </row>
    <row r="1422" customFormat="false" ht="15" hidden="false" customHeight="false" outlineLevel="0" collapsed="false">
      <c r="A1422" s="26"/>
      <c r="B1422" s="15"/>
      <c r="C1422" s="15"/>
      <c r="D1422" s="27"/>
      <c r="E1422" s="15"/>
      <c r="F1422" s="28"/>
      <c r="G1422" s="25" t="str">
        <f aca="true">IF(OR(D1422="",E1422=""),"",IFERROR(D1422*INDEX(UnidadesFactor,MATCH(E1422,Unidades,0)),""))</f>
        <v/>
      </c>
      <c r="H1422" s="17" t="str">
        <f aca="false">IF(I1422&lt;&gt;"OK","",IF(G1422=0,"",F1422/G1422))</f>
        <v/>
      </c>
      <c r="I1422" s="20" t="str">
        <f aca="true">IF(B1422="","",IF(ISNA(MATCH(B1422,ListaInsumos,0)),"Insumo no está en Insumos",IF(OR(D1422="",E1422="",F1422=""),"Faltan datos",IF(INDEX(UnidadesBase,MATCH(E1422,Unidades,0))&lt;&gt;INDEX(InsBase,MATCH(B1422,ListaInsumos,0)),"Unidad incompatible",IF(A1422="","Falta fecha","OK")))))</f>
        <v/>
      </c>
      <c r="J1422" s="15"/>
    </row>
    <row r="1423" customFormat="false" ht="15" hidden="false" customHeight="false" outlineLevel="0" collapsed="false">
      <c r="A1423" s="26"/>
      <c r="B1423" s="15"/>
      <c r="C1423" s="15"/>
      <c r="D1423" s="27"/>
      <c r="E1423" s="15"/>
      <c r="F1423" s="28"/>
      <c r="G1423" s="25" t="str">
        <f aca="true">IF(OR(D1423="",E1423=""),"",IFERROR(D1423*INDEX(UnidadesFactor,MATCH(E1423,Unidades,0)),""))</f>
        <v/>
      </c>
      <c r="H1423" s="17" t="str">
        <f aca="false">IF(I1423&lt;&gt;"OK","",IF(G1423=0,"",F1423/G1423))</f>
        <v/>
      </c>
      <c r="I1423" s="20" t="str">
        <f aca="true">IF(B1423="","",IF(ISNA(MATCH(B1423,ListaInsumos,0)),"Insumo no está en Insumos",IF(OR(D1423="",E1423="",F1423=""),"Faltan datos",IF(INDEX(UnidadesBase,MATCH(E1423,Unidades,0))&lt;&gt;INDEX(InsBase,MATCH(B1423,ListaInsumos,0)),"Unidad incompatible",IF(A1423="","Falta fecha","OK")))))</f>
        <v/>
      </c>
      <c r="J1423" s="15"/>
    </row>
    <row r="1424" customFormat="false" ht="15" hidden="false" customHeight="false" outlineLevel="0" collapsed="false">
      <c r="A1424" s="26"/>
      <c r="B1424" s="15"/>
      <c r="C1424" s="15"/>
      <c r="D1424" s="27"/>
      <c r="E1424" s="15"/>
      <c r="F1424" s="28"/>
      <c r="G1424" s="25" t="str">
        <f aca="true">IF(OR(D1424="",E1424=""),"",IFERROR(D1424*INDEX(UnidadesFactor,MATCH(E1424,Unidades,0)),""))</f>
        <v/>
      </c>
      <c r="H1424" s="17" t="str">
        <f aca="false">IF(I1424&lt;&gt;"OK","",IF(G1424=0,"",F1424/G1424))</f>
        <v/>
      </c>
      <c r="I1424" s="20" t="str">
        <f aca="true">IF(B1424="","",IF(ISNA(MATCH(B1424,ListaInsumos,0)),"Insumo no está en Insumos",IF(OR(D1424="",E1424="",F1424=""),"Faltan datos",IF(INDEX(UnidadesBase,MATCH(E1424,Unidades,0))&lt;&gt;INDEX(InsBase,MATCH(B1424,ListaInsumos,0)),"Unidad incompatible",IF(A1424="","Falta fecha","OK")))))</f>
        <v/>
      </c>
      <c r="J1424" s="15"/>
    </row>
    <row r="1425" customFormat="false" ht="15" hidden="false" customHeight="false" outlineLevel="0" collapsed="false">
      <c r="A1425" s="26"/>
      <c r="B1425" s="15"/>
      <c r="C1425" s="15"/>
      <c r="D1425" s="27"/>
      <c r="E1425" s="15"/>
      <c r="F1425" s="28"/>
      <c r="G1425" s="25" t="str">
        <f aca="true">IF(OR(D1425="",E1425=""),"",IFERROR(D1425*INDEX(UnidadesFactor,MATCH(E1425,Unidades,0)),""))</f>
        <v/>
      </c>
      <c r="H1425" s="17" t="str">
        <f aca="false">IF(I1425&lt;&gt;"OK","",IF(G1425=0,"",F1425/G1425))</f>
        <v/>
      </c>
      <c r="I1425" s="20" t="str">
        <f aca="true">IF(B1425="","",IF(ISNA(MATCH(B1425,ListaInsumos,0)),"Insumo no está en Insumos",IF(OR(D1425="",E1425="",F1425=""),"Faltan datos",IF(INDEX(UnidadesBase,MATCH(E1425,Unidades,0))&lt;&gt;INDEX(InsBase,MATCH(B1425,ListaInsumos,0)),"Unidad incompatible",IF(A1425="","Falta fecha","OK")))))</f>
        <v/>
      </c>
      <c r="J1425" s="15"/>
    </row>
    <row r="1426" customFormat="false" ht="15" hidden="false" customHeight="false" outlineLevel="0" collapsed="false">
      <c r="A1426" s="26"/>
      <c r="B1426" s="15"/>
      <c r="C1426" s="15"/>
      <c r="D1426" s="27"/>
      <c r="E1426" s="15"/>
      <c r="F1426" s="28"/>
      <c r="G1426" s="25" t="str">
        <f aca="true">IF(OR(D1426="",E1426=""),"",IFERROR(D1426*INDEX(UnidadesFactor,MATCH(E1426,Unidades,0)),""))</f>
        <v/>
      </c>
      <c r="H1426" s="17" t="str">
        <f aca="false">IF(I1426&lt;&gt;"OK","",IF(G1426=0,"",F1426/G1426))</f>
        <v/>
      </c>
      <c r="I1426" s="20" t="str">
        <f aca="true">IF(B1426="","",IF(ISNA(MATCH(B1426,ListaInsumos,0)),"Insumo no está en Insumos",IF(OR(D1426="",E1426="",F1426=""),"Faltan datos",IF(INDEX(UnidadesBase,MATCH(E1426,Unidades,0))&lt;&gt;INDEX(InsBase,MATCH(B1426,ListaInsumos,0)),"Unidad incompatible",IF(A1426="","Falta fecha","OK")))))</f>
        <v/>
      </c>
      <c r="J1426" s="15"/>
    </row>
    <row r="1427" customFormat="false" ht="15" hidden="false" customHeight="false" outlineLevel="0" collapsed="false">
      <c r="A1427" s="26"/>
      <c r="B1427" s="15"/>
      <c r="C1427" s="15"/>
      <c r="D1427" s="27"/>
      <c r="E1427" s="15"/>
      <c r="F1427" s="28"/>
      <c r="G1427" s="25" t="str">
        <f aca="true">IF(OR(D1427="",E1427=""),"",IFERROR(D1427*INDEX(UnidadesFactor,MATCH(E1427,Unidades,0)),""))</f>
        <v/>
      </c>
      <c r="H1427" s="17" t="str">
        <f aca="false">IF(I1427&lt;&gt;"OK","",IF(G1427=0,"",F1427/G1427))</f>
        <v/>
      </c>
      <c r="I1427" s="20" t="str">
        <f aca="true">IF(B1427="","",IF(ISNA(MATCH(B1427,ListaInsumos,0)),"Insumo no está en Insumos",IF(OR(D1427="",E1427="",F1427=""),"Faltan datos",IF(INDEX(UnidadesBase,MATCH(E1427,Unidades,0))&lt;&gt;INDEX(InsBase,MATCH(B1427,ListaInsumos,0)),"Unidad incompatible",IF(A1427="","Falta fecha","OK")))))</f>
        <v/>
      </c>
      <c r="J1427" s="15"/>
    </row>
    <row r="1428" customFormat="false" ht="15" hidden="false" customHeight="false" outlineLevel="0" collapsed="false">
      <c r="A1428" s="26"/>
      <c r="B1428" s="15"/>
      <c r="C1428" s="15"/>
      <c r="D1428" s="27"/>
      <c r="E1428" s="15"/>
      <c r="F1428" s="28"/>
      <c r="G1428" s="25" t="str">
        <f aca="true">IF(OR(D1428="",E1428=""),"",IFERROR(D1428*INDEX(UnidadesFactor,MATCH(E1428,Unidades,0)),""))</f>
        <v/>
      </c>
      <c r="H1428" s="17" t="str">
        <f aca="false">IF(I1428&lt;&gt;"OK","",IF(G1428=0,"",F1428/G1428))</f>
        <v/>
      </c>
      <c r="I1428" s="20" t="str">
        <f aca="true">IF(B1428="","",IF(ISNA(MATCH(B1428,ListaInsumos,0)),"Insumo no está en Insumos",IF(OR(D1428="",E1428="",F1428=""),"Faltan datos",IF(INDEX(UnidadesBase,MATCH(E1428,Unidades,0))&lt;&gt;INDEX(InsBase,MATCH(B1428,ListaInsumos,0)),"Unidad incompatible",IF(A1428="","Falta fecha","OK")))))</f>
        <v/>
      </c>
      <c r="J1428" s="15"/>
    </row>
    <row r="1429" customFormat="false" ht="15" hidden="false" customHeight="false" outlineLevel="0" collapsed="false">
      <c r="A1429" s="26"/>
      <c r="B1429" s="15"/>
      <c r="C1429" s="15"/>
      <c r="D1429" s="27"/>
      <c r="E1429" s="15"/>
      <c r="F1429" s="28"/>
      <c r="G1429" s="25" t="str">
        <f aca="true">IF(OR(D1429="",E1429=""),"",IFERROR(D1429*INDEX(UnidadesFactor,MATCH(E1429,Unidades,0)),""))</f>
        <v/>
      </c>
      <c r="H1429" s="17" t="str">
        <f aca="false">IF(I1429&lt;&gt;"OK","",IF(G1429=0,"",F1429/G1429))</f>
        <v/>
      </c>
      <c r="I1429" s="20" t="str">
        <f aca="true">IF(B1429="","",IF(ISNA(MATCH(B1429,ListaInsumos,0)),"Insumo no está en Insumos",IF(OR(D1429="",E1429="",F1429=""),"Faltan datos",IF(INDEX(UnidadesBase,MATCH(E1429,Unidades,0))&lt;&gt;INDEX(InsBase,MATCH(B1429,ListaInsumos,0)),"Unidad incompatible",IF(A1429="","Falta fecha","OK")))))</f>
        <v/>
      </c>
      <c r="J1429" s="15"/>
    </row>
    <row r="1430" customFormat="false" ht="15" hidden="false" customHeight="false" outlineLevel="0" collapsed="false">
      <c r="A1430" s="26"/>
      <c r="B1430" s="15"/>
      <c r="C1430" s="15"/>
      <c r="D1430" s="27"/>
      <c r="E1430" s="15"/>
      <c r="F1430" s="28"/>
      <c r="G1430" s="25" t="str">
        <f aca="true">IF(OR(D1430="",E1430=""),"",IFERROR(D1430*INDEX(UnidadesFactor,MATCH(E1430,Unidades,0)),""))</f>
        <v/>
      </c>
      <c r="H1430" s="17" t="str">
        <f aca="false">IF(I1430&lt;&gt;"OK","",IF(G1430=0,"",F1430/G1430))</f>
        <v/>
      </c>
      <c r="I1430" s="20" t="str">
        <f aca="true">IF(B1430="","",IF(ISNA(MATCH(B1430,ListaInsumos,0)),"Insumo no está en Insumos",IF(OR(D1430="",E1430="",F1430=""),"Faltan datos",IF(INDEX(UnidadesBase,MATCH(E1430,Unidades,0))&lt;&gt;INDEX(InsBase,MATCH(B1430,ListaInsumos,0)),"Unidad incompatible",IF(A1430="","Falta fecha","OK")))))</f>
        <v/>
      </c>
      <c r="J1430" s="15"/>
    </row>
    <row r="1431" customFormat="false" ht="15" hidden="false" customHeight="false" outlineLevel="0" collapsed="false">
      <c r="A1431" s="26"/>
      <c r="B1431" s="15"/>
      <c r="C1431" s="15"/>
      <c r="D1431" s="27"/>
      <c r="E1431" s="15"/>
      <c r="F1431" s="28"/>
      <c r="G1431" s="25" t="str">
        <f aca="true">IF(OR(D1431="",E1431=""),"",IFERROR(D1431*INDEX(UnidadesFactor,MATCH(E1431,Unidades,0)),""))</f>
        <v/>
      </c>
      <c r="H1431" s="17" t="str">
        <f aca="false">IF(I1431&lt;&gt;"OK","",IF(G1431=0,"",F1431/G1431))</f>
        <v/>
      </c>
      <c r="I1431" s="20" t="str">
        <f aca="true">IF(B1431="","",IF(ISNA(MATCH(B1431,ListaInsumos,0)),"Insumo no está en Insumos",IF(OR(D1431="",E1431="",F1431=""),"Faltan datos",IF(INDEX(UnidadesBase,MATCH(E1431,Unidades,0))&lt;&gt;INDEX(InsBase,MATCH(B1431,ListaInsumos,0)),"Unidad incompatible",IF(A1431="","Falta fecha","OK")))))</f>
        <v/>
      </c>
      <c r="J1431" s="15"/>
    </row>
    <row r="1432" customFormat="false" ht="15" hidden="false" customHeight="false" outlineLevel="0" collapsed="false">
      <c r="A1432" s="26"/>
      <c r="B1432" s="15"/>
      <c r="C1432" s="15"/>
      <c r="D1432" s="27"/>
      <c r="E1432" s="15"/>
      <c r="F1432" s="28"/>
      <c r="G1432" s="25" t="str">
        <f aca="true">IF(OR(D1432="",E1432=""),"",IFERROR(D1432*INDEX(UnidadesFactor,MATCH(E1432,Unidades,0)),""))</f>
        <v/>
      </c>
      <c r="H1432" s="17" t="str">
        <f aca="false">IF(I1432&lt;&gt;"OK","",IF(G1432=0,"",F1432/G1432))</f>
        <v/>
      </c>
      <c r="I1432" s="20" t="str">
        <f aca="true">IF(B1432="","",IF(ISNA(MATCH(B1432,ListaInsumos,0)),"Insumo no está en Insumos",IF(OR(D1432="",E1432="",F1432=""),"Faltan datos",IF(INDEX(UnidadesBase,MATCH(E1432,Unidades,0))&lt;&gt;INDEX(InsBase,MATCH(B1432,ListaInsumos,0)),"Unidad incompatible",IF(A1432="","Falta fecha","OK")))))</f>
        <v/>
      </c>
      <c r="J1432" s="15"/>
    </row>
    <row r="1433" customFormat="false" ht="15" hidden="false" customHeight="false" outlineLevel="0" collapsed="false">
      <c r="A1433" s="26"/>
      <c r="B1433" s="15"/>
      <c r="C1433" s="15"/>
      <c r="D1433" s="27"/>
      <c r="E1433" s="15"/>
      <c r="F1433" s="28"/>
      <c r="G1433" s="25" t="str">
        <f aca="true">IF(OR(D1433="",E1433=""),"",IFERROR(D1433*INDEX(UnidadesFactor,MATCH(E1433,Unidades,0)),""))</f>
        <v/>
      </c>
      <c r="H1433" s="17" t="str">
        <f aca="false">IF(I1433&lt;&gt;"OK","",IF(G1433=0,"",F1433/G1433))</f>
        <v/>
      </c>
      <c r="I1433" s="20" t="str">
        <f aca="true">IF(B1433="","",IF(ISNA(MATCH(B1433,ListaInsumos,0)),"Insumo no está en Insumos",IF(OR(D1433="",E1433="",F1433=""),"Faltan datos",IF(INDEX(UnidadesBase,MATCH(E1433,Unidades,0))&lt;&gt;INDEX(InsBase,MATCH(B1433,ListaInsumos,0)),"Unidad incompatible",IF(A1433="","Falta fecha","OK")))))</f>
        <v/>
      </c>
      <c r="J1433" s="15"/>
    </row>
    <row r="1434" customFormat="false" ht="15" hidden="false" customHeight="false" outlineLevel="0" collapsed="false">
      <c r="A1434" s="26"/>
      <c r="B1434" s="15"/>
      <c r="C1434" s="15"/>
      <c r="D1434" s="27"/>
      <c r="E1434" s="15"/>
      <c r="F1434" s="28"/>
      <c r="G1434" s="25" t="str">
        <f aca="true">IF(OR(D1434="",E1434=""),"",IFERROR(D1434*INDEX(UnidadesFactor,MATCH(E1434,Unidades,0)),""))</f>
        <v/>
      </c>
      <c r="H1434" s="17" t="str">
        <f aca="false">IF(I1434&lt;&gt;"OK","",IF(G1434=0,"",F1434/G1434))</f>
        <v/>
      </c>
      <c r="I1434" s="20" t="str">
        <f aca="true">IF(B1434="","",IF(ISNA(MATCH(B1434,ListaInsumos,0)),"Insumo no está en Insumos",IF(OR(D1434="",E1434="",F1434=""),"Faltan datos",IF(INDEX(UnidadesBase,MATCH(E1434,Unidades,0))&lt;&gt;INDEX(InsBase,MATCH(B1434,ListaInsumos,0)),"Unidad incompatible",IF(A1434="","Falta fecha","OK")))))</f>
        <v/>
      </c>
      <c r="J1434" s="15"/>
    </row>
    <row r="1435" customFormat="false" ht="15" hidden="false" customHeight="false" outlineLevel="0" collapsed="false">
      <c r="A1435" s="26"/>
      <c r="B1435" s="15"/>
      <c r="C1435" s="15"/>
      <c r="D1435" s="27"/>
      <c r="E1435" s="15"/>
      <c r="F1435" s="28"/>
      <c r="G1435" s="25" t="str">
        <f aca="true">IF(OR(D1435="",E1435=""),"",IFERROR(D1435*INDEX(UnidadesFactor,MATCH(E1435,Unidades,0)),""))</f>
        <v/>
      </c>
      <c r="H1435" s="17" t="str">
        <f aca="false">IF(I1435&lt;&gt;"OK","",IF(G1435=0,"",F1435/G1435))</f>
        <v/>
      </c>
      <c r="I1435" s="20" t="str">
        <f aca="true">IF(B1435="","",IF(ISNA(MATCH(B1435,ListaInsumos,0)),"Insumo no está en Insumos",IF(OR(D1435="",E1435="",F1435=""),"Faltan datos",IF(INDEX(UnidadesBase,MATCH(E1435,Unidades,0))&lt;&gt;INDEX(InsBase,MATCH(B1435,ListaInsumos,0)),"Unidad incompatible",IF(A1435="","Falta fecha","OK")))))</f>
        <v/>
      </c>
      <c r="J1435" s="15"/>
    </row>
    <row r="1436" customFormat="false" ht="15" hidden="false" customHeight="false" outlineLevel="0" collapsed="false">
      <c r="A1436" s="26"/>
      <c r="B1436" s="15"/>
      <c r="C1436" s="15"/>
      <c r="D1436" s="27"/>
      <c r="E1436" s="15"/>
      <c r="F1436" s="28"/>
      <c r="G1436" s="25" t="str">
        <f aca="true">IF(OR(D1436="",E1436=""),"",IFERROR(D1436*INDEX(UnidadesFactor,MATCH(E1436,Unidades,0)),""))</f>
        <v/>
      </c>
      <c r="H1436" s="17" t="str">
        <f aca="false">IF(I1436&lt;&gt;"OK","",IF(G1436=0,"",F1436/G1436))</f>
        <v/>
      </c>
      <c r="I1436" s="20" t="str">
        <f aca="true">IF(B1436="","",IF(ISNA(MATCH(B1436,ListaInsumos,0)),"Insumo no está en Insumos",IF(OR(D1436="",E1436="",F1436=""),"Faltan datos",IF(INDEX(UnidadesBase,MATCH(E1436,Unidades,0))&lt;&gt;INDEX(InsBase,MATCH(B1436,ListaInsumos,0)),"Unidad incompatible",IF(A1436="","Falta fecha","OK")))))</f>
        <v/>
      </c>
      <c r="J1436" s="15"/>
    </row>
    <row r="1437" customFormat="false" ht="15" hidden="false" customHeight="false" outlineLevel="0" collapsed="false">
      <c r="A1437" s="26"/>
      <c r="B1437" s="15"/>
      <c r="C1437" s="15"/>
      <c r="D1437" s="27"/>
      <c r="E1437" s="15"/>
      <c r="F1437" s="28"/>
      <c r="G1437" s="25" t="str">
        <f aca="true">IF(OR(D1437="",E1437=""),"",IFERROR(D1437*INDEX(UnidadesFactor,MATCH(E1437,Unidades,0)),""))</f>
        <v/>
      </c>
      <c r="H1437" s="17" t="str">
        <f aca="false">IF(I1437&lt;&gt;"OK","",IF(G1437=0,"",F1437/G1437))</f>
        <v/>
      </c>
      <c r="I1437" s="20" t="str">
        <f aca="true">IF(B1437="","",IF(ISNA(MATCH(B1437,ListaInsumos,0)),"Insumo no está en Insumos",IF(OR(D1437="",E1437="",F1437=""),"Faltan datos",IF(INDEX(UnidadesBase,MATCH(E1437,Unidades,0))&lt;&gt;INDEX(InsBase,MATCH(B1437,ListaInsumos,0)),"Unidad incompatible",IF(A1437="","Falta fecha","OK")))))</f>
        <v/>
      </c>
      <c r="J1437" s="15"/>
    </row>
    <row r="1438" customFormat="false" ht="15" hidden="false" customHeight="false" outlineLevel="0" collapsed="false">
      <c r="A1438" s="26"/>
      <c r="B1438" s="15"/>
      <c r="C1438" s="15"/>
      <c r="D1438" s="27"/>
      <c r="E1438" s="15"/>
      <c r="F1438" s="28"/>
      <c r="G1438" s="25" t="str">
        <f aca="true">IF(OR(D1438="",E1438=""),"",IFERROR(D1438*INDEX(UnidadesFactor,MATCH(E1438,Unidades,0)),""))</f>
        <v/>
      </c>
      <c r="H1438" s="17" t="str">
        <f aca="false">IF(I1438&lt;&gt;"OK","",IF(G1438=0,"",F1438/G1438))</f>
        <v/>
      </c>
      <c r="I1438" s="20" t="str">
        <f aca="true">IF(B1438="","",IF(ISNA(MATCH(B1438,ListaInsumos,0)),"Insumo no está en Insumos",IF(OR(D1438="",E1438="",F1438=""),"Faltan datos",IF(INDEX(UnidadesBase,MATCH(E1438,Unidades,0))&lt;&gt;INDEX(InsBase,MATCH(B1438,ListaInsumos,0)),"Unidad incompatible",IF(A1438="","Falta fecha","OK")))))</f>
        <v/>
      </c>
      <c r="J1438" s="15"/>
    </row>
    <row r="1439" customFormat="false" ht="15" hidden="false" customHeight="false" outlineLevel="0" collapsed="false">
      <c r="A1439" s="26"/>
      <c r="B1439" s="15"/>
      <c r="C1439" s="15"/>
      <c r="D1439" s="27"/>
      <c r="E1439" s="15"/>
      <c r="F1439" s="28"/>
      <c r="G1439" s="25" t="str">
        <f aca="true">IF(OR(D1439="",E1439=""),"",IFERROR(D1439*INDEX(UnidadesFactor,MATCH(E1439,Unidades,0)),""))</f>
        <v/>
      </c>
      <c r="H1439" s="17" t="str">
        <f aca="false">IF(I1439&lt;&gt;"OK","",IF(G1439=0,"",F1439/G1439))</f>
        <v/>
      </c>
      <c r="I1439" s="20" t="str">
        <f aca="true">IF(B1439="","",IF(ISNA(MATCH(B1439,ListaInsumos,0)),"Insumo no está en Insumos",IF(OR(D1439="",E1439="",F1439=""),"Faltan datos",IF(INDEX(UnidadesBase,MATCH(E1439,Unidades,0))&lt;&gt;INDEX(InsBase,MATCH(B1439,ListaInsumos,0)),"Unidad incompatible",IF(A1439="","Falta fecha","OK")))))</f>
        <v/>
      </c>
      <c r="J1439" s="15"/>
    </row>
    <row r="1440" customFormat="false" ht="15" hidden="false" customHeight="false" outlineLevel="0" collapsed="false">
      <c r="A1440" s="26"/>
      <c r="B1440" s="15"/>
      <c r="C1440" s="15"/>
      <c r="D1440" s="27"/>
      <c r="E1440" s="15"/>
      <c r="F1440" s="28"/>
      <c r="G1440" s="25" t="str">
        <f aca="true">IF(OR(D1440="",E1440=""),"",IFERROR(D1440*INDEX(UnidadesFactor,MATCH(E1440,Unidades,0)),""))</f>
        <v/>
      </c>
      <c r="H1440" s="17" t="str">
        <f aca="false">IF(I1440&lt;&gt;"OK","",IF(G1440=0,"",F1440/G1440))</f>
        <v/>
      </c>
      <c r="I1440" s="20" t="str">
        <f aca="true">IF(B1440="","",IF(ISNA(MATCH(B1440,ListaInsumos,0)),"Insumo no está en Insumos",IF(OR(D1440="",E1440="",F1440=""),"Faltan datos",IF(INDEX(UnidadesBase,MATCH(E1440,Unidades,0))&lt;&gt;INDEX(InsBase,MATCH(B1440,ListaInsumos,0)),"Unidad incompatible",IF(A1440="","Falta fecha","OK")))))</f>
        <v/>
      </c>
      <c r="J1440" s="15"/>
    </row>
    <row r="1441" customFormat="false" ht="15" hidden="false" customHeight="false" outlineLevel="0" collapsed="false">
      <c r="A1441" s="26"/>
      <c r="B1441" s="15"/>
      <c r="C1441" s="15"/>
      <c r="D1441" s="27"/>
      <c r="E1441" s="15"/>
      <c r="F1441" s="28"/>
      <c r="G1441" s="25" t="str">
        <f aca="true">IF(OR(D1441="",E1441=""),"",IFERROR(D1441*INDEX(UnidadesFactor,MATCH(E1441,Unidades,0)),""))</f>
        <v/>
      </c>
      <c r="H1441" s="17" t="str">
        <f aca="false">IF(I1441&lt;&gt;"OK","",IF(G1441=0,"",F1441/G1441))</f>
        <v/>
      </c>
      <c r="I1441" s="20" t="str">
        <f aca="true">IF(B1441="","",IF(ISNA(MATCH(B1441,ListaInsumos,0)),"Insumo no está en Insumos",IF(OR(D1441="",E1441="",F1441=""),"Faltan datos",IF(INDEX(UnidadesBase,MATCH(E1441,Unidades,0))&lt;&gt;INDEX(InsBase,MATCH(B1441,ListaInsumos,0)),"Unidad incompatible",IF(A1441="","Falta fecha","OK")))))</f>
        <v/>
      </c>
      <c r="J1441" s="15"/>
    </row>
    <row r="1442" customFormat="false" ht="15" hidden="false" customHeight="false" outlineLevel="0" collapsed="false">
      <c r="A1442" s="26"/>
      <c r="B1442" s="15"/>
      <c r="C1442" s="15"/>
      <c r="D1442" s="27"/>
      <c r="E1442" s="15"/>
      <c r="F1442" s="28"/>
      <c r="G1442" s="25" t="str">
        <f aca="true">IF(OR(D1442="",E1442=""),"",IFERROR(D1442*INDEX(UnidadesFactor,MATCH(E1442,Unidades,0)),""))</f>
        <v/>
      </c>
      <c r="H1442" s="17" t="str">
        <f aca="false">IF(I1442&lt;&gt;"OK","",IF(G1442=0,"",F1442/G1442))</f>
        <v/>
      </c>
      <c r="I1442" s="20" t="str">
        <f aca="true">IF(B1442="","",IF(ISNA(MATCH(B1442,ListaInsumos,0)),"Insumo no está en Insumos",IF(OR(D1442="",E1442="",F1442=""),"Faltan datos",IF(INDEX(UnidadesBase,MATCH(E1442,Unidades,0))&lt;&gt;INDEX(InsBase,MATCH(B1442,ListaInsumos,0)),"Unidad incompatible",IF(A1442="","Falta fecha","OK")))))</f>
        <v/>
      </c>
      <c r="J1442" s="15"/>
    </row>
    <row r="1443" customFormat="false" ht="15" hidden="false" customHeight="false" outlineLevel="0" collapsed="false">
      <c r="A1443" s="26"/>
      <c r="B1443" s="15"/>
      <c r="C1443" s="15"/>
      <c r="D1443" s="27"/>
      <c r="E1443" s="15"/>
      <c r="F1443" s="28"/>
      <c r="G1443" s="25" t="str">
        <f aca="true">IF(OR(D1443="",E1443=""),"",IFERROR(D1443*INDEX(UnidadesFactor,MATCH(E1443,Unidades,0)),""))</f>
        <v/>
      </c>
      <c r="H1443" s="17" t="str">
        <f aca="false">IF(I1443&lt;&gt;"OK","",IF(G1443=0,"",F1443/G1443))</f>
        <v/>
      </c>
      <c r="I1443" s="20" t="str">
        <f aca="true">IF(B1443="","",IF(ISNA(MATCH(B1443,ListaInsumos,0)),"Insumo no está en Insumos",IF(OR(D1443="",E1443="",F1443=""),"Faltan datos",IF(INDEX(UnidadesBase,MATCH(E1443,Unidades,0))&lt;&gt;INDEX(InsBase,MATCH(B1443,ListaInsumos,0)),"Unidad incompatible",IF(A1443="","Falta fecha","OK")))))</f>
        <v/>
      </c>
      <c r="J1443" s="15"/>
    </row>
    <row r="1444" customFormat="false" ht="15" hidden="false" customHeight="false" outlineLevel="0" collapsed="false">
      <c r="A1444" s="26"/>
      <c r="B1444" s="15"/>
      <c r="C1444" s="15"/>
      <c r="D1444" s="27"/>
      <c r="E1444" s="15"/>
      <c r="F1444" s="28"/>
      <c r="G1444" s="25" t="str">
        <f aca="true">IF(OR(D1444="",E1444=""),"",IFERROR(D1444*INDEX(UnidadesFactor,MATCH(E1444,Unidades,0)),""))</f>
        <v/>
      </c>
      <c r="H1444" s="17" t="str">
        <f aca="false">IF(I1444&lt;&gt;"OK","",IF(G1444=0,"",F1444/G1444))</f>
        <v/>
      </c>
      <c r="I1444" s="20" t="str">
        <f aca="true">IF(B1444="","",IF(ISNA(MATCH(B1444,ListaInsumos,0)),"Insumo no está en Insumos",IF(OR(D1444="",E1444="",F1444=""),"Faltan datos",IF(INDEX(UnidadesBase,MATCH(E1444,Unidades,0))&lt;&gt;INDEX(InsBase,MATCH(B1444,ListaInsumos,0)),"Unidad incompatible",IF(A1444="","Falta fecha","OK")))))</f>
        <v/>
      </c>
      <c r="J1444" s="15"/>
    </row>
    <row r="1445" customFormat="false" ht="15" hidden="false" customHeight="false" outlineLevel="0" collapsed="false">
      <c r="A1445" s="26"/>
      <c r="B1445" s="15"/>
      <c r="C1445" s="15"/>
      <c r="D1445" s="27"/>
      <c r="E1445" s="15"/>
      <c r="F1445" s="28"/>
      <c r="G1445" s="25" t="str">
        <f aca="true">IF(OR(D1445="",E1445=""),"",IFERROR(D1445*INDEX(UnidadesFactor,MATCH(E1445,Unidades,0)),""))</f>
        <v/>
      </c>
      <c r="H1445" s="17" t="str">
        <f aca="false">IF(I1445&lt;&gt;"OK","",IF(G1445=0,"",F1445/G1445))</f>
        <v/>
      </c>
      <c r="I1445" s="20" t="str">
        <f aca="true">IF(B1445="","",IF(ISNA(MATCH(B1445,ListaInsumos,0)),"Insumo no está en Insumos",IF(OR(D1445="",E1445="",F1445=""),"Faltan datos",IF(INDEX(UnidadesBase,MATCH(E1445,Unidades,0))&lt;&gt;INDEX(InsBase,MATCH(B1445,ListaInsumos,0)),"Unidad incompatible",IF(A1445="","Falta fecha","OK")))))</f>
        <v/>
      </c>
      <c r="J1445" s="15"/>
    </row>
    <row r="1446" customFormat="false" ht="15" hidden="false" customHeight="false" outlineLevel="0" collapsed="false">
      <c r="A1446" s="26"/>
      <c r="B1446" s="15"/>
      <c r="C1446" s="15"/>
      <c r="D1446" s="27"/>
      <c r="E1446" s="15"/>
      <c r="F1446" s="28"/>
      <c r="G1446" s="25" t="str">
        <f aca="true">IF(OR(D1446="",E1446=""),"",IFERROR(D1446*INDEX(UnidadesFactor,MATCH(E1446,Unidades,0)),""))</f>
        <v/>
      </c>
      <c r="H1446" s="17" t="str">
        <f aca="false">IF(I1446&lt;&gt;"OK","",IF(G1446=0,"",F1446/G1446))</f>
        <v/>
      </c>
      <c r="I1446" s="20" t="str">
        <f aca="true">IF(B1446="","",IF(ISNA(MATCH(B1446,ListaInsumos,0)),"Insumo no está en Insumos",IF(OR(D1446="",E1446="",F1446=""),"Faltan datos",IF(INDEX(UnidadesBase,MATCH(E1446,Unidades,0))&lt;&gt;INDEX(InsBase,MATCH(B1446,ListaInsumos,0)),"Unidad incompatible",IF(A1446="","Falta fecha","OK")))))</f>
        <v/>
      </c>
      <c r="J1446" s="15"/>
    </row>
    <row r="1447" customFormat="false" ht="15" hidden="false" customHeight="false" outlineLevel="0" collapsed="false">
      <c r="A1447" s="26"/>
      <c r="B1447" s="15"/>
      <c r="C1447" s="15"/>
      <c r="D1447" s="27"/>
      <c r="E1447" s="15"/>
      <c r="F1447" s="28"/>
      <c r="G1447" s="25" t="str">
        <f aca="true">IF(OR(D1447="",E1447=""),"",IFERROR(D1447*INDEX(UnidadesFactor,MATCH(E1447,Unidades,0)),""))</f>
        <v/>
      </c>
      <c r="H1447" s="17" t="str">
        <f aca="false">IF(I1447&lt;&gt;"OK","",IF(G1447=0,"",F1447/G1447))</f>
        <v/>
      </c>
      <c r="I1447" s="20" t="str">
        <f aca="true">IF(B1447="","",IF(ISNA(MATCH(B1447,ListaInsumos,0)),"Insumo no está en Insumos",IF(OR(D1447="",E1447="",F1447=""),"Faltan datos",IF(INDEX(UnidadesBase,MATCH(E1447,Unidades,0))&lt;&gt;INDEX(InsBase,MATCH(B1447,ListaInsumos,0)),"Unidad incompatible",IF(A1447="","Falta fecha","OK")))))</f>
        <v/>
      </c>
      <c r="J1447" s="15"/>
    </row>
    <row r="1448" customFormat="false" ht="15" hidden="false" customHeight="false" outlineLevel="0" collapsed="false">
      <c r="A1448" s="26"/>
      <c r="B1448" s="15"/>
      <c r="C1448" s="15"/>
      <c r="D1448" s="27"/>
      <c r="E1448" s="15"/>
      <c r="F1448" s="28"/>
      <c r="G1448" s="25" t="str">
        <f aca="true">IF(OR(D1448="",E1448=""),"",IFERROR(D1448*INDEX(UnidadesFactor,MATCH(E1448,Unidades,0)),""))</f>
        <v/>
      </c>
      <c r="H1448" s="17" t="str">
        <f aca="false">IF(I1448&lt;&gt;"OK","",IF(G1448=0,"",F1448/G1448))</f>
        <v/>
      </c>
      <c r="I1448" s="20" t="str">
        <f aca="true">IF(B1448="","",IF(ISNA(MATCH(B1448,ListaInsumos,0)),"Insumo no está en Insumos",IF(OR(D1448="",E1448="",F1448=""),"Faltan datos",IF(INDEX(UnidadesBase,MATCH(E1448,Unidades,0))&lt;&gt;INDEX(InsBase,MATCH(B1448,ListaInsumos,0)),"Unidad incompatible",IF(A1448="","Falta fecha","OK")))))</f>
        <v/>
      </c>
      <c r="J1448" s="15"/>
    </row>
    <row r="1449" customFormat="false" ht="15" hidden="false" customHeight="false" outlineLevel="0" collapsed="false">
      <c r="A1449" s="26"/>
      <c r="B1449" s="15"/>
      <c r="C1449" s="15"/>
      <c r="D1449" s="27"/>
      <c r="E1449" s="15"/>
      <c r="F1449" s="28"/>
      <c r="G1449" s="25" t="str">
        <f aca="true">IF(OR(D1449="",E1449=""),"",IFERROR(D1449*INDEX(UnidadesFactor,MATCH(E1449,Unidades,0)),""))</f>
        <v/>
      </c>
      <c r="H1449" s="17" t="str">
        <f aca="false">IF(I1449&lt;&gt;"OK","",IF(G1449=0,"",F1449/G1449))</f>
        <v/>
      </c>
      <c r="I1449" s="20" t="str">
        <f aca="true">IF(B1449="","",IF(ISNA(MATCH(B1449,ListaInsumos,0)),"Insumo no está en Insumos",IF(OR(D1449="",E1449="",F1449=""),"Faltan datos",IF(INDEX(UnidadesBase,MATCH(E1449,Unidades,0))&lt;&gt;INDEX(InsBase,MATCH(B1449,ListaInsumos,0)),"Unidad incompatible",IF(A1449="","Falta fecha","OK")))))</f>
        <v/>
      </c>
      <c r="J1449" s="15"/>
    </row>
    <row r="1450" customFormat="false" ht="15" hidden="false" customHeight="false" outlineLevel="0" collapsed="false">
      <c r="A1450" s="26"/>
      <c r="B1450" s="15"/>
      <c r="C1450" s="15"/>
      <c r="D1450" s="27"/>
      <c r="E1450" s="15"/>
      <c r="F1450" s="28"/>
      <c r="G1450" s="25" t="str">
        <f aca="true">IF(OR(D1450="",E1450=""),"",IFERROR(D1450*INDEX(UnidadesFactor,MATCH(E1450,Unidades,0)),""))</f>
        <v/>
      </c>
      <c r="H1450" s="17" t="str">
        <f aca="false">IF(I1450&lt;&gt;"OK","",IF(G1450=0,"",F1450/G1450))</f>
        <v/>
      </c>
      <c r="I1450" s="20" t="str">
        <f aca="true">IF(B1450="","",IF(ISNA(MATCH(B1450,ListaInsumos,0)),"Insumo no está en Insumos",IF(OR(D1450="",E1450="",F1450=""),"Faltan datos",IF(INDEX(UnidadesBase,MATCH(E1450,Unidades,0))&lt;&gt;INDEX(InsBase,MATCH(B1450,ListaInsumos,0)),"Unidad incompatible",IF(A1450="","Falta fecha","OK")))))</f>
        <v/>
      </c>
      <c r="J1450" s="15"/>
    </row>
    <row r="1451" customFormat="false" ht="15" hidden="false" customHeight="false" outlineLevel="0" collapsed="false">
      <c r="A1451" s="26"/>
      <c r="B1451" s="15"/>
      <c r="C1451" s="15"/>
      <c r="D1451" s="27"/>
      <c r="E1451" s="15"/>
      <c r="F1451" s="28"/>
      <c r="G1451" s="25" t="str">
        <f aca="true">IF(OR(D1451="",E1451=""),"",IFERROR(D1451*INDEX(UnidadesFactor,MATCH(E1451,Unidades,0)),""))</f>
        <v/>
      </c>
      <c r="H1451" s="17" t="str">
        <f aca="false">IF(I1451&lt;&gt;"OK","",IF(G1451=0,"",F1451/G1451))</f>
        <v/>
      </c>
      <c r="I1451" s="20" t="str">
        <f aca="true">IF(B1451="","",IF(ISNA(MATCH(B1451,ListaInsumos,0)),"Insumo no está en Insumos",IF(OR(D1451="",E1451="",F1451=""),"Faltan datos",IF(INDEX(UnidadesBase,MATCH(E1451,Unidades,0))&lt;&gt;INDEX(InsBase,MATCH(B1451,ListaInsumos,0)),"Unidad incompatible",IF(A1451="","Falta fecha","OK")))))</f>
        <v/>
      </c>
      <c r="J1451" s="15"/>
    </row>
    <row r="1452" customFormat="false" ht="15" hidden="false" customHeight="false" outlineLevel="0" collapsed="false">
      <c r="A1452" s="26"/>
      <c r="B1452" s="15"/>
      <c r="C1452" s="15"/>
      <c r="D1452" s="27"/>
      <c r="E1452" s="15"/>
      <c r="F1452" s="28"/>
      <c r="G1452" s="25" t="str">
        <f aca="true">IF(OR(D1452="",E1452=""),"",IFERROR(D1452*INDEX(UnidadesFactor,MATCH(E1452,Unidades,0)),""))</f>
        <v/>
      </c>
      <c r="H1452" s="17" t="str">
        <f aca="false">IF(I1452&lt;&gt;"OK","",IF(G1452=0,"",F1452/G1452))</f>
        <v/>
      </c>
      <c r="I1452" s="20" t="str">
        <f aca="true">IF(B1452="","",IF(ISNA(MATCH(B1452,ListaInsumos,0)),"Insumo no está en Insumos",IF(OR(D1452="",E1452="",F1452=""),"Faltan datos",IF(INDEX(UnidadesBase,MATCH(E1452,Unidades,0))&lt;&gt;INDEX(InsBase,MATCH(B1452,ListaInsumos,0)),"Unidad incompatible",IF(A1452="","Falta fecha","OK")))))</f>
        <v/>
      </c>
      <c r="J1452" s="15"/>
    </row>
    <row r="1453" customFormat="false" ht="15" hidden="false" customHeight="false" outlineLevel="0" collapsed="false">
      <c r="A1453" s="26"/>
      <c r="B1453" s="15"/>
      <c r="C1453" s="15"/>
      <c r="D1453" s="27"/>
      <c r="E1453" s="15"/>
      <c r="F1453" s="28"/>
      <c r="G1453" s="25" t="str">
        <f aca="true">IF(OR(D1453="",E1453=""),"",IFERROR(D1453*INDEX(UnidadesFactor,MATCH(E1453,Unidades,0)),""))</f>
        <v/>
      </c>
      <c r="H1453" s="17" t="str">
        <f aca="false">IF(I1453&lt;&gt;"OK","",IF(G1453=0,"",F1453/G1453))</f>
        <v/>
      </c>
      <c r="I1453" s="20" t="str">
        <f aca="true">IF(B1453="","",IF(ISNA(MATCH(B1453,ListaInsumos,0)),"Insumo no está en Insumos",IF(OR(D1453="",E1453="",F1453=""),"Faltan datos",IF(INDEX(UnidadesBase,MATCH(E1453,Unidades,0))&lt;&gt;INDEX(InsBase,MATCH(B1453,ListaInsumos,0)),"Unidad incompatible",IF(A1453="","Falta fecha","OK")))))</f>
        <v/>
      </c>
      <c r="J1453" s="15"/>
    </row>
    <row r="1454" customFormat="false" ht="15" hidden="false" customHeight="false" outlineLevel="0" collapsed="false">
      <c r="A1454" s="26"/>
      <c r="B1454" s="15"/>
      <c r="C1454" s="15"/>
      <c r="D1454" s="27"/>
      <c r="E1454" s="15"/>
      <c r="F1454" s="28"/>
      <c r="G1454" s="25" t="str">
        <f aca="true">IF(OR(D1454="",E1454=""),"",IFERROR(D1454*INDEX(UnidadesFactor,MATCH(E1454,Unidades,0)),""))</f>
        <v/>
      </c>
      <c r="H1454" s="17" t="str">
        <f aca="false">IF(I1454&lt;&gt;"OK","",IF(G1454=0,"",F1454/G1454))</f>
        <v/>
      </c>
      <c r="I1454" s="20" t="str">
        <f aca="true">IF(B1454="","",IF(ISNA(MATCH(B1454,ListaInsumos,0)),"Insumo no está en Insumos",IF(OR(D1454="",E1454="",F1454=""),"Faltan datos",IF(INDEX(UnidadesBase,MATCH(E1454,Unidades,0))&lt;&gt;INDEX(InsBase,MATCH(B1454,ListaInsumos,0)),"Unidad incompatible",IF(A1454="","Falta fecha","OK")))))</f>
        <v/>
      </c>
      <c r="J1454" s="15"/>
    </row>
    <row r="1455" customFormat="false" ht="15" hidden="false" customHeight="false" outlineLevel="0" collapsed="false">
      <c r="A1455" s="26"/>
      <c r="B1455" s="15"/>
      <c r="C1455" s="15"/>
      <c r="D1455" s="27"/>
      <c r="E1455" s="15"/>
      <c r="F1455" s="28"/>
      <c r="G1455" s="25" t="str">
        <f aca="true">IF(OR(D1455="",E1455=""),"",IFERROR(D1455*INDEX(UnidadesFactor,MATCH(E1455,Unidades,0)),""))</f>
        <v/>
      </c>
      <c r="H1455" s="17" t="str">
        <f aca="false">IF(I1455&lt;&gt;"OK","",IF(G1455=0,"",F1455/G1455))</f>
        <v/>
      </c>
      <c r="I1455" s="20" t="str">
        <f aca="true">IF(B1455="","",IF(ISNA(MATCH(B1455,ListaInsumos,0)),"Insumo no está en Insumos",IF(OR(D1455="",E1455="",F1455=""),"Faltan datos",IF(INDEX(UnidadesBase,MATCH(E1455,Unidades,0))&lt;&gt;INDEX(InsBase,MATCH(B1455,ListaInsumos,0)),"Unidad incompatible",IF(A1455="","Falta fecha","OK")))))</f>
        <v/>
      </c>
      <c r="J1455" s="15"/>
    </row>
    <row r="1456" customFormat="false" ht="15" hidden="false" customHeight="false" outlineLevel="0" collapsed="false">
      <c r="A1456" s="26"/>
      <c r="B1456" s="15"/>
      <c r="C1456" s="15"/>
      <c r="D1456" s="27"/>
      <c r="E1456" s="15"/>
      <c r="F1456" s="28"/>
      <c r="G1456" s="25" t="str">
        <f aca="true">IF(OR(D1456="",E1456=""),"",IFERROR(D1456*INDEX(UnidadesFactor,MATCH(E1456,Unidades,0)),""))</f>
        <v/>
      </c>
      <c r="H1456" s="17" t="str">
        <f aca="false">IF(I1456&lt;&gt;"OK","",IF(G1456=0,"",F1456/G1456))</f>
        <v/>
      </c>
      <c r="I1456" s="20" t="str">
        <f aca="true">IF(B1456="","",IF(ISNA(MATCH(B1456,ListaInsumos,0)),"Insumo no está en Insumos",IF(OR(D1456="",E1456="",F1456=""),"Faltan datos",IF(INDEX(UnidadesBase,MATCH(E1456,Unidades,0))&lt;&gt;INDEX(InsBase,MATCH(B1456,ListaInsumos,0)),"Unidad incompatible",IF(A1456="","Falta fecha","OK")))))</f>
        <v/>
      </c>
      <c r="J1456" s="15"/>
    </row>
    <row r="1457" customFormat="false" ht="15" hidden="false" customHeight="false" outlineLevel="0" collapsed="false">
      <c r="A1457" s="26"/>
      <c r="B1457" s="15"/>
      <c r="C1457" s="15"/>
      <c r="D1457" s="27"/>
      <c r="E1457" s="15"/>
      <c r="F1457" s="28"/>
      <c r="G1457" s="25" t="str">
        <f aca="true">IF(OR(D1457="",E1457=""),"",IFERROR(D1457*INDEX(UnidadesFactor,MATCH(E1457,Unidades,0)),""))</f>
        <v/>
      </c>
      <c r="H1457" s="17" t="str">
        <f aca="false">IF(I1457&lt;&gt;"OK","",IF(G1457=0,"",F1457/G1457))</f>
        <v/>
      </c>
      <c r="I1457" s="20" t="str">
        <f aca="true">IF(B1457="","",IF(ISNA(MATCH(B1457,ListaInsumos,0)),"Insumo no está en Insumos",IF(OR(D1457="",E1457="",F1457=""),"Faltan datos",IF(INDEX(UnidadesBase,MATCH(E1457,Unidades,0))&lt;&gt;INDEX(InsBase,MATCH(B1457,ListaInsumos,0)),"Unidad incompatible",IF(A1457="","Falta fecha","OK")))))</f>
        <v/>
      </c>
      <c r="J1457" s="15"/>
    </row>
    <row r="1458" customFormat="false" ht="15" hidden="false" customHeight="false" outlineLevel="0" collapsed="false">
      <c r="A1458" s="26"/>
      <c r="B1458" s="15"/>
      <c r="C1458" s="15"/>
      <c r="D1458" s="27"/>
      <c r="E1458" s="15"/>
      <c r="F1458" s="28"/>
      <c r="G1458" s="25" t="str">
        <f aca="true">IF(OR(D1458="",E1458=""),"",IFERROR(D1458*INDEX(UnidadesFactor,MATCH(E1458,Unidades,0)),""))</f>
        <v/>
      </c>
      <c r="H1458" s="17" t="str">
        <f aca="false">IF(I1458&lt;&gt;"OK","",IF(G1458=0,"",F1458/G1458))</f>
        <v/>
      </c>
      <c r="I1458" s="20" t="str">
        <f aca="true">IF(B1458="","",IF(ISNA(MATCH(B1458,ListaInsumos,0)),"Insumo no está en Insumos",IF(OR(D1458="",E1458="",F1458=""),"Faltan datos",IF(INDEX(UnidadesBase,MATCH(E1458,Unidades,0))&lt;&gt;INDEX(InsBase,MATCH(B1458,ListaInsumos,0)),"Unidad incompatible",IF(A1458="","Falta fecha","OK")))))</f>
        <v/>
      </c>
      <c r="J1458" s="15"/>
    </row>
    <row r="1459" customFormat="false" ht="15" hidden="false" customHeight="false" outlineLevel="0" collapsed="false">
      <c r="A1459" s="26"/>
      <c r="B1459" s="15"/>
      <c r="C1459" s="15"/>
      <c r="D1459" s="27"/>
      <c r="E1459" s="15"/>
      <c r="F1459" s="28"/>
      <c r="G1459" s="25" t="str">
        <f aca="true">IF(OR(D1459="",E1459=""),"",IFERROR(D1459*INDEX(UnidadesFactor,MATCH(E1459,Unidades,0)),""))</f>
        <v/>
      </c>
      <c r="H1459" s="17" t="str">
        <f aca="false">IF(I1459&lt;&gt;"OK","",IF(G1459=0,"",F1459/G1459))</f>
        <v/>
      </c>
      <c r="I1459" s="20" t="str">
        <f aca="true">IF(B1459="","",IF(ISNA(MATCH(B1459,ListaInsumos,0)),"Insumo no está en Insumos",IF(OR(D1459="",E1459="",F1459=""),"Faltan datos",IF(INDEX(UnidadesBase,MATCH(E1459,Unidades,0))&lt;&gt;INDEX(InsBase,MATCH(B1459,ListaInsumos,0)),"Unidad incompatible",IF(A1459="","Falta fecha","OK")))))</f>
        <v/>
      </c>
      <c r="J1459" s="15"/>
    </row>
    <row r="1460" customFormat="false" ht="15" hidden="false" customHeight="false" outlineLevel="0" collapsed="false">
      <c r="A1460" s="26"/>
      <c r="B1460" s="15"/>
      <c r="C1460" s="15"/>
      <c r="D1460" s="27"/>
      <c r="E1460" s="15"/>
      <c r="F1460" s="28"/>
      <c r="G1460" s="25" t="str">
        <f aca="true">IF(OR(D1460="",E1460=""),"",IFERROR(D1460*INDEX(UnidadesFactor,MATCH(E1460,Unidades,0)),""))</f>
        <v/>
      </c>
      <c r="H1460" s="17" t="str">
        <f aca="false">IF(I1460&lt;&gt;"OK","",IF(G1460=0,"",F1460/G1460))</f>
        <v/>
      </c>
      <c r="I1460" s="20" t="str">
        <f aca="true">IF(B1460="","",IF(ISNA(MATCH(B1460,ListaInsumos,0)),"Insumo no está en Insumos",IF(OR(D1460="",E1460="",F1460=""),"Faltan datos",IF(INDEX(UnidadesBase,MATCH(E1460,Unidades,0))&lt;&gt;INDEX(InsBase,MATCH(B1460,ListaInsumos,0)),"Unidad incompatible",IF(A1460="","Falta fecha","OK")))))</f>
        <v/>
      </c>
      <c r="J1460" s="15"/>
    </row>
    <row r="1461" customFormat="false" ht="15" hidden="false" customHeight="false" outlineLevel="0" collapsed="false">
      <c r="A1461" s="26"/>
      <c r="B1461" s="15"/>
      <c r="C1461" s="15"/>
      <c r="D1461" s="27"/>
      <c r="E1461" s="15"/>
      <c r="F1461" s="28"/>
      <c r="G1461" s="25" t="str">
        <f aca="true">IF(OR(D1461="",E1461=""),"",IFERROR(D1461*INDEX(UnidadesFactor,MATCH(E1461,Unidades,0)),""))</f>
        <v/>
      </c>
      <c r="H1461" s="17" t="str">
        <f aca="false">IF(I1461&lt;&gt;"OK","",IF(G1461=0,"",F1461/G1461))</f>
        <v/>
      </c>
      <c r="I1461" s="20" t="str">
        <f aca="true">IF(B1461="","",IF(ISNA(MATCH(B1461,ListaInsumos,0)),"Insumo no está en Insumos",IF(OR(D1461="",E1461="",F1461=""),"Faltan datos",IF(INDEX(UnidadesBase,MATCH(E1461,Unidades,0))&lt;&gt;INDEX(InsBase,MATCH(B1461,ListaInsumos,0)),"Unidad incompatible",IF(A1461="","Falta fecha","OK")))))</f>
        <v/>
      </c>
      <c r="J1461" s="15"/>
    </row>
    <row r="1462" customFormat="false" ht="15" hidden="false" customHeight="false" outlineLevel="0" collapsed="false">
      <c r="A1462" s="26"/>
      <c r="B1462" s="15"/>
      <c r="C1462" s="15"/>
      <c r="D1462" s="27"/>
      <c r="E1462" s="15"/>
      <c r="F1462" s="28"/>
      <c r="G1462" s="25" t="str">
        <f aca="true">IF(OR(D1462="",E1462=""),"",IFERROR(D1462*INDEX(UnidadesFactor,MATCH(E1462,Unidades,0)),""))</f>
        <v/>
      </c>
      <c r="H1462" s="17" t="str">
        <f aca="false">IF(I1462&lt;&gt;"OK","",IF(G1462=0,"",F1462/G1462))</f>
        <v/>
      </c>
      <c r="I1462" s="20" t="str">
        <f aca="true">IF(B1462="","",IF(ISNA(MATCH(B1462,ListaInsumos,0)),"Insumo no está en Insumos",IF(OR(D1462="",E1462="",F1462=""),"Faltan datos",IF(INDEX(UnidadesBase,MATCH(E1462,Unidades,0))&lt;&gt;INDEX(InsBase,MATCH(B1462,ListaInsumos,0)),"Unidad incompatible",IF(A1462="","Falta fecha","OK")))))</f>
        <v/>
      </c>
      <c r="J1462" s="15"/>
    </row>
    <row r="1463" customFormat="false" ht="15" hidden="false" customHeight="false" outlineLevel="0" collapsed="false">
      <c r="A1463" s="26"/>
      <c r="B1463" s="15"/>
      <c r="C1463" s="15"/>
      <c r="D1463" s="27"/>
      <c r="E1463" s="15"/>
      <c r="F1463" s="28"/>
      <c r="G1463" s="25" t="str">
        <f aca="true">IF(OR(D1463="",E1463=""),"",IFERROR(D1463*INDEX(UnidadesFactor,MATCH(E1463,Unidades,0)),""))</f>
        <v/>
      </c>
      <c r="H1463" s="17" t="str">
        <f aca="false">IF(I1463&lt;&gt;"OK","",IF(G1463=0,"",F1463/G1463))</f>
        <v/>
      </c>
      <c r="I1463" s="20" t="str">
        <f aca="true">IF(B1463="","",IF(ISNA(MATCH(B1463,ListaInsumos,0)),"Insumo no está en Insumos",IF(OR(D1463="",E1463="",F1463=""),"Faltan datos",IF(INDEX(UnidadesBase,MATCH(E1463,Unidades,0))&lt;&gt;INDEX(InsBase,MATCH(B1463,ListaInsumos,0)),"Unidad incompatible",IF(A1463="","Falta fecha","OK")))))</f>
        <v/>
      </c>
      <c r="J1463" s="15"/>
    </row>
    <row r="1464" customFormat="false" ht="15" hidden="false" customHeight="false" outlineLevel="0" collapsed="false">
      <c r="A1464" s="26"/>
      <c r="B1464" s="15"/>
      <c r="C1464" s="15"/>
      <c r="D1464" s="27"/>
      <c r="E1464" s="15"/>
      <c r="F1464" s="28"/>
      <c r="G1464" s="25" t="str">
        <f aca="true">IF(OR(D1464="",E1464=""),"",IFERROR(D1464*INDEX(UnidadesFactor,MATCH(E1464,Unidades,0)),""))</f>
        <v/>
      </c>
      <c r="H1464" s="17" t="str">
        <f aca="false">IF(I1464&lt;&gt;"OK","",IF(G1464=0,"",F1464/G1464))</f>
        <v/>
      </c>
      <c r="I1464" s="20" t="str">
        <f aca="true">IF(B1464="","",IF(ISNA(MATCH(B1464,ListaInsumos,0)),"Insumo no está en Insumos",IF(OR(D1464="",E1464="",F1464=""),"Faltan datos",IF(INDEX(UnidadesBase,MATCH(E1464,Unidades,0))&lt;&gt;INDEX(InsBase,MATCH(B1464,ListaInsumos,0)),"Unidad incompatible",IF(A1464="","Falta fecha","OK")))))</f>
        <v/>
      </c>
      <c r="J1464" s="15"/>
    </row>
    <row r="1465" customFormat="false" ht="15" hidden="false" customHeight="false" outlineLevel="0" collapsed="false">
      <c r="A1465" s="26"/>
      <c r="B1465" s="15"/>
      <c r="C1465" s="15"/>
      <c r="D1465" s="27"/>
      <c r="E1465" s="15"/>
      <c r="F1465" s="28"/>
      <c r="G1465" s="25" t="str">
        <f aca="true">IF(OR(D1465="",E1465=""),"",IFERROR(D1465*INDEX(UnidadesFactor,MATCH(E1465,Unidades,0)),""))</f>
        <v/>
      </c>
      <c r="H1465" s="17" t="str">
        <f aca="false">IF(I1465&lt;&gt;"OK","",IF(G1465=0,"",F1465/G1465))</f>
        <v/>
      </c>
      <c r="I1465" s="20" t="str">
        <f aca="true">IF(B1465="","",IF(ISNA(MATCH(B1465,ListaInsumos,0)),"Insumo no está en Insumos",IF(OR(D1465="",E1465="",F1465=""),"Faltan datos",IF(INDEX(UnidadesBase,MATCH(E1465,Unidades,0))&lt;&gt;INDEX(InsBase,MATCH(B1465,ListaInsumos,0)),"Unidad incompatible",IF(A1465="","Falta fecha","OK")))))</f>
        <v/>
      </c>
      <c r="J1465" s="15"/>
    </row>
    <row r="1466" customFormat="false" ht="15" hidden="false" customHeight="false" outlineLevel="0" collapsed="false">
      <c r="A1466" s="26"/>
      <c r="B1466" s="15"/>
      <c r="C1466" s="15"/>
      <c r="D1466" s="27"/>
      <c r="E1466" s="15"/>
      <c r="F1466" s="28"/>
      <c r="G1466" s="25" t="str">
        <f aca="true">IF(OR(D1466="",E1466=""),"",IFERROR(D1466*INDEX(UnidadesFactor,MATCH(E1466,Unidades,0)),""))</f>
        <v/>
      </c>
      <c r="H1466" s="17" t="str">
        <f aca="false">IF(I1466&lt;&gt;"OK","",IF(G1466=0,"",F1466/G1466))</f>
        <v/>
      </c>
      <c r="I1466" s="20" t="str">
        <f aca="true">IF(B1466="","",IF(ISNA(MATCH(B1466,ListaInsumos,0)),"Insumo no está en Insumos",IF(OR(D1466="",E1466="",F1466=""),"Faltan datos",IF(INDEX(UnidadesBase,MATCH(E1466,Unidades,0))&lt;&gt;INDEX(InsBase,MATCH(B1466,ListaInsumos,0)),"Unidad incompatible",IF(A1466="","Falta fecha","OK")))))</f>
        <v/>
      </c>
      <c r="J1466" s="15"/>
    </row>
    <row r="1467" customFormat="false" ht="15" hidden="false" customHeight="false" outlineLevel="0" collapsed="false">
      <c r="A1467" s="26"/>
      <c r="B1467" s="15"/>
      <c r="C1467" s="15"/>
      <c r="D1467" s="27"/>
      <c r="E1467" s="15"/>
      <c r="F1467" s="28"/>
      <c r="G1467" s="25" t="str">
        <f aca="true">IF(OR(D1467="",E1467=""),"",IFERROR(D1467*INDEX(UnidadesFactor,MATCH(E1467,Unidades,0)),""))</f>
        <v/>
      </c>
      <c r="H1467" s="17" t="str">
        <f aca="false">IF(I1467&lt;&gt;"OK","",IF(G1467=0,"",F1467/G1467))</f>
        <v/>
      </c>
      <c r="I1467" s="20" t="str">
        <f aca="true">IF(B1467="","",IF(ISNA(MATCH(B1467,ListaInsumos,0)),"Insumo no está en Insumos",IF(OR(D1467="",E1467="",F1467=""),"Faltan datos",IF(INDEX(UnidadesBase,MATCH(E1467,Unidades,0))&lt;&gt;INDEX(InsBase,MATCH(B1467,ListaInsumos,0)),"Unidad incompatible",IF(A1467="","Falta fecha","OK")))))</f>
        <v/>
      </c>
      <c r="J1467" s="15"/>
    </row>
    <row r="1468" customFormat="false" ht="15" hidden="false" customHeight="false" outlineLevel="0" collapsed="false">
      <c r="A1468" s="26"/>
      <c r="B1468" s="15"/>
      <c r="C1468" s="15"/>
      <c r="D1468" s="27"/>
      <c r="E1468" s="15"/>
      <c r="F1468" s="28"/>
      <c r="G1468" s="25" t="str">
        <f aca="true">IF(OR(D1468="",E1468=""),"",IFERROR(D1468*INDEX(UnidadesFactor,MATCH(E1468,Unidades,0)),""))</f>
        <v/>
      </c>
      <c r="H1468" s="17" t="str">
        <f aca="false">IF(I1468&lt;&gt;"OK","",IF(G1468=0,"",F1468/G1468))</f>
        <v/>
      </c>
      <c r="I1468" s="20" t="str">
        <f aca="true">IF(B1468="","",IF(ISNA(MATCH(B1468,ListaInsumos,0)),"Insumo no está en Insumos",IF(OR(D1468="",E1468="",F1468=""),"Faltan datos",IF(INDEX(UnidadesBase,MATCH(E1468,Unidades,0))&lt;&gt;INDEX(InsBase,MATCH(B1468,ListaInsumos,0)),"Unidad incompatible",IF(A1468="","Falta fecha","OK")))))</f>
        <v/>
      </c>
      <c r="J1468" s="15"/>
    </row>
    <row r="1469" customFormat="false" ht="15" hidden="false" customHeight="false" outlineLevel="0" collapsed="false">
      <c r="A1469" s="26"/>
      <c r="B1469" s="15"/>
      <c r="C1469" s="15"/>
      <c r="D1469" s="27"/>
      <c r="E1469" s="15"/>
      <c r="F1469" s="28"/>
      <c r="G1469" s="25" t="str">
        <f aca="true">IF(OR(D1469="",E1469=""),"",IFERROR(D1469*INDEX(UnidadesFactor,MATCH(E1469,Unidades,0)),""))</f>
        <v/>
      </c>
      <c r="H1469" s="17" t="str">
        <f aca="false">IF(I1469&lt;&gt;"OK","",IF(G1469=0,"",F1469/G1469))</f>
        <v/>
      </c>
      <c r="I1469" s="20" t="str">
        <f aca="true">IF(B1469="","",IF(ISNA(MATCH(B1469,ListaInsumos,0)),"Insumo no está en Insumos",IF(OR(D1469="",E1469="",F1469=""),"Faltan datos",IF(INDEX(UnidadesBase,MATCH(E1469,Unidades,0))&lt;&gt;INDEX(InsBase,MATCH(B1469,ListaInsumos,0)),"Unidad incompatible",IF(A1469="","Falta fecha","OK")))))</f>
        <v/>
      </c>
      <c r="J1469" s="15"/>
    </row>
    <row r="1470" customFormat="false" ht="15" hidden="false" customHeight="false" outlineLevel="0" collapsed="false">
      <c r="A1470" s="26"/>
      <c r="B1470" s="15"/>
      <c r="C1470" s="15"/>
      <c r="D1470" s="27"/>
      <c r="E1470" s="15"/>
      <c r="F1470" s="28"/>
      <c r="G1470" s="25" t="str">
        <f aca="true">IF(OR(D1470="",E1470=""),"",IFERROR(D1470*INDEX(UnidadesFactor,MATCH(E1470,Unidades,0)),""))</f>
        <v/>
      </c>
      <c r="H1470" s="17" t="str">
        <f aca="false">IF(I1470&lt;&gt;"OK","",IF(G1470=0,"",F1470/G1470))</f>
        <v/>
      </c>
      <c r="I1470" s="20" t="str">
        <f aca="true">IF(B1470="","",IF(ISNA(MATCH(B1470,ListaInsumos,0)),"Insumo no está en Insumos",IF(OR(D1470="",E1470="",F1470=""),"Faltan datos",IF(INDEX(UnidadesBase,MATCH(E1470,Unidades,0))&lt;&gt;INDEX(InsBase,MATCH(B1470,ListaInsumos,0)),"Unidad incompatible",IF(A1470="","Falta fecha","OK")))))</f>
        <v/>
      </c>
      <c r="J1470" s="15"/>
    </row>
    <row r="1471" customFormat="false" ht="15" hidden="false" customHeight="false" outlineLevel="0" collapsed="false">
      <c r="A1471" s="26"/>
      <c r="B1471" s="15"/>
      <c r="C1471" s="15"/>
      <c r="D1471" s="27"/>
      <c r="E1471" s="15"/>
      <c r="F1471" s="28"/>
      <c r="G1471" s="25" t="str">
        <f aca="true">IF(OR(D1471="",E1471=""),"",IFERROR(D1471*INDEX(UnidadesFactor,MATCH(E1471,Unidades,0)),""))</f>
        <v/>
      </c>
      <c r="H1471" s="17" t="str">
        <f aca="false">IF(I1471&lt;&gt;"OK","",IF(G1471=0,"",F1471/G1471))</f>
        <v/>
      </c>
      <c r="I1471" s="20" t="str">
        <f aca="true">IF(B1471="","",IF(ISNA(MATCH(B1471,ListaInsumos,0)),"Insumo no está en Insumos",IF(OR(D1471="",E1471="",F1471=""),"Faltan datos",IF(INDEX(UnidadesBase,MATCH(E1471,Unidades,0))&lt;&gt;INDEX(InsBase,MATCH(B1471,ListaInsumos,0)),"Unidad incompatible",IF(A1471="","Falta fecha","OK")))))</f>
        <v/>
      </c>
      <c r="J1471" s="15"/>
    </row>
    <row r="1472" customFormat="false" ht="15" hidden="false" customHeight="false" outlineLevel="0" collapsed="false">
      <c r="A1472" s="26"/>
      <c r="B1472" s="15"/>
      <c r="C1472" s="15"/>
      <c r="D1472" s="27"/>
      <c r="E1472" s="15"/>
      <c r="F1472" s="28"/>
      <c r="G1472" s="25" t="str">
        <f aca="true">IF(OR(D1472="",E1472=""),"",IFERROR(D1472*INDEX(UnidadesFactor,MATCH(E1472,Unidades,0)),""))</f>
        <v/>
      </c>
      <c r="H1472" s="17" t="str">
        <f aca="false">IF(I1472&lt;&gt;"OK","",IF(G1472=0,"",F1472/G1472))</f>
        <v/>
      </c>
      <c r="I1472" s="20" t="str">
        <f aca="true">IF(B1472="","",IF(ISNA(MATCH(B1472,ListaInsumos,0)),"Insumo no está en Insumos",IF(OR(D1472="",E1472="",F1472=""),"Faltan datos",IF(INDEX(UnidadesBase,MATCH(E1472,Unidades,0))&lt;&gt;INDEX(InsBase,MATCH(B1472,ListaInsumos,0)),"Unidad incompatible",IF(A1472="","Falta fecha","OK")))))</f>
        <v/>
      </c>
      <c r="J1472" s="15"/>
    </row>
    <row r="1473" customFormat="false" ht="15" hidden="false" customHeight="false" outlineLevel="0" collapsed="false">
      <c r="A1473" s="26"/>
      <c r="B1473" s="15"/>
      <c r="C1473" s="15"/>
      <c r="D1473" s="27"/>
      <c r="E1473" s="15"/>
      <c r="F1473" s="28"/>
      <c r="G1473" s="25" t="str">
        <f aca="true">IF(OR(D1473="",E1473=""),"",IFERROR(D1473*INDEX(UnidadesFactor,MATCH(E1473,Unidades,0)),""))</f>
        <v/>
      </c>
      <c r="H1473" s="17" t="str">
        <f aca="false">IF(I1473&lt;&gt;"OK","",IF(G1473=0,"",F1473/G1473))</f>
        <v/>
      </c>
      <c r="I1473" s="20" t="str">
        <f aca="true">IF(B1473="","",IF(ISNA(MATCH(B1473,ListaInsumos,0)),"Insumo no está en Insumos",IF(OR(D1473="",E1473="",F1473=""),"Faltan datos",IF(INDEX(UnidadesBase,MATCH(E1473,Unidades,0))&lt;&gt;INDEX(InsBase,MATCH(B1473,ListaInsumos,0)),"Unidad incompatible",IF(A1473="","Falta fecha","OK")))))</f>
        <v/>
      </c>
      <c r="J1473" s="15"/>
    </row>
    <row r="1474" customFormat="false" ht="15" hidden="false" customHeight="false" outlineLevel="0" collapsed="false">
      <c r="A1474" s="26"/>
      <c r="B1474" s="15"/>
      <c r="C1474" s="15"/>
      <c r="D1474" s="27"/>
      <c r="E1474" s="15"/>
      <c r="F1474" s="28"/>
      <c r="G1474" s="25" t="str">
        <f aca="true">IF(OR(D1474="",E1474=""),"",IFERROR(D1474*INDEX(UnidadesFactor,MATCH(E1474,Unidades,0)),""))</f>
        <v/>
      </c>
      <c r="H1474" s="17" t="str">
        <f aca="false">IF(I1474&lt;&gt;"OK","",IF(G1474=0,"",F1474/G1474))</f>
        <v/>
      </c>
      <c r="I1474" s="20" t="str">
        <f aca="true">IF(B1474="","",IF(ISNA(MATCH(B1474,ListaInsumos,0)),"Insumo no está en Insumos",IF(OR(D1474="",E1474="",F1474=""),"Faltan datos",IF(INDEX(UnidadesBase,MATCH(E1474,Unidades,0))&lt;&gt;INDEX(InsBase,MATCH(B1474,ListaInsumos,0)),"Unidad incompatible",IF(A1474="","Falta fecha","OK")))))</f>
        <v/>
      </c>
      <c r="J1474" s="15"/>
    </row>
    <row r="1475" customFormat="false" ht="15" hidden="false" customHeight="false" outlineLevel="0" collapsed="false">
      <c r="A1475" s="26"/>
      <c r="B1475" s="15"/>
      <c r="C1475" s="15"/>
      <c r="D1475" s="27"/>
      <c r="E1475" s="15"/>
      <c r="F1475" s="28"/>
      <c r="G1475" s="25" t="str">
        <f aca="true">IF(OR(D1475="",E1475=""),"",IFERROR(D1475*INDEX(UnidadesFactor,MATCH(E1475,Unidades,0)),""))</f>
        <v/>
      </c>
      <c r="H1475" s="17" t="str">
        <f aca="false">IF(I1475&lt;&gt;"OK","",IF(G1475=0,"",F1475/G1475))</f>
        <v/>
      </c>
      <c r="I1475" s="20" t="str">
        <f aca="true">IF(B1475="","",IF(ISNA(MATCH(B1475,ListaInsumos,0)),"Insumo no está en Insumos",IF(OR(D1475="",E1475="",F1475=""),"Faltan datos",IF(INDEX(UnidadesBase,MATCH(E1475,Unidades,0))&lt;&gt;INDEX(InsBase,MATCH(B1475,ListaInsumos,0)),"Unidad incompatible",IF(A1475="","Falta fecha","OK")))))</f>
        <v/>
      </c>
      <c r="J1475" s="15"/>
    </row>
    <row r="1476" customFormat="false" ht="15" hidden="false" customHeight="false" outlineLevel="0" collapsed="false">
      <c r="A1476" s="26"/>
      <c r="B1476" s="15"/>
      <c r="C1476" s="15"/>
      <c r="D1476" s="27"/>
      <c r="E1476" s="15"/>
      <c r="F1476" s="28"/>
      <c r="G1476" s="25" t="str">
        <f aca="true">IF(OR(D1476="",E1476=""),"",IFERROR(D1476*INDEX(UnidadesFactor,MATCH(E1476,Unidades,0)),""))</f>
        <v/>
      </c>
      <c r="H1476" s="17" t="str">
        <f aca="false">IF(I1476&lt;&gt;"OK","",IF(G1476=0,"",F1476/G1476))</f>
        <v/>
      </c>
      <c r="I1476" s="20" t="str">
        <f aca="true">IF(B1476="","",IF(ISNA(MATCH(B1476,ListaInsumos,0)),"Insumo no está en Insumos",IF(OR(D1476="",E1476="",F1476=""),"Faltan datos",IF(INDEX(UnidadesBase,MATCH(E1476,Unidades,0))&lt;&gt;INDEX(InsBase,MATCH(B1476,ListaInsumos,0)),"Unidad incompatible",IF(A1476="","Falta fecha","OK")))))</f>
        <v/>
      </c>
      <c r="J1476" s="15"/>
    </row>
    <row r="1477" customFormat="false" ht="15" hidden="false" customHeight="false" outlineLevel="0" collapsed="false">
      <c r="A1477" s="26"/>
      <c r="B1477" s="15"/>
      <c r="C1477" s="15"/>
      <c r="D1477" s="27"/>
      <c r="E1477" s="15"/>
      <c r="F1477" s="28"/>
      <c r="G1477" s="25" t="str">
        <f aca="true">IF(OR(D1477="",E1477=""),"",IFERROR(D1477*INDEX(UnidadesFactor,MATCH(E1477,Unidades,0)),""))</f>
        <v/>
      </c>
      <c r="H1477" s="17" t="str">
        <f aca="false">IF(I1477&lt;&gt;"OK","",IF(G1477=0,"",F1477/G1477))</f>
        <v/>
      </c>
      <c r="I1477" s="20" t="str">
        <f aca="true">IF(B1477="","",IF(ISNA(MATCH(B1477,ListaInsumos,0)),"Insumo no está en Insumos",IF(OR(D1477="",E1477="",F1477=""),"Faltan datos",IF(INDEX(UnidadesBase,MATCH(E1477,Unidades,0))&lt;&gt;INDEX(InsBase,MATCH(B1477,ListaInsumos,0)),"Unidad incompatible",IF(A1477="","Falta fecha","OK")))))</f>
        <v/>
      </c>
      <c r="J1477" s="15"/>
    </row>
    <row r="1478" customFormat="false" ht="15" hidden="false" customHeight="false" outlineLevel="0" collapsed="false">
      <c r="A1478" s="26"/>
      <c r="B1478" s="15"/>
      <c r="C1478" s="15"/>
      <c r="D1478" s="27"/>
      <c r="E1478" s="15"/>
      <c r="F1478" s="28"/>
      <c r="G1478" s="25" t="str">
        <f aca="true">IF(OR(D1478="",E1478=""),"",IFERROR(D1478*INDEX(UnidadesFactor,MATCH(E1478,Unidades,0)),""))</f>
        <v/>
      </c>
      <c r="H1478" s="17" t="str">
        <f aca="false">IF(I1478&lt;&gt;"OK","",IF(G1478=0,"",F1478/G1478))</f>
        <v/>
      </c>
      <c r="I1478" s="20" t="str">
        <f aca="true">IF(B1478="","",IF(ISNA(MATCH(B1478,ListaInsumos,0)),"Insumo no está en Insumos",IF(OR(D1478="",E1478="",F1478=""),"Faltan datos",IF(INDEX(UnidadesBase,MATCH(E1478,Unidades,0))&lt;&gt;INDEX(InsBase,MATCH(B1478,ListaInsumos,0)),"Unidad incompatible",IF(A1478="","Falta fecha","OK")))))</f>
        <v/>
      </c>
      <c r="J1478" s="15"/>
    </row>
    <row r="1479" customFormat="false" ht="15" hidden="false" customHeight="false" outlineLevel="0" collapsed="false">
      <c r="A1479" s="26"/>
      <c r="B1479" s="15"/>
      <c r="C1479" s="15"/>
      <c r="D1479" s="27"/>
      <c r="E1479" s="15"/>
      <c r="F1479" s="28"/>
      <c r="G1479" s="25" t="str">
        <f aca="true">IF(OR(D1479="",E1479=""),"",IFERROR(D1479*INDEX(UnidadesFactor,MATCH(E1479,Unidades,0)),""))</f>
        <v/>
      </c>
      <c r="H1479" s="17" t="str">
        <f aca="false">IF(I1479&lt;&gt;"OK","",IF(G1479=0,"",F1479/G1479))</f>
        <v/>
      </c>
      <c r="I1479" s="20" t="str">
        <f aca="true">IF(B1479="","",IF(ISNA(MATCH(B1479,ListaInsumos,0)),"Insumo no está en Insumos",IF(OR(D1479="",E1479="",F1479=""),"Faltan datos",IF(INDEX(UnidadesBase,MATCH(E1479,Unidades,0))&lt;&gt;INDEX(InsBase,MATCH(B1479,ListaInsumos,0)),"Unidad incompatible",IF(A1479="","Falta fecha","OK")))))</f>
        <v/>
      </c>
      <c r="J1479" s="15"/>
    </row>
    <row r="1480" customFormat="false" ht="15" hidden="false" customHeight="false" outlineLevel="0" collapsed="false">
      <c r="A1480" s="26"/>
      <c r="B1480" s="15"/>
      <c r="C1480" s="15"/>
      <c r="D1480" s="27"/>
      <c r="E1480" s="15"/>
      <c r="F1480" s="28"/>
      <c r="G1480" s="25" t="str">
        <f aca="true">IF(OR(D1480="",E1480=""),"",IFERROR(D1480*INDEX(UnidadesFactor,MATCH(E1480,Unidades,0)),""))</f>
        <v/>
      </c>
      <c r="H1480" s="17" t="str">
        <f aca="false">IF(I1480&lt;&gt;"OK","",IF(G1480=0,"",F1480/G1480))</f>
        <v/>
      </c>
      <c r="I1480" s="20" t="str">
        <f aca="true">IF(B1480="","",IF(ISNA(MATCH(B1480,ListaInsumos,0)),"Insumo no está en Insumos",IF(OR(D1480="",E1480="",F1480=""),"Faltan datos",IF(INDEX(UnidadesBase,MATCH(E1480,Unidades,0))&lt;&gt;INDEX(InsBase,MATCH(B1480,ListaInsumos,0)),"Unidad incompatible",IF(A1480="","Falta fecha","OK")))))</f>
        <v/>
      </c>
      <c r="J1480" s="15"/>
    </row>
    <row r="1481" customFormat="false" ht="15" hidden="false" customHeight="false" outlineLevel="0" collapsed="false">
      <c r="A1481" s="26"/>
      <c r="B1481" s="15"/>
      <c r="C1481" s="15"/>
      <c r="D1481" s="27"/>
      <c r="E1481" s="15"/>
      <c r="F1481" s="28"/>
      <c r="G1481" s="25" t="str">
        <f aca="true">IF(OR(D1481="",E1481=""),"",IFERROR(D1481*INDEX(UnidadesFactor,MATCH(E1481,Unidades,0)),""))</f>
        <v/>
      </c>
      <c r="H1481" s="17" t="str">
        <f aca="false">IF(I1481&lt;&gt;"OK","",IF(G1481=0,"",F1481/G1481))</f>
        <v/>
      </c>
      <c r="I1481" s="20" t="str">
        <f aca="true">IF(B1481="","",IF(ISNA(MATCH(B1481,ListaInsumos,0)),"Insumo no está en Insumos",IF(OR(D1481="",E1481="",F1481=""),"Faltan datos",IF(INDEX(UnidadesBase,MATCH(E1481,Unidades,0))&lt;&gt;INDEX(InsBase,MATCH(B1481,ListaInsumos,0)),"Unidad incompatible",IF(A1481="","Falta fecha","OK")))))</f>
        <v/>
      </c>
      <c r="J1481" s="15"/>
    </row>
    <row r="1482" customFormat="false" ht="15" hidden="false" customHeight="false" outlineLevel="0" collapsed="false">
      <c r="A1482" s="26"/>
      <c r="B1482" s="15"/>
      <c r="C1482" s="15"/>
      <c r="D1482" s="27"/>
      <c r="E1482" s="15"/>
      <c r="F1482" s="28"/>
      <c r="G1482" s="25" t="str">
        <f aca="true">IF(OR(D1482="",E1482=""),"",IFERROR(D1482*INDEX(UnidadesFactor,MATCH(E1482,Unidades,0)),""))</f>
        <v/>
      </c>
      <c r="H1482" s="17" t="str">
        <f aca="false">IF(I1482&lt;&gt;"OK","",IF(G1482=0,"",F1482/G1482))</f>
        <v/>
      </c>
      <c r="I1482" s="20" t="str">
        <f aca="true">IF(B1482="","",IF(ISNA(MATCH(B1482,ListaInsumos,0)),"Insumo no está en Insumos",IF(OR(D1482="",E1482="",F1482=""),"Faltan datos",IF(INDEX(UnidadesBase,MATCH(E1482,Unidades,0))&lt;&gt;INDEX(InsBase,MATCH(B1482,ListaInsumos,0)),"Unidad incompatible",IF(A1482="","Falta fecha","OK")))))</f>
        <v/>
      </c>
      <c r="J1482" s="15"/>
    </row>
    <row r="1483" customFormat="false" ht="15" hidden="false" customHeight="false" outlineLevel="0" collapsed="false">
      <c r="A1483" s="26"/>
      <c r="B1483" s="15"/>
      <c r="C1483" s="15"/>
      <c r="D1483" s="27"/>
      <c r="E1483" s="15"/>
      <c r="F1483" s="28"/>
      <c r="G1483" s="25" t="str">
        <f aca="true">IF(OR(D1483="",E1483=""),"",IFERROR(D1483*INDEX(UnidadesFactor,MATCH(E1483,Unidades,0)),""))</f>
        <v/>
      </c>
      <c r="H1483" s="17" t="str">
        <f aca="false">IF(I1483&lt;&gt;"OK","",IF(G1483=0,"",F1483/G1483))</f>
        <v/>
      </c>
      <c r="I1483" s="20" t="str">
        <f aca="true">IF(B1483="","",IF(ISNA(MATCH(B1483,ListaInsumos,0)),"Insumo no está en Insumos",IF(OR(D1483="",E1483="",F1483=""),"Faltan datos",IF(INDEX(UnidadesBase,MATCH(E1483,Unidades,0))&lt;&gt;INDEX(InsBase,MATCH(B1483,ListaInsumos,0)),"Unidad incompatible",IF(A1483="","Falta fecha","OK")))))</f>
        <v/>
      </c>
      <c r="J1483" s="15"/>
    </row>
    <row r="1484" customFormat="false" ht="15" hidden="false" customHeight="false" outlineLevel="0" collapsed="false">
      <c r="A1484" s="26"/>
      <c r="B1484" s="15"/>
      <c r="C1484" s="15"/>
      <c r="D1484" s="27"/>
      <c r="E1484" s="15"/>
      <c r="F1484" s="28"/>
      <c r="G1484" s="25" t="str">
        <f aca="true">IF(OR(D1484="",E1484=""),"",IFERROR(D1484*INDEX(UnidadesFactor,MATCH(E1484,Unidades,0)),""))</f>
        <v/>
      </c>
      <c r="H1484" s="17" t="str">
        <f aca="false">IF(I1484&lt;&gt;"OK","",IF(G1484=0,"",F1484/G1484))</f>
        <v/>
      </c>
      <c r="I1484" s="20" t="str">
        <f aca="true">IF(B1484="","",IF(ISNA(MATCH(B1484,ListaInsumos,0)),"Insumo no está en Insumos",IF(OR(D1484="",E1484="",F1484=""),"Faltan datos",IF(INDEX(UnidadesBase,MATCH(E1484,Unidades,0))&lt;&gt;INDEX(InsBase,MATCH(B1484,ListaInsumos,0)),"Unidad incompatible",IF(A1484="","Falta fecha","OK")))))</f>
        <v/>
      </c>
      <c r="J1484" s="15"/>
    </row>
    <row r="1485" customFormat="false" ht="15" hidden="false" customHeight="false" outlineLevel="0" collapsed="false">
      <c r="A1485" s="26"/>
      <c r="B1485" s="15"/>
      <c r="C1485" s="15"/>
      <c r="D1485" s="27"/>
      <c r="E1485" s="15"/>
      <c r="F1485" s="28"/>
      <c r="G1485" s="25" t="str">
        <f aca="true">IF(OR(D1485="",E1485=""),"",IFERROR(D1485*INDEX(UnidadesFactor,MATCH(E1485,Unidades,0)),""))</f>
        <v/>
      </c>
      <c r="H1485" s="17" t="str">
        <f aca="false">IF(I1485&lt;&gt;"OK","",IF(G1485=0,"",F1485/G1485))</f>
        <v/>
      </c>
      <c r="I1485" s="20" t="str">
        <f aca="true">IF(B1485="","",IF(ISNA(MATCH(B1485,ListaInsumos,0)),"Insumo no está en Insumos",IF(OR(D1485="",E1485="",F1485=""),"Faltan datos",IF(INDEX(UnidadesBase,MATCH(E1485,Unidades,0))&lt;&gt;INDEX(InsBase,MATCH(B1485,ListaInsumos,0)),"Unidad incompatible",IF(A1485="","Falta fecha","OK")))))</f>
        <v/>
      </c>
      <c r="J1485" s="15"/>
    </row>
    <row r="1486" customFormat="false" ht="15" hidden="false" customHeight="false" outlineLevel="0" collapsed="false">
      <c r="A1486" s="26"/>
      <c r="B1486" s="15"/>
      <c r="C1486" s="15"/>
      <c r="D1486" s="27"/>
      <c r="E1486" s="15"/>
      <c r="F1486" s="28"/>
      <c r="G1486" s="25" t="str">
        <f aca="true">IF(OR(D1486="",E1486=""),"",IFERROR(D1486*INDEX(UnidadesFactor,MATCH(E1486,Unidades,0)),""))</f>
        <v/>
      </c>
      <c r="H1486" s="17" t="str">
        <f aca="false">IF(I1486&lt;&gt;"OK","",IF(G1486=0,"",F1486/G1486))</f>
        <v/>
      </c>
      <c r="I1486" s="20" t="str">
        <f aca="true">IF(B1486="","",IF(ISNA(MATCH(B1486,ListaInsumos,0)),"Insumo no está en Insumos",IF(OR(D1486="",E1486="",F1486=""),"Faltan datos",IF(INDEX(UnidadesBase,MATCH(E1486,Unidades,0))&lt;&gt;INDEX(InsBase,MATCH(B1486,ListaInsumos,0)),"Unidad incompatible",IF(A1486="","Falta fecha","OK")))))</f>
        <v/>
      </c>
      <c r="J1486" s="15"/>
    </row>
    <row r="1487" customFormat="false" ht="15" hidden="false" customHeight="false" outlineLevel="0" collapsed="false">
      <c r="A1487" s="26"/>
      <c r="B1487" s="15"/>
      <c r="C1487" s="15"/>
      <c r="D1487" s="27"/>
      <c r="E1487" s="15"/>
      <c r="F1487" s="28"/>
      <c r="G1487" s="25" t="str">
        <f aca="true">IF(OR(D1487="",E1487=""),"",IFERROR(D1487*INDEX(UnidadesFactor,MATCH(E1487,Unidades,0)),""))</f>
        <v/>
      </c>
      <c r="H1487" s="17" t="str">
        <f aca="false">IF(I1487&lt;&gt;"OK","",IF(G1487=0,"",F1487/G1487))</f>
        <v/>
      </c>
      <c r="I1487" s="20" t="str">
        <f aca="true">IF(B1487="","",IF(ISNA(MATCH(B1487,ListaInsumos,0)),"Insumo no está en Insumos",IF(OR(D1487="",E1487="",F1487=""),"Faltan datos",IF(INDEX(UnidadesBase,MATCH(E1487,Unidades,0))&lt;&gt;INDEX(InsBase,MATCH(B1487,ListaInsumos,0)),"Unidad incompatible",IF(A1487="","Falta fecha","OK")))))</f>
        <v/>
      </c>
      <c r="J1487" s="15"/>
    </row>
    <row r="1488" customFormat="false" ht="15" hidden="false" customHeight="false" outlineLevel="0" collapsed="false">
      <c r="A1488" s="26"/>
      <c r="B1488" s="15"/>
      <c r="C1488" s="15"/>
      <c r="D1488" s="27"/>
      <c r="E1488" s="15"/>
      <c r="F1488" s="28"/>
      <c r="G1488" s="25" t="str">
        <f aca="true">IF(OR(D1488="",E1488=""),"",IFERROR(D1488*INDEX(UnidadesFactor,MATCH(E1488,Unidades,0)),""))</f>
        <v/>
      </c>
      <c r="H1488" s="17" t="str">
        <f aca="false">IF(I1488&lt;&gt;"OK","",IF(G1488=0,"",F1488/G1488))</f>
        <v/>
      </c>
      <c r="I1488" s="20" t="str">
        <f aca="true">IF(B1488="","",IF(ISNA(MATCH(B1488,ListaInsumos,0)),"Insumo no está en Insumos",IF(OR(D1488="",E1488="",F1488=""),"Faltan datos",IF(INDEX(UnidadesBase,MATCH(E1488,Unidades,0))&lt;&gt;INDEX(InsBase,MATCH(B1488,ListaInsumos,0)),"Unidad incompatible",IF(A1488="","Falta fecha","OK")))))</f>
        <v/>
      </c>
      <c r="J1488" s="15"/>
    </row>
    <row r="1489" customFormat="false" ht="15" hidden="false" customHeight="false" outlineLevel="0" collapsed="false">
      <c r="A1489" s="26"/>
      <c r="B1489" s="15"/>
      <c r="C1489" s="15"/>
      <c r="D1489" s="27"/>
      <c r="E1489" s="15"/>
      <c r="F1489" s="28"/>
      <c r="G1489" s="25" t="str">
        <f aca="true">IF(OR(D1489="",E1489=""),"",IFERROR(D1489*INDEX(UnidadesFactor,MATCH(E1489,Unidades,0)),""))</f>
        <v/>
      </c>
      <c r="H1489" s="17" t="str">
        <f aca="false">IF(I1489&lt;&gt;"OK","",IF(G1489=0,"",F1489/G1489))</f>
        <v/>
      </c>
      <c r="I1489" s="20" t="str">
        <f aca="true">IF(B1489="","",IF(ISNA(MATCH(B1489,ListaInsumos,0)),"Insumo no está en Insumos",IF(OR(D1489="",E1489="",F1489=""),"Faltan datos",IF(INDEX(UnidadesBase,MATCH(E1489,Unidades,0))&lt;&gt;INDEX(InsBase,MATCH(B1489,ListaInsumos,0)),"Unidad incompatible",IF(A1489="","Falta fecha","OK")))))</f>
        <v/>
      </c>
      <c r="J1489" s="15"/>
    </row>
    <row r="1490" customFormat="false" ht="15" hidden="false" customHeight="false" outlineLevel="0" collapsed="false">
      <c r="A1490" s="26"/>
      <c r="B1490" s="15"/>
      <c r="C1490" s="15"/>
      <c r="D1490" s="27"/>
      <c r="E1490" s="15"/>
      <c r="F1490" s="28"/>
      <c r="G1490" s="25" t="str">
        <f aca="true">IF(OR(D1490="",E1490=""),"",IFERROR(D1490*INDEX(UnidadesFactor,MATCH(E1490,Unidades,0)),""))</f>
        <v/>
      </c>
      <c r="H1490" s="17" t="str">
        <f aca="false">IF(I1490&lt;&gt;"OK","",IF(G1490=0,"",F1490/G1490))</f>
        <v/>
      </c>
      <c r="I1490" s="20" t="str">
        <f aca="true">IF(B1490="","",IF(ISNA(MATCH(B1490,ListaInsumos,0)),"Insumo no está en Insumos",IF(OR(D1490="",E1490="",F1490=""),"Faltan datos",IF(INDEX(UnidadesBase,MATCH(E1490,Unidades,0))&lt;&gt;INDEX(InsBase,MATCH(B1490,ListaInsumos,0)),"Unidad incompatible",IF(A1490="","Falta fecha","OK")))))</f>
        <v/>
      </c>
      <c r="J1490" s="15"/>
    </row>
    <row r="1491" customFormat="false" ht="15" hidden="false" customHeight="false" outlineLevel="0" collapsed="false">
      <c r="A1491" s="26"/>
      <c r="B1491" s="15"/>
      <c r="C1491" s="15"/>
      <c r="D1491" s="27"/>
      <c r="E1491" s="15"/>
      <c r="F1491" s="28"/>
      <c r="G1491" s="25" t="str">
        <f aca="true">IF(OR(D1491="",E1491=""),"",IFERROR(D1491*INDEX(UnidadesFactor,MATCH(E1491,Unidades,0)),""))</f>
        <v/>
      </c>
      <c r="H1491" s="17" t="str">
        <f aca="false">IF(I1491&lt;&gt;"OK","",IF(G1491=0,"",F1491/G1491))</f>
        <v/>
      </c>
      <c r="I1491" s="20" t="str">
        <f aca="true">IF(B1491="","",IF(ISNA(MATCH(B1491,ListaInsumos,0)),"Insumo no está en Insumos",IF(OR(D1491="",E1491="",F1491=""),"Faltan datos",IF(INDEX(UnidadesBase,MATCH(E1491,Unidades,0))&lt;&gt;INDEX(InsBase,MATCH(B1491,ListaInsumos,0)),"Unidad incompatible",IF(A1491="","Falta fecha","OK")))))</f>
        <v/>
      </c>
      <c r="J1491" s="15"/>
    </row>
    <row r="1492" customFormat="false" ht="15" hidden="false" customHeight="false" outlineLevel="0" collapsed="false">
      <c r="A1492" s="26"/>
      <c r="B1492" s="15"/>
      <c r="C1492" s="15"/>
      <c r="D1492" s="27"/>
      <c r="E1492" s="15"/>
      <c r="F1492" s="28"/>
      <c r="G1492" s="25" t="str">
        <f aca="true">IF(OR(D1492="",E1492=""),"",IFERROR(D1492*INDEX(UnidadesFactor,MATCH(E1492,Unidades,0)),""))</f>
        <v/>
      </c>
      <c r="H1492" s="17" t="str">
        <f aca="false">IF(I1492&lt;&gt;"OK","",IF(G1492=0,"",F1492/G1492))</f>
        <v/>
      </c>
      <c r="I1492" s="20" t="str">
        <f aca="true">IF(B1492="","",IF(ISNA(MATCH(B1492,ListaInsumos,0)),"Insumo no está en Insumos",IF(OR(D1492="",E1492="",F1492=""),"Faltan datos",IF(INDEX(UnidadesBase,MATCH(E1492,Unidades,0))&lt;&gt;INDEX(InsBase,MATCH(B1492,ListaInsumos,0)),"Unidad incompatible",IF(A1492="","Falta fecha","OK")))))</f>
        <v/>
      </c>
      <c r="J1492" s="15"/>
    </row>
    <row r="1493" customFormat="false" ht="15" hidden="false" customHeight="false" outlineLevel="0" collapsed="false">
      <c r="A1493" s="26"/>
      <c r="B1493" s="15"/>
      <c r="C1493" s="15"/>
      <c r="D1493" s="27"/>
      <c r="E1493" s="15"/>
      <c r="F1493" s="28"/>
      <c r="G1493" s="25" t="str">
        <f aca="true">IF(OR(D1493="",E1493=""),"",IFERROR(D1493*INDEX(UnidadesFactor,MATCH(E1493,Unidades,0)),""))</f>
        <v/>
      </c>
      <c r="H1493" s="17" t="str">
        <f aca="false">IF(I1493&lt;&gt;"OK","",IF(G1493=0,"",F1493/G1493))</f>
        <v/>
      </c>
      <c r="I1493" s="20" t="str">
        <f aca="true">IF(B1493="","",IF(ISNA(MATCH(B1493,ListaInsumos,0)),"Insumo no está en Insumos",IF(OR(D1493="",E1493="",F1493=""),"Faltan datos",IF(INDEX(UnidadesBase,MATCH(E1493,Unidades,0))&lt;&gt;INDEX(InsBase,MATCH(B1493,ListaInsumos,0)),"Unidad incompatible",IF(A1493="","Falta fecha","OK")))))</f>
        <v/>
      </c>
      <c r="J1493" s="15"/>
    </row>
    <row r="1494" customFormat="false" ht="15" hidden="false" customHeight="false" outlineLevel="0" collapsed="false">
      <c r="A1494" s="26"/>
      <c r="B1494" s="15"/>
      <c r="C1494" s="15"/>
      <c r="D1494" s="27"/>
      <c r="E1494" s="15"/>
      <c r="F1494" s="28"/>
      <c r="G1494" s="25" t="str">
        <f aca="true">IF(OR(D1494="",E1494=""),"",IFERROR(D1494*INDEX(UnidadesFactor,MATCH(E1494,Unidades,0)),""))</f>
        <v/>
      </c>
      <c r="H1494" s="17" t="str">
        <f aca="false">IF(I1494&lt;&gt;"OK","",IF(G1494=0,"",F1494/G1494))</f>
        <v/>
      </c>
      <c r="I1494" s="20" t="str">
        <f aca="true">IF(B1494="","",IF(ISNA(MATCH(B1494,ListaInsumos,0)),"Insumo no está en Insumos",IF(OR(D1494="",E1494="",F1494=""),"Faltan datos",IF(INDEX(UnidadesBase,MATCH(E1494,Unidades,0))&lt;&gt;INDEX(InsBase,MATCH(B1494,ListaInsumos,0)),"Unidad incompatible",IF(A1494="","Falta fecha","OK")))))</f>
        <v/>
      </c>
      <c r="J1494" s="15"/>
    </row>
    <row r="1495" customFormat="false" ht="15" hidden="false" customHeight="false" outlineLevel="0" collapsed="false">
      <c r="A1495" s="26"/>
      <c r="B1495" s="15"/>
      <c r="C1495" s="15"/>
      <c r="D1495" s="27"/>
      <c r="E1495" s="15"/>
      <c r="F1495" s="28"/>
      <c r="G1495" s="25" t="str">
        <f aca="true">IF(OR(D1495="",E1495=""),"",IFERROR(D1495*INDEX(UnidadesFactor,MATCH(E1495,Unidades,0)),""))</f>
        <v/>
      </c>
      <c r="H1495" s="17" t="str">
        <f aca="false">IF(I1495&lt;&gt;"OK","",IF(G1495=0,"",F1495/G1495))</f>
        <v/>
      </c>
      <c r="I1495" s="20" t="str">
        <f aca="true">IF(B1495="","",IF(ISNA(MATCH(B1495,ListaInsumos,0)),"Insumo no está en Insumos",IF(OR(D1495="",E1495="",F1495=""),"Faltan datos",IF(INDEX(UnidadesBase,MATCH(E1495,Unidades,0))&lt;&gt;INDEX(InsBase,MATCH(B1495,ListaInsumos,0)),"Unidad incompatible",IF(A1495="","Falta fecha","OK")))))</f>
        <v/>
      </c>
      <c r="J1495" s="15"/>
    </row>
    <row r="1496" customFormat="false" ht="15" hidden="false" customHeight="false" outlineLevel="0" collapsed="false">
      <c r="A1496" s="26"/>
      <c r="B1496" s="15"/>
      <c r="C1496" s="15"/>
      <c r="D1496" s="27"/>
      <c r="E1496" s="15"/>
      <c r="F1496" s="28"/>
      <c r="G1496" s="25" t="str">
        <f aca="true">IF(OR(D1496="",E1496=""),"",IFERROR(D1496*INDEX(UnidadesFactor,MATCH(E1496,Unidades,0)),""))</f>
        <v/>
      </c>
      <c r="H1496" s="17" t="str">
        <f aca="false">IF(I1496&lt;&gt;"OK","",IF(G1496=0,"",F1496/G1496))</f>
        <v/>
      </c>
      <c r="I1496" s="20" t="str">
        <f aca="true">IF(B1496="","",IF(ISNA(MATCH(B1496,ListaInsumos,0)),"Insumo no está en Insumos",IF(OR(D1496="",E1496="",F1496=""),"Faltan datos",IF(INDEX(UnidadesBase,MATCH(E1496,Unidades,0))&lt;&gt;INDEX(InsBase,MATCH(B1496,ListaInsumos,0)),"Unidad incompatible",IF(A1496="","Falta fecha","OK")))))</f>
        <v/>
      </c>
      <c r="J1496" s="15"/>
    </row>
    <row r="1497" customFormat="false" ht="15" hidden="false" customHeight="false" outlineLevel="0" collapsed="false">
      <c r="A1497" s="26"/>
      <c r="B1497" s="15"/>
      <c r="C1497" s="15"/>
      <c r="D1497" s="27"/>
      <c r="E1497" s="15"/>
      <c r="F1497" s="28"/>
      <c r="G1497" s="25" t="str">
        <f aca="true">IF(OR(D1497="",E1497=""),"",IFERROR(D1497*INDEX(UnidadesFactor,MATCH(E1497,Unidades,0)),""))</f>
        <v/>
      </c>
      <c r="H1497" s="17" t="str">
        <f aca="false">IF(I1497&lt;&gt;"OK","",IF(G1497=0,"",F1497/G1497))</f>
        <v/>
      </c>
      <c r="I1497" s="20" t="str">
        <f aca="true">IF(B1497="","",IF(ISNA(MATCH(B1497,ListaInsumos,0)),"Insumo no está en Insumos",IF(OR(D1497="",E1497="",F1497=""),"Faltan datos",IF(INDEX(UnidadesBase,MATCH(E1497,Unidades,0))&lt;&gt;INDEX(InsBase,MATCH(B1497,ListaInsumos,0)),"Unidad incompatible",IF(A1497="","Falta fecha","OK")))))</f>
        <v/>
      </c>
      <c r="J1497" s="15"/>
    </row>
    <row r="1498" customFormat="false" ht="15" hidden="false" customHeight="false" outlineLevel="0" collapsed="false">
      <c r="A1498" s="26"/>
      <c r="B1498" s="15"/>
      <c r="C1498" s="15"/>
      <c r="D1498" s="27"/>
      <c r="E1498" s="15"/>
      <c r="F1498" s="28"/>
      <c r="G1498" s="25" t="str">
        <f aca="true">IF(OR(D1498="",E1498=""),"",IFERROR(D1498*INDEX(UnidadesFactor,MATCH(E1498,Unidades,0)),""))</f>
        <v/>
      </c>
      <c r="H1498" s="17" t="str">
        <f aca="false">IF(I1498&lt;&gt;"OK","",IF(G1498=0,"",F1498/G1498))</f>
        <v/>
      </c>
      <c r="I1498" s="20" t="str">
        <f aca="true">IF(B1498="","",IF(ISNA(MATCH(B1498,ListaInsumos,0)),"Insumo no está en Insumos",IF(OR(D1498="",E1498="",F1498=""),"Faltan datos",IF(INDEX(UnidadesBase,MATCH(E1498,Unidades,0))&lt;&gt;INDEX(InsBase,MATCH(B1498,ListaInsumos,0)),"Unidad incompatible",IF(A1498="","Falta fecha","OK")))))</f>
        <v/>
      </c>
      <c r="J1498" s="15"/>
    </row>
    <row r="1499" customFormat="false" ht="15" hidden="false" customHeight="false" outlineLevel="0" collapsed="false">
      <c r="A1499" s="26"/>
      <c r="B1499" s="15"/>
      <c r="C1499" s="15"/>
      <c r="D1499" s="27"/>
      <c r="E1499" s="15"/>
      <c r="F1499" s="28"/>
      <c r="G1499" s="25" t="str">
        <f aca="true">IF(OR(D1499="",E1499=""),"",IFERROR(D1499*INDEX(UnidadesFactor,MATCH(E1499,Unidades,0)),""))</f>
        <v/>
      </c>
      <c r="H1499" s="17" t="str">
        <f aca="false">IF(I1499&lt;&gt;"OK","",IF(G1499=0,"",F1499/G1499))</f>
        <v/>
      </c>
      <c r="I1499" s="20" t="str">
        <f aca="true">IF(B1499="","",IF(ISNA(MATCH(B1499,ListaInsumos,0)),"Insumo no está en Insumos",IF(OR(D1499="",E1499="",F1499=""),"Faltan datos",IF(INDEX(UnidadesBase,MATCH(E1499,Unidades,0))&lt;&gt;INDEX(InsBase,MATCH(B1499,ListaInsumos,0)),"Unidad incompatible",IF(A1499="","Falta fecha","OK")))))</f>
        <v/>
      </c>
      <c r="J1499" s="15"/>
    </row>
    <row r="1500" customFormat="false" ht="15" hidden="false" customHeight="false" outlineLevel="0" collapsed="false">
      <c r="A1500" s="26"/>
      <c r="B1500" s="15"/>
      <c r="C1500" s="15"/>
      <c r="D1500" s="27"/>
      <c r="E1500" s="15"/>
      <c r="F1500" s="28"/>
      <c r="G1500" s="25" t="str">
        <f aca="true">IF(OR(D1500="",E1500=""),"",IFERROR(D1500*INDEX(UnidadesFactor,MATCH(E1500,Unidades,0)),""))</f>
        <v/>
      </c>
      <c r="H1500" s="17" t="str">
        <f aca="false">IF(I1500&lt;&gt;"OK","",IF(G1500=0,"",F1500/G1500))</f>
        <v/>
      </c>
      <c r="I1500" s="20" t="str">
        <f aca="true">IF(B1500="","",IF(ISNA(MATCH(B1500,ListaInsumos,0)),"Insumo no está en Insumos",IF(OR(D1500="",E1500="",F1500=""),"Faltan datos",IF(INDEX(UnidadesBase,MATCH(E1500,Unidades,0))&lt;&gt;INDEX(InsBase,MATCH(B1500,ListaInsumos,0)),"Unidad incompatible",IF(A1500="","Falta fecha","OK")))))</f>
        <v/>
      </c>
      <c r="J1500" s="15"/>
    </row>
    <row r="1501" customFormat="false" ht="15" hidden="false" customHeight="false" outlineLevel="0" collapsed="false">
      <c r="A1501" s="26"/>
      <c r="B1501" s="15"/>
      <c r="C1501" s="15"/>
      <c r="D1501" s="27"/>
      <c r="E1501" s="15"/>
      <c r="F1501" s="28"/>
      <c r="G1501" s="25" t="str">
        <f aca="true">IF(OR(D1501="",E1501=""),"",IFERROR(D1501*INDEX(UnidadesFactor,MATCH(E1501,Unidades,0)),""))</f>
        <v/>
      </c>
      <c r="H1501" s="17" t="str">
        <f aca="false">IF(I1501&lt;&gt;"OK","",IF(G1501=0,"",F1501/G1501))</f>
        <v/>
      </c>
      <c r="I1501" s="20" t="str">
        <f aca="true">IF(B1501="","",IF(ISNA(MATCH(B1501,ListaInsumos,0)),"Insumo no está en Insumos",IF(OR(D1501="",E1501="",F1501=""),"Faltan datos",IF(INDEX(UnidadesBase,MATCH(E1501,Unidades,0))&lt;&gt;INDEX(InsBase,MATCH(B1501,ListaInsumos,0)),"Unidad incompatible",IF(A1501="","Falta fecha","OK")))))</f>
        <v/>
      </c>
      <c r="J1501" s="15"/>
    </row>
    <row r="1502" customFormat="false" ht="15" hidden="false" customHeight="false" outlineLevel="0" collapsed="false">
      <c r="A1502" s="26"/>
      <c r="B1502" s="15"/>
      <c r="C1502" s="15"/>
      <c r="D1502" s="27"/>
      <c r="E1502" s="15"/>
      <c r="F1502" s="28"/>
      <c r="G1502" s="25" t="str">
        <f aca="true">IF(OR(D1502="",E1502=""),"",IFERROR(D1502*INDEX(UnidadesFactor,MATCH(E1502,Unidades,0)),""))</f>
        <v/>
      </c>
      <c r="H1502" s="17" t="str">
        <f aca="false">IF(I1502&lt;&gt;"OK","",IF(G1502=0,"",F1502/G1502))</f>
        <v/>
      </c>
      <c r="I1502" s="20" t="str">
        <f aca="true">IF(B1502="","",IF(ISNA(MATCH(B1502,ListaInsumos,0)),"Insumo no está en Insumos",IF(OR(D1502="",E1502="",F1502=""),"Faltan datos",IF(INDEX(UnidadesBase,MATCH(E1502,Unidades,0))&lt;&gt;INDEX(InsBase,MATCH(B1502,ListaInsumos,0)),"Unidad incompatible",IF(A1502="","Falta fecha","OK")))))</f>
        <v/>
      </c>
      <c r="J1502" s="15"/>
    </row>
    <row r="1503" customFormat="false" ht="15" hidden="false" customHeight="false" outlineLevel="0" collapsed="false">
      <c r="A1503" s="26"/>
      <c r="B1503" s="15"/>
      <c r="C1503" s="15"/>
      <c r="D1503" s="27"/>
      <c r="E1503" s="15"/>
      <c r="F1503" s="28"/>
      <c r="G1503" s="25" t="str">
        <f aca="true">IF(OR(D1503="",E1503=""),"",IFERROR(D1503*INDEX(UnidadesFactor,MATCH(E1503,Unidades,0)),""))</f>
        <v/>
      </c>
      <c r="H1503" s="17" t="str">
        <f aca="false">IF(I1503&lt;&gt;"OK","",IF(G1503=0,"",F1503/G1503))</f>
        <v/>
      </c>
      <c r="I1503" s="20" t="str">
        <f aca="true">IF(B1503="","",IF(ISNA(MATCH(B1503,ListaInsumos,0)),"Insumo no está en Insumos",IF(OR(D1503="",E1503="",F1503=""),"Faltan datos",IF(INDEX(UnidadesBase,MATCH(E1503,Unidades,0))&lt;&gt;INDEX(InsBase,MATCH(B1503,ListaInsumos,0)),"Unidad incompatible",IF(A1503="","Falta fecha","OK")))))</f>
        <v/>
      </c>
      <c r="J1503" s="15"/>
    </row>
    <row r="1504" customFormat="false" ht="15" hidden="false" customHeight="false" outlineLevel="0" collapsed="false">
      <c r="A1504" s="26"/>
      <c r="B1504" s="15"/>
      <c r="C1504" s="15"/>
      <c r="D1504" s="27"/>
      <c r="E1504" s="15"/>
      <c r="F1504" s="28"/>
      <c r="G1504" s="25" t="str">
        <f aca="true">IF(OR(D1504="",E1504=""),"",IFERROR(D1504*INDEX(UnidadesFactor,MATCH(E1504,Unidades,0)),""))</f>
        <v/>
      </c>
      <c r="H1504" s="17" t="str">
        <f aca="false">IF(I1504&lt;&gt;"OK","",IF(G1504=0,"",F1504/G1504))</f>
        <v/>
      </c>
      <c r="I1504" s="20" t="str">
        <f aca="true">IF(B1504="","",IF(ISNA(MATCH(B1504,ListaInsumos,0)),"Insumo no está en Insumos",IF(OR(D1504="",E1504="",F1504=""),"Faltan datos",IF(INDEX(UnidadesBase,MATCH(E1504,Unidades,0))&lt;&gt;INDEX(InsBase,MATCH(B1504,ListaInsumos,0)),"Unidad incompatible",IF(A1504="","Falta fecha","OK")))))</f>
        <v/>
      </c>
      <c r="J1504" s="15"/>
    </row>
    <row r="1505" customFormat="false" ht="15" hidden="false" customHeight="false" outlineLevel="0" collapsed="false">
      <c r="A1505" s="26"/>
      <c r="B1505" s="15"/>
      <c r="C1505" s="15"/>
      <c r="D1505" s="27"/>
      <c r="E1505" s="15"/>
      <c r="F1505" s="28"/>
      <c r="G1505" s="25" t="str">
        <f aca="true">IF(OR(D1505="",E1505=""),"",IFERROR(D1505*INDEX(UnidadesFactor,MATCH(E1505,Unidades,0)),""))</f>
        <v/>
      </c>
      <c r="H1505" s="17" t="str">
        <f aca="false">IF(I1505&lt;&gt;"OK","",IF(G1505=0,"",F1505/G1505))</f>
        <v/>
      </c>
      <c r="I1505" s="20" t="str">
        <f aca="true">IF(B1505="","",IF(ISNA(MATCH(B1505,ListaInsumos,0)),"Insumo no está en Insumos",IF(OR(D1505="",E1505="",F1505=""),"Faltan datos",IF(INDEX(UnidadesBase,MATCH(E1505,Unidades,0))&lt;&gt;INDEX(InsBase,MATCH(B1505,ListaInsumos,0)),"Unidad incompatible",IF(A1505="","Falta fecha","OK")))))</f>
        <v/>
      </c>
      <c r="J1505" s="15"/>
    </row>
    <row r="1506" customFormat="false" ht="15" hidden="false" customHeight="false" outlineLevel="0" collapsed="false">
      <c r="A1506" s="26"/>
      <c r="B1506" s="15"/>
      <c r="C1506" s="15"/>
      <c r="D1506" s="27"/>
      <c r="E1506" s="15"/>
      <c r="F1506" s="28"/>
      <c r="G1506" s="25" t="str">
        <f aca="true">IF(OR(D1506="",E1506=""),"",IFERROR(D1506*INDEX(UnidadesFactor,MATCH(E1506,Unidades,0)),""))</f>
        <v/>
      </c>
      <c r="H1506" s="17" t="str">
        <f aca="false">IF(I1506&lt;&gt;"OK","",IF(G1506=0,"",F1506/G1506))</f>
        <v/>
      </c>
      <c r="I1506" s="20" t="str">
        <f aca="true">IF(B1506="","",IF(ISNA(MATCH(B1506,ListaInsumos,0)),"Insumo no está en Insumos",IF(OR(D1506="",E1506="",F1506=""),"Faltan datos",IF(INDEX(UnidadesBase,MATCH(E1506,Unidades,0))&lt;&gt;INDEX(InsBase,MATCH(B1506,ListaInsumos,0)),"Unidad incompatible",IF(A1506="","Falta fecha","OK")))))</f>
        <v/>
      </c>
      <c r="J1506" s="15"/>
    </row>
    <row r="1507" customFormat="false" ht="15" hidden="false" customHeight="false" outlineLevel="0" collapsed="false">
      <c r="A1507" s="26"/>
      <c r="B1507" s="15"/>
      <c r="C1507" s="15"/>
      <c r="D1507" s="27"/>
      <c r="E1507" s="15"/>
      <c r="F1507" s="28"/>
      <c r="G1507" s="25" t="str">
        <f aca="true">IF(OR(D1507="",E1507=""),"",IFERROR(D1507*INDEX(UnidadesFactor,MATCH(E1507,Unidades,0)),""))</f>
        <v/>
      </c>
      <c r="H1507" s="17" t="str">
        <f aca="false">IF(I1507&lt;&gt;"OK","",IF(G1507=0,"",F1507/G1507))</f>
        <v/>
      </c>
      <c r="I1507" s="20" t="str">
        <f aca="true">IF(B1507="","",IF(ISNA(MATCH(B1507,ListaInsumos,0)),"Insumo no está en Insumos",IF(OR(D1507="",E1507="",F1507=""),"Faltan datos",IF(INDEX(UnidadesBase,MATCH(E1507,Unidades,0))&lt;&gt;INDEX(InsBase,MATCH(B1507,ListaInsumos,0)),"Unidad incompatible",IF(A1507="","Falta fecha","OK")))))</f>
        <v/>
      </c>
      <c r="J1507" s="15"/>
    </row>
    <row r="1508" customFormat="false" ht="15" hidden="false" customHeight="false" outlineLevel="0" collapsed="false">
      <c r="A1508" s="26"/>
      <c r="B1508" s="15"/>
      <c r="C1508" s="15"/>
      <c r="D1508" s="27"/>
      <c r="E1508" s="15"/>
      <c r="F1508" s="28"/>
      <c r="G1508" s="25" t="str">
        <f aca="true">IF(OR(D1508="",E1508=""),"",IFERROR(D1508*INDEX(UnidadesFactor,MATCH(E1508,Unidades,0)),""))</f>
        <v/>
      </c>
      <c r="H1508" s="17" t="str">
        <f aca="false">IF(I1508&lt;&gt;"OK","",IF(G1508=0,"",F1508/G1508))</f>
        <v/>
      </c>
      <c r="I1508" s="20" t="str">
        <f aca="true">IF(B1508="","",IF(ISNA(MATCH(B1508,ListaInsumos,0)),"Insumo no está en Insumos",IF(OR(D1508="",E1508="",F1508=""),"Faltan datos",IF(INDEX(UnidadesBase,MATCH(E1508,Unidades,0))&lt;&gt;INDEX(InsBase,MATCH(B1508,ListaInsumos,0)),"Unidad incompatible",IF(A1508="","Falta fecha","OK")))))</f>
        <v/>
      </c>
      <c r="J1508" s="15"/>
    </row>
    <row r="1509" customFormat="false" ht="15" hidden="false" customHeight="false" outlineLevel="0" collapsed="false">
      <c r="A1509" s="26"/>
      <c r="B1509" s="15"/>
      <c r="C1509" s="15"/>
      <c r="D1509" s="27"/>
      <c r="E1509" s="15"/>
      <c r="F1509" s="28"/>
      <c r="G1509" s="25" t="str">
        <f aca="true">IF(OR(D1509="",E1509=""),"",IFERROR(D1509*INDEX(UnidadesFactor,MATCH(E1509,Unidades,0)),""))</f>
        <v/>
      </c>
      <c r="H1509" s="17" t="str">
        <f aca="false">IF(I1509&lt;&gt;"OK","",IF(G1509=0,"",F1509/G1509))</f>
        <v/>
      </c>
      <c r="I1509" s="20" t="str">
        <f aca="true">IF(B1509="","",IF(ISNA(MATCH(B1509,ListaInsumos,0)),"Insumo no está en Insumos",IF(OR(D1509="",E1509="",F1509=""),"Faltan datos",IF(INDEX(UnidadesBase,MATCH(E1509,Unidades,0))&lt;&gt;INDEX(InsBase,MATCH(B1509,ListaInsumos,0)),"Unidad incompatible",IF(A1509="","Falta fecha","OK")))))</f>
        <v/>
      </c>
      <c r="J1509" s="15"/>
    </row>
    <row r="1510" customFormat="false" ht="15" hidden="false" customHeight="false" outlineLevel="0" collapsed="false">
      <c r="A1510" s="26"/>
      <c r="B1510" s="15"/>
      <c r="C1510" s="15"/>
      <c r="D1510" s="27"/>
      <c r="E1510" s="15"/>
      <c r="F1510" s="28"/>
      <c r="G1510" s="25" t="str">
        <f aca="true">IF(OR(D1510="",E1510=""),"",IFERROR(D1510*INDEX(UnidadesFactor,MATCH(E1510,Unidades,0)),""))</f>
        <v/>
      </c>
      <c r="H1510" s="17" t="str">
        <f aca="false">IF(I1510&lt;&gt;"OK","",IF(G1510=0,"",F1510/G1510))</f>
        <v/>
      </c>
      <c r="I1510" s="20" t="str">
        <f aca="true">IF(B1510="","",IF(ISNA(MATCH(B1510,ListaInsumos,0)),"Insumo no está en Insumos",IF(OR(D1510="",E1510="",F1510=""),"Faltan datos",IF(INDEX(UnidadesBase,MATCH(E1510,Unidades,0))&lt;&gt;INDEX(InsBase,MATCH(B1510,ListaInsumos,0)),"Unidad incompatible",IF(A1510="","Falta fecha","OK")))))</f>
        <v/>
      </c>
      <c r="J1510" s="15"/>
    </row>
    <row r="1511" customFormat="false" ht="15" hidden="false" customHeight="false" outlineLevel="0" collapsed="false">
      <c r="A1511" s="26"/>
      <c r="B1511" s="15"/>
      <c r="C1511" s="15"/>
      <c r="D1511" s="27"/>
      <c r="E1511" s="15"/>
      <c r="F1511" s="28"/>
      <c r="G1511" s="25" t="str">
        <f aca="true">IF(OR(D1511="",E1511=""),"",IFERROR(D1511*INDEX(UnidadesFactor,MATCH(E1511,Unidades,0)),""))</f>
        <v/>
      </c>
      <c r="H1511" s="17" t="str">
        <f aca="false">IF(I1511&lt;&gt;"OK","",IF(G1511=0,"",F1511/G1511))</f>
        <v/>
      </c>
      <c r="I1511" s="20" t="str">
        <f aca="true">IF(B1511="","",IF(ISNA(MATCH(B1511,ListaInsumos,0)),"Insumo no está en Insumos",IF(OR(D1511="",E1511="",F1511=""),"Faltan datos",IF(INDEX(UnidadesBase,MATCH(E1511,Unidades,0))&lt;&gt;INDEX(InsBase,MATCH(B1511,ListaInsumos,0)),"Unidad incompatible",IF(A1511="","Falta fecha","OK")))))</f>
        <v/>
      </c>
      <c r="J1511" s="15"/>
    </row>
    <row r="1512" customFormat="false" ht="15" hidden="false" customHeight="false" outlineLevel="0" collapsed="false">
      <c r="A1512" s="26"/>
      <c r="B1512" s="15"/>
      <c r="C1512" s="15"/>
      <c r="D1512" s="27"/>
      <c r="E1512" s="15"/>
      <c r="F1512" s="28"/>
      <c r="G1512" s="25" t="str">
        <f aca="true">IF(OR(D1512="",E1512=""),"",IFERROR(D1512*INDEX(UnidadesFactor,MATCH(E1512,Unidades,0)),""))</f>
        <v/>
      </c>
      <c r="H1512" s="17" t="str">
        <f aca="false">IF(I1512&lt;&gt;"OK","",IF(G1512=0,"",F1512/G1512))</f>
        <v/>
      </c>
      <c r="I1512" s="20" t="str">
        <f aca="true">IF(B1512="","",IF(ISNA(MATCH(B1512,ListaInsumos,0)),"Insumo no está en Insumos",IF(OR(D1512="",E1512="",F1512=""),"Faltan datos",IF(INDEX(UnidadesBase,MATCH(E1512,Unidades,0))&lt;&gt;INDEX(InsBase,MATCH(B1512,ListaInsumos,0)),"Unidad incompatible",IF(A1512="","Falta fecha","OK")))))</f>
        <v/>
      </c>
      <c r="J1512" s="15"/>
    </row>
    <row r="1513" customFormat="false" ht="15" hidden="false" customHeight="false" outlineLevel="0" collapsed="false">
      <c r="A1513" s="26"/>
      <c r="B1513" s="15"/>
      <c r="C1513" s="15"/>
      <c r="D1513" s="27"/>
      <c r="E1513" s="15"/>
      <c r="F1513" s="28"/>
      <c r="G1513" s="25" t="str">
        <f aca="true">IF(OR(D1513="",E1513=""),"",IFERROR(D1513*INDEX(UnidadesFactor,MATCH(E1513,Unidades,0)),""))</f>
        <v/>
      </c>
      <c r="H1513" s="17" t="str">
        <f aca="false">IF(I1513&lt;&gt;"OK","",IF(G1513=0,"",F1513/G1513))</f>
        <v/>
      </c>
      <c r="I1513" s="20" t="str">
        <f aca="true">IF(B1513="","",IF(ISNA(MATCH(B1513,ListaInsumos,0)),"Insumo no está en Insumos",IF(OR(D1513="",E1513="",F1513=""),"Faltan datos",IF(INDEX(UnidadesBase,MATCH(E1513,Unidades,0))&lt;&gt;INDEX(InsBase,MATCH(B1513,ListaInsumos,0)),"Unidad incompatible",IF(A1513="","Falta fecha","OK")))))</f>
        <v/>
      </c>
      <c r="J1513" s="15"/>
    </row>
    <row r="1514" customFormat="false" ht="15" hidden="false" customHeight="false" outlineLevel="0" collapsed="false">
      <c r="A1514" s="26"/>
      <c r="B1514" s="15"/>
      <c r="C1514" s="15"/>
      <c r="D1514" s="27"/>
      <c r="E1514" s="15"/>
      <c r="F1514" s="28"/>
      <c r="G1514" s="25" t="str">
        <f aca="true">IF(OR(D1514="",E1514=""),"",IFERROR(D1514*INDEX(UnidadesFactor,MATCH(E1514,Unidades,0)),""))</f>
        <v/>
      </c>
      <c r="H1514" s="17" t="str">
        <f aca="false">IF(I1514&lt;&gt;"OK","",IF(G1514=0,"",F1514/G1514))</f>
        <v/>
      </c>
      <c r="I1514" s="20" t="str">
        <f aca="true">IF(B1514="","",IF(ISNA(MATCH(B1514,ListaInsumos,0)),"Insumo no está en Insumos",IF(OR(D1514="",E1514="",F1514=""),"Faltan datos",IF(INDEX(UnidadesBase,MATCH(E1514,Unidades,0))&lt;&gt;INDEX(InsBase,MATCH(B1514,ListaInsumos,0)),"Unidad incompatible",IF(A1514="","Falta fecha","OK")))))</f>
        <v/>
      </c>
      <c r="J1514" s="15"/>
    </row>
    <row r="1515" customFormat="false" ht="15" hidden="false" customHeight="false" outlineLevel="0" collapsed="false">
      <c r="A1515" s="26"/>
      <c r="B1515" s="15"/>
      <c r="C1515" s="15"/>
      <c r="D1515" s="27"/>
      <c r="E1515" s="15"/>
      <c r="F1515" s="28"/>
      <c r="G1515" s="25" t="str">
        <f aca="true">IF(OR(D1515="",E1515=""),"",IFERROR(D1515*INDEX(UnidadesFactor,MATCH(E1515,Unidades,0)),""))</f>
        <v/>
      </c>
      <c r="H1515" s="17" t="str">
        <f aca="false">IF(I1515&lt;&gt;"OK","",IF(G1515=0,"",F1515/G1515))</f>
        <v/>
      </c>
      <c r="I1515" s="20" t="str">
        <f aca="true">IF(B1515="","",IF(ISNA(MATCH(B1515,ListaInsumos,0)),"Insumo no está en Insumos",IF(OR(D1515="",E1515="",F1515=""),"Faltan datos",IF(INDEX(UnidadesBase,MATCH(E1515,Unidades,0))&lt;&gt;INDEX(InsBase,MATCH(B1515,ListaInsumos,0)),"Unidad incompatible",IF(A1515="","Falta fecha","OK")))))</f>
        <v/>
      </c>
      <c r="J1515" s="15"/>
    </row>
    <row r="1516" customFormat="false" ht="15" hidden="false" customHeight="false" outlineLevel="0" collapsed="false">
      <c r="A1516" s="26"/>
      <c r="B1516" s="15"/>
      <c r="C1516" s="15"/>
      <c r="D1516" s="27"/>
      <c r="E1516" s="15"/>
      <c r="F1516" s="28"/>
      <c r="G1516" s="25" t="str">
        <f aca="true">IF(OR(D1516="",E1516=""),"",IFERROR(D1516*INDEX(UnidadesFactor,MATCH(E1516,Unidades,0)),""))</f>
        <v/>
      </c>
      <c r="H1516" s="17" t="str">
        <f aca="false">IF(I1516&lt;&gt;"OK","",IF(G1516=0,"",F1516/G1516))</f>
        <v/>
      </c>
      <c r="I1516" s="20" t="str">
        <f aca="true">IF(B1516="","",IF(ISNA(MATCH(B1516,ListaInsumos,0)),"Insumo no está en Insumos",IF(OR(D1516="",E1516="",F1516=""),"Faltan datos",IF(INDEX(UnidadesBase,MATCH(E1516,Unidades,0))&lt;&gt;INDEX(InsBase,MATCH(B1516,ListaInsumos,0)),"Unidad incompatible",IF(A1516="","Falta fecha","OK")))))</f>
        <v/>
      </c>
      <c r="J1516" s="15"/>
    </row>
    <row r="1517" customFormat="false" ht="15" hidden="false" customHeight="false" outlineLevel="0" collapsed="false">
      <c r="A1517" s="26"/>
      <c r="B1517" s="15"/>
      <c r="C1517" s="15"/>
      <c r="D1517" s="27"/>
      <c r="E1517" s="15"/>
      <c r="F1517" s="28"/>
      <c r="G1517" s="25" t="str">
        <f aca="true">IF(OR(D1517="",E1517=""),"",IFERROR(D1517*INDEX(UnidadesFactor,MATCH(E1517,Unidades,0)),""))</f>
        <v/>
      </c>
      <c r="H1517" s="17" t="str">
        <f aca="false">IF(I1517&lt;&gt;"OK","",IF(G1517=0,"",F1517/G1517))</f>
        <v/>
      </c>
      <c r="I1517" s="20" t="str">
        <f aca="true">IF(B1517="","",IF(ISNA(MATCH(B1517,ListaInsumos,0)),"Insumo no está en Insumos",IF(OR(D1517="",E1517="",F1517=""),"Faltan datos",IF(INDEX(UnidadesBase,MATCH(E1517,Unidades,0))&lt;&gt;INDEX(InsBase,MATCH(B1517,ListaInsumos,0)),"Unidad incompatible",IF(A1517="","Falta fecha","OK")))))</f>
        <v/>
      </c>
      <c r="J1517" s="15"/>
    </row>
    <row r="1518" customFormat="false" ht="15" hidden="false" customHeight="false" outlineLevel="0" collapsed="false">
      <c r="A1518" s="26"/>
      <c r="B1518" s="15"/>
      <c r="C1518" s="15"/>
      <c r="D1518" s="27"/>
      <c r="E1518" s="15"/>
      <c r="F1518" s="28"/>
      <c r="G1518" s="25" t="str">
        <f aca="true">IF(OR(D1518="",E1518=""),"",IFERROR(D1518*INDEX(UnidadesFactor,MATCH(E1518,Unidades,0)),""))</f>
        <v/>
      </c>
      <c r="H1518" s="17" t="str">
        <f aca="false">IF(I1518&lt;&gt;"OK","",IF(G1518=0,"",F1518/G1518))</f>
        <v/>
      </c>
      <c r="I1518" s="20" t="str">
        <f aca="true">IF(B1518="","",IF(ISNA(MATCH(B1518,ListaInsumos,0)),"Insumo no está en Insumos",IF(OR(D1518="",E1518="",F1518=""),"Faltan datos",IF(INDEX(UnidadesBase,MATCH(E1518,Unidades,0))&lt;&gt;INDEX(InsBase,MATCH(B1518,ListaInsumos,0)),"Unidad incompatible",IF(A1518="","Falta fecha","OK")))))</f>
        <v/>
      </c>
      <c r="J1518" s="15"/>
    </row>
    <row r="1519" customFormat="false" ht="15" hidden="false" customHeight="false" outlineLevel="0" collapsed="false">
      <c r="A1519" s="26"/>
      <c r="B1519" s="15"/>
      <c r="C1519" s="15"/>
      <c r="D1519" s="27"/>
      <c r="E1519" s="15"/>
      <c r="F1519" s="28"/>
      <c r="G1519" s="25" t="str">
        <f aca="true">IF(OR(D1519="",E1519=""),"",IFERROR(D1519*INDEX(UnidadesFactor,MATCH(E1519,Unidades,0)),""))</f>
        <v/>
      </c>
      <c r="H1519" s="17" t="str">
        <f aca="false">IF(I1519&lt;&gt;"OK","",IF(G1519=0,"",F1519/G1519))</f>
        <v/>
      </c>
      <c r="I1519" s="20" t="str">
        <f aca="true">IF(B1519="","",IF(ISNA(MATCH(B1519,ListaInsumos,0)),"Insumo no está en Insumos",IF(OR(D1519="",E1519="",F1519=""),"Faltan datos",IF(INDEX(UnidadesBase,MATCH(E1519,Unidades,0))&lt;&gt;INDEX(InsBase,MATCH(B1519,ListaInsumos,0)),"Unidad incompatible",IF(A1519="","Falta fecha","OK")))))</f>
        <v/>
      </c>
      <c r="J1519" s="15"/>
    </row>
    <row r="1520" customFormat="false" ht="15" hidden="false" customHeight="false" outlineLevel="0" collapsed="false">
      <c r="A1520" s="26"/>
      <c r="B1520" s="15"/>
      <c r="C1520" s="15"/>
      <c r="D1520" s="27"/>
      <c r="E1520" s="15"/>
      <c r="F1520" s="28"/>
      <c r="G1520" s="25" t="str">
        <f aca="true">IF(OR(D1520="",E1520=""),"",IFERROR(D1520*INDEX(UnidadesFactor,MATCH(E1520,Unidades,0)),""))</f>
        <v/>
      </c>
      <c r="H1520" s="17" t="str">
        <f aca="false">IF(I1520&lt;&gt;"OK","",IF(G1520=0,"",F1520/G1520))</f>
        <v/>
      </c>
      <c r="I1520" s="20" t="str">
        <f aca="true">IF(B1520="","",IF(ISNA(MATCH(B1520,ListaInsumos,0)),"Insumo no está en Insumos",IF(OR(D1520="",E1520="",F1520=""),"Faltan datos",IF(INDEX(UnidadesBase,MATCH(E1520,Unidades,0))&lt;&gt;INDEX(InsBase,MATCH(B1520,ListaInsumos,0)),"Unidad incompatible",IF(A1520="","Falta fecha","OK")))))</f>
        <v/>
      </c>
      <c r="J1520" s="15"/>
    </row>
    <row r="1521" customFormat="false" ht="15" hidden="false" customHeight="false" outlineLevel="0" collapsed="false">
      <c r="A1521" s="26"/>
      <c r="B1521" s="15"/>
      <c r="C1521" s="15"/>
      <c r="D1521" s="27"/>
      <c r="E1521" s="15"/>
      <c r="F1521" s="28"/>
      <c r="G1521" s="25" t="str">
        <f aca="true">IF(OR(D1521="",E1521=""),"",IFERROR(D1521*INDEX(UnidadesFactor,MATCH(E1521,Unidades,0)),""))</f>
        <v/>
      </c>
      <c r="H1521" s="17" t="str">
        <f aca="false">IF(I1521&lt;&gt;"OK","",IF(G1521=0,"",F1521/G1521))</f>
        <v/>
      </c>
      <c r="I1521" s="20" t="str">
        <f aca="true">IF(B1521="","",IF(ISNA(MATCH(B1521,ListaInsumos,0)),"Insumo no está en Insumos",IF(OR(D1521="",E1521="",F1521=""),"Faltan datos",IF(INDEX(UnidadesBase,MATCH(E1521,Unidades,0))&lt;&gt;INDEX(InsBase,MATCH(B1521,ListaInsumos,0)),"Unidad incompatible",IF(A1521="","Falta fecha","OK")))))</f>
        <v/>
      </c>
      <c r="J1521" s="15"/>
    </row>
    <row r="1522" customFormat="false" ht="15" hidden="false" customHeight="false" outlineLevel="0" collapsed="false">
      <c r="A1522" s="26"/>
      <c r="B1522" s="15"/>
      <c r="C1522" s="15"/>
      <c r="D1522" s="27"/>
      <c r="E1522" s="15"/>
      <c r="F1522" s="28"/>
      <c r="G1522" s="25" t="str">
        <f aca="true">IF(OR(D1522="",E1522=""),"",IFERROR(D1522*INDEX(UnidadesFactor,MATCH(E1522,Unidades,0)),""))</f>
        <v/>
      </c>
      <c r="H1522" s="17" t="str">
        <f aca="false">IF(I1522&lt;&gt;"OK","",IF(G1522=0,"",F1522/G1522))</f>
        <v/>
      </c>
      <c r="I1522" s="20" t="str">
        <f aca="true">IF(B1522="","",IF(ISNA(MATCH(B1522,ListaInsumos,0)),"Insumo no está en Insumos",IF(OR(D1522="",E1522="",F1522=""),"Faltan datos",IF(INDEX(UnidadesBase,MATCH(E1522,Unidades,0))&lt;&gt;INDEX(InsBase,MATCH(B1522,ListaInsumos,0)),"Unidad incompatible",IF(A1522="","Falta fecha","OK")))))</f>
        <v/>
      </c>
      <c r="J1522" s="15"/>
    </row>
    <row r="1523" customFormat="false" ht="15" hidden="false" customHeight="false" outlineLevel="0" collapsed="false">
      <c r="A1523" s="26"/>
      <c r="B1523" s="15"/>
      <c r="C1523" s="15"/>
      <c r="D1523" s="27"/>
      <c r="E1523" s="15"/>
      <c r="F1523" s="28"/>
      <c r="G1523" s="25" t="str">
        <f aca="true">IF(OR(D1523="",E1523=""),"",IFERROR(D1523*INDEX(UnidadesFactor,MATCH(E1523,Unidades,0)),""))</f>
        <v/>
      </c>
      <c r="H1523" s="17" t="str">
        <f aca="false">IF(I1523&lt;&gt;"OK","",IF(G1523=0,"",F1523/G1523))</f>
        <v/>
      </c>
      <c r="I1523" s="20" t="str">
        <f aca="true">IF(B1523="","",IF(ISNA(MATCH(B1523,ListaInsumos,0)),"Insumo no está en Insumos",IF(OR(D1523="",E1523="",F1523=""),"Faltan datos",IF(INDEX(UnidadesBase,MATCH(E1523,Unidades,0))&lt;&gt;INDEX(InsBase,MATCH(B1523,ListaInsumos,0)),"Unidad incompatible",IF(A1523="","Falta fecha","OK")))))</f>
        <v/>
      </c>
      <c r="J1523" s="15"/>
    </row>
    <row r="1524" customFormat="false" ht="15" hidden="false" customHeight="false" outlineLevel="0" collapsed="false">
      <c r="A1524" s="26"/>
      <c r="B1524" s="15"/>
      <c r="C1524" s="15"/>
      <c r="D1524" s="27"/>
      <c r="E1524" s="15"/>
      <c r="F1524" s="28"/>
      <c r="G1524" s="25" t="str">
        <f aca="true">IF(OR(D1524="",E1524=""),"",IFERROR(D1524*INDEX(UnidadesFactor,MATCH(E1524,Unidades,0)),""))</f>
        <v/>
      </c>
      <c r="H1524" s="17" t="str">
        <f aca="false">IF(I1524&lt;&gt;"OK","",IF(G1524=0,"",F1524/G1524))</f>
        <v/>
      </c>
      <c r="I1524" s="20" t="str">
        <f aca="true">IF(B1524="","",IF(ISNA(MATCH(B1524,ListaInsumos,0)),"Insumo no está en Insumos",IF(OR(D1524="",E1524="",F1524=""),"Faltan datos",IF(INDEX(UnidadesBase,MATCH(E1524,Unidades,0))&lt;&gt;INDEX(InsBase,MATCH(B1524,ListaInsumos,0)),"Unidad incompatible",IF(A1524="","Falta fecha","OK")))))</f>
        <v/>
      </c>
      <c r="J1524" s="15"/>
    </row>
    <row r="1525" customFormat="false" ht="15" hidden="false" customHeight="false" outlineLevel="0" collapsed="false">
      <c r="A1525" s="26"/>
      <c r="B1525" s="15"/>
      <c r="C1525" s="15"/>
      <c r="D1525" s="27"/>
      <c r="E1525" s="15"/>
      <c r="F1525" s="28"/>
      <c r="G1525" s="25" t="str">
        <f aca="true">IF(OR(D1525="",E1525=""),"",IFERROR(D1525*INDEX(UnidadesFactor,MATCH(E1525,Unidades,0)),""))</f>
        <v/>
      </c>
      <c r="H1525" s="17" t="str">
        <f aca="false">IF(I1525&lt;&gt;"OK","",IF(G1525=0,"",F1525/G1525))</f>
        <v/>
      </c>
      <c r="I1525" s="20" t="str">
        <f aca="true">IF(B1525="","",IF(ISNA(MATCH(B1525,ListaInsumos,0)),"Insumo no está en Insumos",IF(OR(D1525="",E1525="",F1525=""),"Faltan datos",IF(INDEX(UnidadesBase,MATCH(E1525,Unidades,0))&lt;&gt;INDEX(InsBase,MATCH(B1525,ListaInsumos,0)),"Unidad incompatible",IF(A1525="","Falta fecha","OK")))))</f>
        <v/>
      </c>
      <c r="J1525" s="15"/>
    </row>
    <row r="1526" customFormat="false" ht="15" hidden="false" customHeight="false" outlineLevel="0" collapsed="false">
      <c r="A1526" s="26"/>
      <c r="B1526" s="15"/>
      <c r="C1526" s="15"/>
      <c r="D1526" s="27"/>
      <c r="E1526" s="15"/>
      <c r="F1526" s="28"/>
      <c r="G1526" s="25" t="str">
        <f aca="true">IF(OR(D1526="",E1526=""),"",IFERROR(D1526*INDEX(UnidadesFactor,MATCH(E1526,Unidades,0)),""))</f>
        <v/>
      </c>
      <c r="H1526" s="17" t="str">
        <f aca="false">IF(I1526&lt;&gt;"OK","",IF(G1526=0,"",F1526/G1526))</f>
        <v/>
      </c>
      <c r="I1526" s="20" t="str">
        <f aca="true">IF(B1526="","",IF(ISNA(MATCH(B1526,ListaInsumos,0)),"Insumo no está en Insumos",IF(OR(D1526="",E1526="",F1526=""),"Faltan datos",IF(INDEX(UnidadesBase,MATCH(E1526,Unidades,0))&lt;&gt;INDEX(InsBase,MATCH(B1526,ListaInsumos,0)),"Unidad incompatible",IF(A1526="","Falta fecha","OK")))))</f>
        <v/>
      </c>
      <c r="J1526" s="15"/>
    </row>
    <row r="1527" customFormat="false" ht="15" hidden="false" customHeight="false" outlineLevel="0" collapsed="false">
      <c r="A1527" s="26"/>
      <c r="B1527" s="15"/>
      <c r="C1527" s="15"/>
      <c r="D1527" s="27"/>
      <c r="E1527" s="15"/>
      <c r="F1527" s="28"/>
      <c r="G1527" s="25" t="str">
        <f aca="true">IF(OR(D1527="",E1527=""),"",IFERROR(D1527*INDEX(UnidadesFactor,MATCH(E1527,Unidades,0)),""))</f>
        <v/>
      </c>
      <c r="H1527" s="17" t="str">
        <f aca="false">IF(I1527&lt;&gt;"OK","",IF(G1527=0,"",F1527/G1527))</f>
        <v/>
      </c>
      <c r="I1527" s="20" t="str">
        <f aca="true">IF(B1527="","",IF(ISNA(MATCH(B1527,ListaInsumos,0)),"Insumo no está en Insumos",IF(OR(D1527="",E1527="",F1527=""),"Faltan datos",IF(INDEX(UnidadesBase,MATCH(E1527,Unidades,0))&lt;&gt;INDEX(InsBase,MATCH(B1527,ListaInsumos,0)),"Unidad incompatible",IF(A1527="","Falta fecha","OK")))))</f>
        <v/>
      </c>
      <c r="J1527" s="15"/>
    </row>
    <row r="1528" customFormat="false" ht="15" hidden="false" customHeight="false" outlineLevel="0" collapsed="false">
      <c r="A1528" s="26"/>
      <c r="B1528" s="15"/>
      <c r="C1528" s="15"/>
      <c r="D1528" s="27"/>
      <c r="E1528" s="15"/>
      <c r="F1528" s="28"/>
      <c r="G1528" s="25" t="str">
        <f aca="true">IF(OR(D1528="",E1528=""),"",IFERROR(D1528*INDEX(UnidadesFactor,MATCH(E1528,Unidades,0)),""))</f>
        <v/>
      </c>
      <c r="H1528" s="17" t="str">
        <f aca="false">IF(I1528&lt;&gt;"OK","",IF(G1528=0,"",F1528/G1528))</f>
        <v/>
      </c>
      <c r="I1528" s="20" t="str">
        <f aca="true">IF(B1528="","",IF(ISNA(MATCH(B1528,ListaInsumos,0)),"Insumo no está en Insumos",IF(OR(D1528="",E1528="",F1528=""),"Faltan datos",IF(INDEX(UnidadesBase,MATCH(E1528,Unidades,0))&lt;&gt;INDEX(InsBase,MATCH(B1528,ListaInsumos,0)),"Unidad incompatible",IF(A1528="","Falta fecha","OK")))))</f>
        <v/>
      </c>
      <c r="J1528" s="15"/>
    </row>
    <row r="1529" customFormat="false" ht="15" hidden="false" customHeight="false" outlineLevel="0" collapsed="false">
      <c r="A1529" s="26"/>
      <c r="B1529" s="15"/>
      <c r="C1529" s="15"/>
      <c r="D1529" s="27"/>
      <c r="E1529" s="15"/>
      <c r="F1529" s="28"/>
      <c r="G1529" s="25" t="str">
        <f aca="true">IF(OR(D1529="",E1529=""),"",IFERROR(D1529*INDEX(UnidadesFactor,MATCH(E1529,Unidades,0)),""))</f>
        <v/>
      </c>
      <c r="H1529" s="17" t="str">
        <f aca="false">IF(I1529&lt;&gt;"OK","",IF(G1529=0,"",F1529/G1529))</f>
        <v/>
      </c>
      <c r="I1529" s="20" t="str">
        <f aca="true">IF(B1529="","",IF(ISNA(MATCH(B1529,ListaInsumos,0)),"Insumo no está en Insumos",IF(OR(D1529="",E1529="",F1529=""),"Faltan datos",IF(INDEX(UnidadesBase,MATCH(E1529,Unidades,0))&lt;&gt;INDEX(InsBase,MATCH(B1529,ListaInsumos,0)),"Unidad incompatible",IF(A1529="","Falta fecha","OK")))))</f>
        <v/>
      </c>
      <c r="J1529" s="15"/>
    </row>
    <row r="1530" customFormat="false" ht="15" hidden="false" customHeight="false" outlineLevel="0" collapsed="false">
      <c r="A1530" s="26"/>
      <c r="B1530" s="15"/>
      <c r="C1530" s="15"/>
      <c r="D1530" s="27"/>
      <c r="E1530" s="15"/>
      <c r="F1530" s="28"/>
      <c r="G1530" s="25" t="str">
        <f aca="true">IF(OR(D1530="",E1530=""),"",IFERROR(D1530*INDEX(UnidadesFactor,MATCH(E1530,Unidades,0)),""))</f>
        <v/>
      </c>
      <c r="H1530" s="17" t="str">
        <f aca="false">IF(I1530&lt;&gt;"OK","",IF(G1530=0,"",F1530/G1530))</f>
        <v/>
      </c>
      <c r="I1530" s="20" t="str">
        <f aca="true">IF(B1530="","",IF(ISNA(MATCH(B1530,ListaInsumos,0)),"Insumo no está en Insumos",IF(OR(D1530="",E1530="",F1530=""),"Faltan datos",IF(INDEX(UnidadesBase,MATCH(E1530,Unidades,0))&lt;&gt;INDEX(InsBase,MATCH(B1530,ListaInsumos,0)),"Unidad incompatible",IF(A1530="","Falta fecha","OK")))))</f>
        <v/>
      </c>
      <c r="J1530" s="15"/>
    </row>
    <row r="1531" customFormat="false" ht="15" hidden="false" customHeight="false" outlineLevel="0" collapsed="false">
      <c r="A1531" s="26"/>
      <c r="B1531" s="15"/>
      <c r="C1531" s="15"/>
      <c r="D1531" s="27"/>
      <c r="E1531" s="15"/>
      <c r="F1531" s="28"/>
      <c r="G1531" s="25" t="str">
        <f aca="true">IF(OR(D1531="",E1531=""),"",IFERROR(D1531*INDEX(UnidadesFactor,MATCH(E1531,Unidades,0)),""))</f>
        <v/>
      </c>
      <c r="H1531" s="17" t="str">
        <f aca="false">IF(I1531&lt;&gt;"OK","",IF(G1531=0,"",F1531/G1531))</f>
        <v/>
      </c>
      <c r="I1531" s="20" t="str">
        <f aca="true">IF(B1531="","",IF(ISNA(MATCH(B1531,ListaInsumos,0)),"Insumo no está en Insumos",IF(OR(D1531="",E1531="",F1531=""),"Faltan datos",IF(INDEX(UnidadesBase,MATCH(E1531,Unidades,0))&lt;&gt;INDEX(InsBase,MATCH(B1531,ListaInsumos,0)),"Unidad incompatible",IF(A1531="","Falta fecha","OK")))))</f>
        <v/>
      </c>
      <c r="J1531" s="15"/>
    </row>
    <row r="1532" customFormat="false" ht="15" hidden="false" customHeight="false" outlineLevel="0" collapsed="false">
      <c r="A1532" s="26"/>
      <c r="B1532" s="15"/>
      <c r="C1532" s="15"/>
      <c r="D1532" s="27"/>
      <c r="E1532" s="15"/>
      <c r="F1532" s="28"/>
      <c r="G1532" s="25" t="str">
        <f aca="true">IF(OR(D1532="",E1532=""),"",IFERROR(D1532*INDEX(UnidadesFactor,MATCH(E1532,Unidades,0)),""))</f>
        <v/>
      </c>
      <c r="H1532" s="17" t="str">
        <f aca="false">IF(I1532&lt;&gt;"OK","",IF(G1532=0,"",F1532/G1532))</f>
        <v/>
      </c>
      <c r="I1532" s="20" t="str">
        <f aca="true">IF(B1532="","",IF(ISNA(MATCH(B1532,ListaInsumos,0)),"Insumo no está en Insumos",IF(OR(D1532="",E1532="",F1532=""),"Faltan datos",IF(INDEX(UnidadesBase,MATCH(E1532,Unidades,0))&lt;&gt;INDEX(InsBase,MATCH(B1532,ListaInsumos,0)),"Unidad incompatible",IF(A1532="","Falta fecha","OK")))))</f>
        <v/>
      </c>
      <c r="J1532" s="15"/>
    </row>
    <row r="1533" customFormat="false" ht="15" hidden="false" customHeight="false" outlineLevel="0" collapsed="false">
      <c r="A1533" s="26"/>
      <c r="B1533" s="15"/>
      <c r="C1533" s="15"/>
      <c r="D1533" s="27"/>
      <c r="E1533" s="15"/>
      <c r="F1533" s="28"/>
      <c r="G1533" s="25" t="str">
        <f aca="true">IF(OR(D1533="",E1533=""),"",IFERROR(D1533*INDEX(UnidadesFactor,MATCH(E1533,Unidades,0)),""))</f>
        <v/>
      </c>
      <c r="H1533" s="17" t="str">
        <f aca="false">IF(I1533&lt;&gt;"OK","",IF(G1533=0,"",F1533/G1533))</f>
        <v/>
      </c>
      <c r="I1533" s="20" t="str">
        <f aca="true">IF(B1533="","",IF(ISNA(MATCH(B1533,ListaInsumos,0)),"Insumo no está en Insumos",IF(OR(D1533="",E1533="",F1533=""),"Faltan datos",IF(INDEX(UnidadesBase,MATCH(E1533,Unidades,0))&lt;&gt;INDEX(InsBase,MATCH(B1533,ListaInsumos,0)),"Unidad incompatible",IF(A1533="","Falta fecha","OK")))))</f>
        <v/>
      </c>
      <c r="J1533" s="15"/>
    </row>
    <row r="1534" customFormat="false" ht="15" hidden="false" customHeight="false" outlineLevel="0" collapsed="false">
      <c r="A1534" s="26"/>
      <c r="B1534" s="15"/>
      <c r="C1534" s="15"/>
      <c r="D1534" s="27"/>
      <c r="E1534" s="15"/>
      <c r="F1534" s="28"/>
      <c r="G1534" s="25" t="str">
        <f aca="true">IF(OR(D1534="",E1534=""),"",IFERROR(D1534*INDEX(UnidadesFactor,MATCH(E1534,Unidades,0)),""))</f>
        <v/>
      </c>
      <c r="H1534" s="17" t="str">
        <f aca="false">IF(I1534&lt;&gt;"OK","",IF(G1534=0,"",F1534/G1534))</f>
        <v/>
      </c>
      <c r="I1534" s="20" t="str">
        <f aca="true">IF(B1534="","",IF(ISNA(MATCH(B1534,ListaInsumos,0)),"Insumo no está en Insumos",IF(OR(D1534="",E1534="",F1534=""),"Faltan datos",IF(INDEX(UnidadesBase,MATCH(E1534,Unidades,0))&lt;&gt;INDEX(InsBase,MATCH(B1534,ListaInsumos,0)),"Unidad incompatible",IF(A1534="","Falta fecha","OK")))))</f>
        <v/>
      </c>
      <c r="J1534" s="15"/>
    </row>
    <row r="1535" customFormat="false" ht="15" hidden="false" customHeight="false" outlineLevel="0" collapsed="false">
      <c r="A1535" s="26"/>
      <c r="B1535" s="15"/>
      <c r="C1535" s="15"/>
      <c r="D1535" s="27"/>
      <c r="E1535" s="15"/>
      <c r="F1535" s="28"/>
      <c r="G1535" s="25" t="str">
        <f aca="true">IF(OR(D1535="",E1535=""),"",IFERROR(D1535*INDEX(UnidadesFactor,MATCH(E1535,Unidades,0)),""))</f>
        <v/>
      </c>
      <c r="H1535" s="17" t="str">
        <f aca="false">IF(I1535&lt;&gt;"OK","",IF(G1535=0,"",F1535/G1535))</f>
        <v/>
      </c>
      <c r="I1535" s="20" t="str">
        <f aca="true">IF(B1535="","",IF(ISNA(MATCH(B1535,ListaInsumos,0)),"Insumo no está en Insumos",IF(OR(D1535="",E1535="",F1535=""),"Faltan datos",IF(INDEX(UnidadesBase,MATCH(E1535,Unidades,0))&lt;&gt;INDEX(InsBase,MATCH(B1535,ListaInsumos,0)),"Unidad incompatible",IF(A1535="","Falta fecha","OK")))))</f>
        <v/>
      </c>
      <c r="J1535" s="15"/>
    </row>
    <row r="1536" customFormat="false" ht="15" hidden="false" customHeight="false" outlineLevel="0" collapsed="false">
      <c r="A1536" s="26"/>
      <c r="B1536" s="15"/>
      <c r="C1536" s="15"/>
      <c r="D1536" s="27"/>
      <c r="E1536" s="15"/>
      <c r="F1536" s="28"/>
      <c r="G1536" s="25" t="str">
        <f aca="true">IF(OR(D1536="",E1536=""),"",IFERROR(D1536*INDEX(UnidadesFactor,MATCH(E1536,Unidades,0)),""))</f>
        <v/>
      </c>
      <c r="H1536" s="17" t="str">
        <f aca="false">IF(I1536&lt;&gt;"OK","",IF(G1536=0,"",F1536/G1536))</f>
        <v/>
      </c>
      <c r="I1536" s="20" t="str">
        <f aca="true">IF(B1536="","",IF(ISNA(MATCH(B1536,ListaInsumos,0)),"Insumo no está en Insumos",IF(OR(D1536="",E1536="",F1536=""),"Faltan datos",IF(INDEX(UnidadesBase,MATCH(E1536,Unidades,0))&lt;&gt;INDEX(InsBase,MATCH(B1536,ListaInsumos,0)),"Unidad incompatible",IF(A1536="","Falta fecha","OK")))))</f>
        <v/>
      </c>
      <c r="J1536" s="15"/>
    </row>
    <row r="1537" customFormat="false" ht="15" hidden="false" customHeight="false" outlineLevel="0" collapsed="false">
      <c r="A1537" s="26"/>
      <c r="B1537" s="15"/>
      <c r="C1537" s="15"/>
      <c r="D1537" s="27"/>
      <c r="E1537" s="15"/>
      <c r="F1537" s="28"/>
      <c r="G1537" s="25" t="str">
        <f aca="true">IF(OR(D1537="",E1537=""),"",IFERROR(D1537*INDEX(UnidadesFactor,MATCH(E1537,Unidades,0)),""))</f>
        <v/>
      </c>
      <c r="H1537" s="17" t="str">
        <f aca="false">IF(I1537&lt;&gt;"OK","",IF(G1537=0,"",F1537/G1537))</f>
        <v/>
      </c>
      <c r="I1537" s="20" t="str">
        <f aca="true">IF(B1537="","",IF(ISNA(MATCH(B1537,ListaInsumos,0)),"Insumo no está en Insumos",IF(OR(D1537="",E1537="",F1537=""),"Faltan datos",IF(INDEX(UnidadesBase,MATCH(E1537,Unidades,0))&lt;&gt;INDEX(InsBase,MATCH(B1537,ListaInsumos,0)),"Unidad incompatible",IF(A1537="","Falta fecha","OK")))))</f>
        <v/>
      </c>
      <c r="J1537" s="15"/>
    </row>
    <row r="1538" customFormat="false" ht="15" hidden="false" customHeight="false" outlineLevel="0" collapsed="false">
      <c r="A1538" s="26"/>
      <c r="B1538" s="15"/>
      <c r="C1538" s="15"/>
      <c r="D1538" s="27"/>
      <c r="E1538" s="15"/>
      <c r="F1538" s="28"/>
      <c r="G1538" s="25" t="str">
        <f aca="true">IF(OR(D1538="",E1538=""),"",IFERROR(D1538*INDEX(UnidadesFactor,MATCH(E1538,Unidades,0)),""))</f>
        <v/>
      </c>
      <c r="H1538" s="17" t="str">
        <f aca="false">IF(I1538&lt;&gt;"OK","",IF(G1538=0,"",F1538/G1538))</f>
        <v/>
      </c>
      <c r="I1538" s="20" t="str">
        <f aca="true">IF(B1538="","",IF(ISNA(MATCH(B1538,ListaInsumos,0)),"Insumo no está en Insumos",IF(OR(D1538="",E1538="",F1538=""),"Faltan datos",IF(INDEX(UnidadesBase,MATCH(E1538,Unidades,0))&lt;&gt;INDEX(InsBase,MATCH(B1538,ListaInsumos,0)),"Unidad incompatible",IF(A1538="","Falta fecha","OK")))))</f>
        <v/>
      </c>
      <c r="J1538" s="15"/>
    </row>
    <row r="1539" customFormat="false" ht="15" hidden="false" customHeight="false" outlineLevel="0" collapsed="false">
      <c r="A1539" s="26"/>
      <c r="B1539" s="15"/>
      <c r="C1539" s="15"/>
      <c r="D1539" s="27"/>
      <c r="E1539" s="15"/>
      <c r="F1539" s="28"/>
      <c r="G1539" s="25" t="str">
        <f aca="true">IF(OR(D1539="",E1539=""),"",IFERROR(D1539*INDEX(UnidadesFactor,MATCH(E1539,Unidades,0)),""))</f>
        <v/>
      </c>
      <c r="H1539" s="17" t="str">
        <f aca="false">IF(I1539&lt;&gt;"OK","",IF(G1539=0,"",F1539/G1539))</f>
        <v/>
      </c>
      <c r="I1539" s="20" t="str">
        <f aca="true">IF(B1539="","",IF(ISNA(MATCH(B1539,ListaInsumos,0)),"Insumo no está en Insumos",IF(OR(D1539="",E1539="",F1539=""),"Faltan datos",IF(INDEX(UnidadesBase,MATCH(E1539,Unidades,0))&lt;&gt;INDEX(InsBase,MATCH(B1539,ListaInsumos,0)),"Unidad incompatible",IF(A1539="","Falta fecha","OK")))))</f>
        <v/>
      </c>
      <c r="J1539" s="15"/>
    </row>
    <row r="1540" customFormat="false" ht="15" hidden="false" customHeight="false" outlineLevel="0" collapsed="false">
      <c r="A1540" s="26"/>
      <c r="B1540" s="15"/>
      <c r="C1540" s="15"/>
      <c r="D1540" s="27"/>
      <c r="E1540" s="15"/>
      <c r="F1540" s="28"/>
      <c r="G1540" s="25" t="str">
        <f aca="true">IF(OR(D1540="",E1540=""),"",IFERROR(D1540*INDEX(UnidadesFactor,MATCH(E1540,Unidades,0)),""))</f>
        <v/>
      </c>
      <c r="H1540" s="17" t="str">
        <f aca="false">IF(I1540&lt;&gt;"OK","",IF(G1540=0,"",F1540/G1540))</f>
        <v/>
      </c>
      <c r="I1540" s="20" t="str">
        <f aca="true">IF(B1540="","",IF(ISNA(MATCH(B1540,ListaInsumos,0)),"Insumo no está en Insumos",IF(OR(D1540="",E1540="",F1540=""),"Faltan datos",IF(INDEX(UnidadesBase,MATCH(E1540,Unidades,0))&lt;&gt;INDEX(InsBase,MATCH(B1540,ListaInsumos,0)),"Unidad incompatible",IF(A1540="","Falta fecha","OK")))))</f>
        <v/>
      </c>
      <c r="J1540" s="15"/>
    </row>
    <row r="1541" customFormat="false" ht="15" hidden="false" customHeight="false" outlineLevel="0" collapsed="false">
      <c r="A1541" s="26"/>
      <c r="B1541" s="15"/>
      <c r="C1541" s="15"/>
      <c r="D1541" s="27"/>
      <c r="E1541" s="15"/>
      <c r="F1541" s="28"/>
      <c r="G1541" s="25" t="str">
        <f aca="true">IF(OR(D1541="",E1541=""),"",IFERROR(D1541*INDEX(UnidadesFactor,MATCH(E1541,Unidades,0)),""))</f>
        <v/>
      </c>
      <c r="H1541" s="17" t="str">
        <f aca="false">IF(I1541&lt;&gt;"OK","",IF(G1541=0,"",F1541/G1541))</f>
        <v/>
      </c>
      <c r="I1541" s="20" t="str">
        <f aca="true">IF(B1541="","",IF(ISNA(MATCH(B1541,ListaInsumos,0)),"Insumo no está en Insumos",IF(OR(D1541="",E1541="",F1541=""),"Faltan datos",IF(INDEX(UnidadesBase,MATCH(E1541,Unidades,0))&lt;&gt;INDEX(InsBase,MATCH(B1541,ListaInsumos,0)),"Unidad incompatible",IF(A1541="","Falta fecha","OK")))))</f>
        <v/>
      </c>
      <c r="J1541" s="15"/>
    </row>
    <row r="1542" customFormat="false" ht="15" hidden="false" customHeight="false" outlineLevel="0" collapsed="false">
      <c r="A1542" s="26"/>
      <c r="B1542" s="15"/>
      <c r="C1542" s="15"/>
      <c r="D1542" s="27"/>
      <c r="E1542" s="15"/>
      <c r="F1542" s="28"/>
      <c r="G1542" s="25" t="str">
        <f aca="true">IF(OR(D1542="",E1542=""),"",IFERROR(D1542*INDEX(UnidadesFactor,MATCH(E1542,Unidades,0)),""))</f>
        <v/>
      </c>
      <c r="H1542" s="17" t="str">
        <f aca="false">IF(I1542&lt;&gt;"OK","",IF(G1542=0,"",F1542/G1542))</f>
        <v/>
      </c>
      <c r="I1542" s="20" t="str">
        <f aca="true">IF(B1542="","",IF(ISNA(MATCH(B1542,ListaInsumos,0)),"Insumo no está en Insumos",IF(OR(D1542="",E1542="",F1542=""),"Faltan datos",IF(INDEX(UnidadesBase,MATCH(E1542,Unidades,0))&lt;&gt;INDEX(InsBase,MATCH(B1542,ListaInsumos,0)),"Unidad incompatible",IF(A1542="","Falta fecha","OK")))))</f>
        <v/>
      </c>
      <c r="J1542" s="15"/>
    </row>
    <row r="1543" customFormat="false" ht="15" hidden="false" customHeight="false" outlineLevel="0" collapsed="false">
      <c r="A1543" s="26"/>
      <c r="B1543" s="15"/>
      <c r="C1543" s="15"/>
      <c r="D1543" s="27"/>
      <c r="E1543" s="15"/>
      <c r="F1543" s="28"/>
      <c r="G1543" s="25" t="str">
        <f aca="true">IF(OR(D1543="",E1543=""),"",IFERROR(D1543*INDEX(UnidadesFactor,MATCH(E1543,Unidades,0)),""))</f>
        <v/>
      </c>
      <c r="H1543" s="17" t="str">
        <f aca="false">IF(I1543&lt;&gt;"OK","",IF(G1543=0,"",F1543/G1543))</f>
        <v/>
      </c>
      <c r="I1543" s="20" t="str">
        <f aca="true">IF(B1543="","",IF(ISNA(MATCH(B1543,ListaInsumos,0)),"Insumo no está en Insumos",IF(OR(D1543="",E1543="",F1543=""),"Faltan datos",IF(INDEX(UnidadesBase,MATCH(E1543,Unidades,0))&lt;&gt;INDEX(InsBase,MATCH(B1543,ListaInsumos,0)),"Unidad incompatible",IF(A1543="","Falta fecha","OK")))))</f>
        <v/>
      </c>
      <c r="J1543" s="15"/>
    </row>
    <row r="1544" customFormat="false" ht="15" hidden="false" customHeight="false" outlineLevel="0" collapsed="false">
      <c r="A1544" s="26"/>
      <c r="B1544" s="15"/>
      <c r="C1544" s="15"/>
      <c r="D1544" s="27"/>
      <c r="E1544" s="15"/>
      <c r="F1544" s="28"/>
      <c r="G1544" s="25" t="str">
        <f aca="true">IF(OR(D1544="",E1544=""),"",IFERROR(D1544*INDEX(UnidadesFactor,MATCH(E1544,Unidades,0)),""))</f>
        <v/>
      </c>
      <c r="H1544" s="17" t="str">
        <f aca="false">IF(I1544&lt;&gt;"OK","",IF(G1544=0,"",F1544/G1544))</f>
        <v/>
      </c>
      <c r="I1544" s="20" t="str">
        <f aca="true">IF(B1544="","",IF(ISNA(MATCH(B1544,ListaInsumos,0)),"Insumo no está en Insumos",IF(OR(D1544="",E1544="",F1544=""),"Faltan datos",IF(INDEX(UnidadesBase,MATCH(E1544,Unidades,0))&lt;&gt;INDEX(InsBase,MATCH(B1544,ListaInsumos,0)),"Unidad incompatible",IF(A1544="","Falta fecha","OK")))))</f>
        <v/>
      </c>
      <c r="J1544" s="15"/>
    </row>
    <row r="1545" customFormat="false" ht="15" hidden="false" customHeight="false" outlineLevel="0" collapsed="false">
      <c r="A1545" s="26"/>
      <c r="B1545" s="15"/>
      <c r="C1545" s="15"/>
      <c r="D1545" s="27"/>
      <c r="E1545" s="15"/>
      <c r="F1545" s="28"/>
      <c r="G1545" s="25" t="str">
        <f aca="true">IF(OR(D1545="",E1545=""),"",IFERROR(D1545*INDEX(UnidadesFactor,MATCH(E1545,Unidades,0)),""))</f>
        <v/>
      </c>
      <c r="H1545" s="17" t="str">
        <f aca="false">IF(I1545&lt;&gt;"OK","",IF(G1545=0,"",F1545/G1545))</f>
        <v/>
      </c>
      <c r="I1545" s="20" t="str">
        <f aca="true">IF(B1545="","",IF(ISNA(MATCH(B1545,ListaInsumos,0)),"Insumo no está en Insumos",IF(OR(D1545="",E1545="",F1545=""),"Faltan datos",IF(INDEX(UnidadesBase,MATCH(E1545,Unidades,0))&lt;&gt;INDEX(InsBase,MATCH(B1545,ListaInsumos,0)),"Unidad incompatible",IF(A1545="","Falta fecha","OK")))))</f>
        <v/>
      </c>
      <c r="J1545" s="15"/>
    </row>
    <row r="1546" customFormat="false" ht="15" hidden="false" customHeight="false" outlineLevel="0" collapsed="false">
      <c r="A1546" s="26"/>
      <c r="B1546" s="15"/>
      <c r="C1546" s="15"/>
      <c r="D1546" s="27"/>
      <c r="E1546" s="15"/>
      <c r="F1546" s="28"/>
      <c r="G1546" s="25" t="str">
        <f aca="true">IF(OR(D1546="",E1546=""),"",IFERROR(D1546*INDEX(UnidadesFactor,MATCH(E1546,Unidades,0)),""))</f>
        <v/>
      </c>
      <c r="H1546" s="17" t="str">
        <f aca="false">IF(I1546&lt;&gt;"OK","",IF(G1546=0,"",F1546/G1546))</f>
        <v/>
      </c>
      <c r="I1546" s="20" t="str">
        <f aca="true">IF(B1546="","",IF(ISNA(MATCH(B1546,ListaInsumos,0)),"Insumo no está en Insumos",IF(OR(D1546="",E1546="",F1546=""),"Faltan datos",IF(INDEX(UnidadesBase,MATCH(E1546,Unidades,0))&lt;&gt;INDEX(InsBase,MATCH(B1546,ListaInsumos,0)),"Unidad incompatible",IF(A1546="","Falta fecha","OK")))))</f>
        <v/>
      </c>
      <c r="J1546" s="15"/>
    </row>
    <row r="1547" customFormat="false" ht="15" hidden="false" customHeight="false" outlineLevel="0" collapsed="false">
      <c r="A1547" s="26"/>
      <c r="B1547" s="15"/>
      <c r="C1547" s="15"/>
      <c r="D1547" s="27"/>
      <c r="E1547" s="15"/>
      <c r="F1547" s="28"/>
      <c r="G1547" s="25" t="str">
        <f aca="true">IF(OR(D1547="",E1547=""),"",IFERROR(D1547*INDEX(UnidadesFactor,MATCH(E1547,Unidades,0)),""))</f>
        <v/>
      </c>
      <c r="H1547" s="17" t="str">
        <f aca="false">IF(I1547&lt;&gt;"OK","",IF(G1547=0,"",F1547/G1547))</f>
        <v/>
      </c>
      <c r="I1547" s="20" t="str">
        <f aca="true">IF(B1547="","",IF(ISNA(MATCH(B1547,ListaInsumos,0)),"Insumo no está en Insumos",IF(OR(D1547="",E1547="",F1547=""),"Faltan datos",IF(INDEX(UnidadesBase,MATCH(E1547,Unidades,0))&lt;&gt;INDEX(InsBase,MATCH(B1547,ListaInsumos,0)),"Unidad incompatible",IF(A1547="","Falta fecha","OK")))))</f>
        <v/>
      </c>
      <c r="J1547" s="15"/>
    </row>
    <row r="1548" customFormat="false" ht="15" hidden="false" customHeight="false" outlineLevel="0" collapsed="false">
      <c r="A1548" s="26"/>
      <c r="B1548" s="15"/>
      <c r="C1548" s="15"/>
      <c r="D1548" s="27"/>
      <c r="E1548" s="15"/>
      <c r="F1548" s="28"/>
      <c r="G1548" s="25" t="str">
        <f aca="true">IF(OR(D1548="",E1548=""),"",IFERROR(D1548*INDEX(UnidadesFactor,MATCH(E1548,Unidades,0)),""))</f>
        <v/>
      </c>
      <c r="H1548" s="17" t="str">
        <f aca="false">IF(I1548&lt;&gt;"OK","",IF(G1548=0,"",F1548/G1548))</f>
        <v/>
      </c>
      <c r="I1548" s="20" t="str">
        <f aca="true">IF(B1548="","",IF(ISNA(MATCH(B1548,ListaInsumos,0)),"Insumo no está en Insumos",IF(OR(D1548="",E1548="",F1548=""),"Faltan datos",IF(INDEX(UnidadesBase,MATCH(E1548,Unidades,0))&lt;&gt;INDEX(InsBase,MATCH(B1548,ListaInsumos,0)),"Unidad incompatible",IF(A1548="","Falta fecha","OK")))))</f>
        <v/>
      </c>
      <c r="J1548" s="15"/>
    </row>
    <row r="1549" customFormat="false" ht="15" hidden="false" customHeight="false" outlineLevel="0" collapsed="false">
      <c r="A1549" s="26"/>
      <c r="B1549" s="15"/>
      <c r="C1549" s="15"/>
      <c r="D1549" s="27"/>
      <c r="E1549" s="15"/>
      <c r="F1549" s="28"/>
      <c r="G1549" s="25" t="str">
        <f aca="true">IF(OR(D1549="",E1549=""),"",IFERROR(D1549*INDEX(UnidadesFactor,MATCH(E1549,Unidades,0)),""))</f>
        <v/>
      </c>
      <c r="H1549" s="17" t="str">
        <f aca="false">IF(I1549&lt;&gt;"OK","",IF(G1549=0,"",F1549/G1549))</f>
        <v/>
      </c>
      <c r="I1549" s="20" t="str">
        <f aca="true">IF(B1549="","",IF(ISNA(MATCH(B1549,ListaInsumos,0)),"Insumo no está en Insumos",IF(OR(D1549="",E1549="",F1549=""),"Faltan datos",IF(INDEX(UnidadesBase,MATCH(E1549,Unidades,0))&lt;&gt;INDEX(InsBase,MATCH(B1549,ListaInsumos,0)),"Unidad incompatible",IF(A1549="","Falta fecha","OK")))))</f>
        <v/>
      </c>
      <c r="J1549" s="15"/>
    </row>
    <row r="1550" customFormat="false" ht="15" hidden="false" customHeight="false" outlineLevel="0" collapsed="false">
      <c r="A1550" s="26"/>
      <c r="B1550" s="15"/>
      <c r="C1550" s="15"/>
      <c r="D1550" s="27"/>
      <c r="E1550" s="15"/>
      <c r="F1550" s="28"/>
      <c r="G1550" s="25" t="str">
        <f aca="true">IF(OR(D1550="",E1550=""),"",IFERROR(D1550*INDEX(UnidadesFactor,MATCH(E1550,Unidades,0)),""))</f>
        <v/>
      </c>
      <c r="H1550" s="17" t="str">
        <f aca="false">IF(I1550&lt;&gt;"OK","",IF(G1550=0,"",F1550/G1550))</f>
        <v/>
      </c>
      <c r="I1550" s="20" t="str">
        <f aca="true">IF(B1550="","",IF(ISNA(MATCH(B1550,ListaInsumos,0)),"Insumo no está en Insumos",IF(OR(D1550="",E1550="",F1550=""),"Faltan datos",IF(INDEX(UnidadesBase,MATCH(E1550,Unidades,0))&lt;&gt;INDEX(InsBase,MATCH(B1550,ListaInsumos,0)),"Unidad incompatible",IF(A1550="","Falta fecha","OK")))))</f>
        <v/>
      </c>
      <c r="J1550" s="15"/>
    </row>
    <row r="1551" customFormat="false" ht="15" hidden="false" customHeight="false" outlineLevel="0" collapsed="false">
      <c r="A1551" s="26"/>
      <c r="B1551" s="15"/>
      <c r="C1551" s="15"/>
      <c r="D1551" s="27"/>
      <c r="E1551" s="15"/>
      <c r="F1551" s="28"/>
      <c r="G1551" s="25" t="str">
        <f aca="true">IF(OR(D1551="",E1551=""),"",IFERROR(D1551*INDEX(UnidadesFactor,MATCH(E1551,Unidades,0)),""))</f>
        <v/>
      </c>
      <c r="H1551" s="17" t="str">
        <f aca="false">IF(I1551&lt;&gt;"OK","",IF(G1551=0,"",F1551/G1551))</f>
        <v/>
      </c>
      <c r="I1551" s="20" t="str">
        <f aca="true">IF(B1551="","",IF(ISNA(MATCH(B1551,ListaInsumos,0)),"Insumo no está en Insumos",IF(OR(D1551="",E1551="",F1551=""),"Faltan datos",IF(INDEX(UnidadesBase,MATCH(E1551,Unidades,0))&lt;&gt;INDEX(InsBase,MATCH(B1551,ListaInsumos,0)),"Unidad incompatible",IF(A1551="","Falta fecha","OK")))))</f>
        <v/>
      </c>
      <c r="J1551" s="15"/>
    </row>
    <row r="1552" customFormat="false" ht="15" hidden="false" customHeight="false" outlineLevel="0" collapsed="false">
      <c r="A1552" s="26"/>
      <c r="B1552" s="15"/>
      <c r="C1552" s="15"/>
      <c r="D1552" s="27"/>
      <c r="E1552" s="15"/>
      <c r="F1552" s="28"/>
      <c r="G1552" s="25" t="str">
        <f aca="true">IF(OR(D1552="",E1552=""),"",IFERROR(D1552*INDEX(UnidadesFactor,MATCH(E1552,Unidades,0)),""))</f>
        <v/>
      </c>
      <c r="H1552" s="17" t="str">
        <f aca="false">IF(I1552&lt;&gt;"OK","",IF(G1552=0,"",F1552/G1552))</f>
        <v/>
      </c>
      <c r="I1552" s="20" t="str">
        <f aca="true">IF(B1552="","",IF(ISNA(MATCH(B1552,ListaInsumos,0)),"Insumo no está en Insumos",IF(OR(D1552="",E1552="",F1552=""),"Faltan datos",IF(INDEX(UnidadesBase,MATCH(E1552,Unidades,0))&lt;&gt;INDEX(InsBase,MATCH(B1552,ListaInsumos,0)),"Unidad incompatible",IF(A1552="","Falta fecha","OK")))))</f>
        <v/>
      </c>
      <c r="J1552" s="15"/>
    </row>
    <row r="1553" customFormat="false" ht="15" hidden="false" customHeight="false" outlineLevel="0" collapsed="false">
      <c r="A1553" s="26"/>
      <c r="B1553" s="15"/>
      <c r="C1553" s="15"/>
      <c r="D1553" s="27"/>
      <c r="E1553" s="15"/>
      <c r="F1553" s="28"/>
      <c r="G1553" s="25" t="str">
        <f aca="true">IF(OR(D1553="",E1553=""),"",IFERROR(D1553*INDEX(UnidadesFactor,MATCH(E1553,Unidades,0)),""))</f>
        <v/>
      </c>
      <c r="H1553" s="17" t="str">
        <f aca="false">IF(I1553&lt;&gt;"OK","",IF(G1553=0,"",F1553/G1553))</f>
        <v/>
      </c>
      <c r="I1553" s="20" t="str">
        <f aca="true">IF(B1553="","",IF(ISNA(MATCH(B1553,ListaInsumos,0)),"Insumo no está en Insumos",IF(OR(D1553="",E1553="",F1553=""),"Faltan datos",IF(INDEX(UnidadesBase,MATCH(E1553,Unidades,0))&lt;&gt;INDEX(InsBase,MATCH(B1553,ListaInsumos,0)),"Unidad incompatible",IF(A1553="","Falta fecha","OK")))))</f>
        <v/>
      </c>
      <c r="J1553" s="15"/>
    </row>
    <row r="1554" customFormat="false" ht="15" hidden="false" customHeight="false" outlineLevel="0" collapsed="false">
      <c r="A1554" s="26"/>
      <c r="B1554" s="15"/>
      <c r="C1554" s="15"/>
      <c r="D1554" s="27"/>
      <c r="E1554" s="15"/>
      <c r="F1554" s="28"/>
      <c r="G1554" s="25" t="str">
        <f aca="true">IF(OR(D1554="",E1554=""),"",IFERROR(D1554*INDEX(UnidadesFactor,MATCH(E1554,Unidades,0)),""))</f>
        <v/>
      </c>
      <c r="H1554" s="17" t="str">
        <f aca="false">IF(I1554&lt;&gt;"OK","",IF(G1554=0,"",F1554/G1554))</f>
        <v/>
      </c>
      <c r="I1554" s="20" t="str">
        <f aca="true">IF(B1554="","",IF(ISNA(MATCH(B1554,ListaInsumos,0)),"Insumo no está en Insumos",IF(OR(D1554="",E1554="",F1554=""),"Faltan datos",IF(INDEX(UnidadesBase,MATCH(E1554,Unidades,0))&lt;&gt;INDEX(InsBase,MATCH(B1554,ListaInsumos,0)),"Unidad incompatible",IF(A1554="","Falta fecha","OK")))))</f>
        <v/>
      </c>
      <c r="J1554" s="15"/>
    </row>
    <row r="1555" customFormat="false" ht="15" hidden="false" customHeight="false" outlineLevel="0" collapsed="false">
      <c r="A1555" s="26"/>
      <c r="B1555" s="15"/>
      <c r="C1555" s="15"/>
      <c r="D1555" s="27"/>
      <c r="E1555" s="15"/>
      <c r="F1555" s="28"/>
      <c r="G1555" s="25" t="str">
        <f aca="true">IF(OR(D1555="",E1555=""),"",IFERROR(D1555*INDEX(UnidadesFactor,MATCH(E1555,Unidades,0)),""))</f>
        <v/>
      </c>
      <c r="H1555" s="17" t="str">
        <f aca="false">IF(I1555&lt;&gt;"OK","",IF(G1555=0,"",F1555/G1555))</f>
        <v/>
      </c>
      <c r="I1555" s="20" t="str">
        <f aca="true">IF(B1555="","",IF(ISNA(MATCH(B1555,ListaInsumos,0)),"Insumo no está en Insumos",IF(OR(D1555="",E1555="",F1555=""),"Faltan datos",IF(INDEX(UnidadesBase,MATCH(E1555,Unidades,0))&lt;&gt;INDEX(InsBase,MATCH(B1555,ListaInsumos,0)),"Unidad incompatible",IF(A1555="","Falta fecha","OK")))))</f>
        <v/>
      </c>
      <c r="J1555" s="15"/>
    </row>
    <row r="1556" customFormat="false" ht="15" hidden="false" customHeight="false" outlineLevel="0" collapsed="false">
      <c r="A1556" s="26"/>
      <c r="B1556" s="15"/>
      <c r="C1556" s="15"/>
      <c r="D1556" s="27"/>
      <c r="E1556" s="15"/>
      <c r="F1556" s="28"/>
      <c r="G1556" s="25" t="str">
        <f aca="true">IF(OR(D1556="",E1556=""),"",IFERROR(D1556*INDEX(UnidadesFactor,MATCH(E1556,Unidades,0)),""))</f>
        <v/>
      </c>
      <c r="H1556" s="17" t="str">
        <f aca="false">IF(I1556&lt;&gt;"OK","",IF(G1556=0,"",F1556/G1556))</f>
        <v/>
      </c>
      <c r="I1556" s="20" t="str">
        <f aca="true">IF(B1556="","",IF(ISNA(MATCH(B1556,ListaInsumos,0)),"Insumo no está en Insumos",IF(OR(D1556="",E1556="",F1556=""),"Faltan datos",IF(INDEX(UnidadesBase,MATCH(E1556,Unidades,0))&lt;&gt;INDEX(InsBase,MATCH(B1556,ListaInsumos,0)),"Unidad incompatible",IF(A1556="","Falta fecha","OK")))))</f>
        <v/>
      </c>
      <c r="J1556" s="15"/>
    </row>
    <row r="1557" customFormat="false" ht="15" hidden="false" customHeight="false" outlineLevel="0" collapsed="false">
      <c r="A1557" s="26"/>
      <c r="B1557" s="15"/>
      <c r="C1557" s="15"/>
      <c r="D1557" s="27"/>
      <c r="E1557" s="15"/>
      <c r="F1557" s="28"/>
      <c r="G1557" s="25" t="str">
        <f aca="true">IF(OR(D1557="",E1557=""),"",IFERROR(D1557*INDEX(UnidadesFactor,MATCH(E1557,Unidades,0)),""))</f>
        <v/>
      </c>
      <c r="H1557" s="17" t="str">
        <f aca="false">IF(I1557&lt;&gt;"OK","",IF(G1557=0,"",F1557/G1557))</f>
        <v/>
      </c>
      <c r="I1557" s="20" t="str">
        <f aca="true">IF(B1557="","",IF(ISNA(MATCH(B1557,ListaInsumos,0)),"Insumo no está en Insumos",IF(OR(D1557="",E1557="",F1557=""),"Faltan datos",IF(INDEX(UnidadesBase,MATCH(E1557,Unidades,0))&lt;&gt;INDEX(InsBase,MATCH(B1557,ListaInsumos,0)),"Unidad incompatible",IF(A1557="","Falta fecha","OK")))))</f>
        <v/>
      </c>
      <c r="J1557" s="15"/>
    </row>
    <row r="1558" customFormat="false" ht="15" hidden="false" customHeight="false" outlineLevel="0" collapsed="false">
      <c r="A1558" s="26"/>
      <c r="B1558" s="15"/>
      <c r="C1558" s="15"/>
      <c r="D1558" s="27"/>
      <c r="E1558" s="15"/>
      <c r="F1558" s="28"/>
      <c r="G1558" s="25" t="str">
        <f aca="true">IF(OR(D1558="",E1558=""),"",IFERROR(D1558*INDEX(UnidadesFactor,MATCH(E1558,Unidades,0)),""))</f>
        <v/>
      </c>
      <c r="H1558" s="17" t="str">
        <f aca="false">IF(I1558&lt;&gt;"OK","",IF(G1558=0,"",F1558/G1558))</f>
        <v/>
      </c>
      <c r="I1558" s="20" t="str">
        <f aca="true">IF(B1558="","",IF(ISNA(MATCH(B1558,ListaInsumos,0)),"Insumo no está en Insumos",IF(OR(D1558="",E1558="",F1558=""),"Faltan datos",IF(INDEX(UnidadesBase,MATCH(E1558,Unidades,0))&lt;&gt;INDEX(InsBase,MATCH(B1558,ListaInsumos,0)),"Unidad incompatible",IF(A1558="","Falta fecha","OK")))))</f>
        <v/>
      </c>
      <c r="J1558" s="15"/>
    </row>
    <row r="1559" customFormat="false" ht="15" hidden="false" customHeight="false" outlineLevel="0" collapsed="false">
      <c r="A1559" s="26"/>
      <c r="B1559" s="15"/>
      <c r="C1559" s="15"/>
      <c r="D1559" s="27"/>
      <c r="E1559" s="15"/>
      <c r="F1559" s="28"/>
      <c r="G1559" s="25" t="str">
        <f aca="true">IF(OR(D1559="",E1559=""),"",IFERROR(D1559*INDEX(UnidadesFactor,MATCH(E1559,Unidades,0)),""))</f>
        <v/>
      </c>
      <c r="H1559" s="17" t="str">
        <f aca="false">IF(I1559&lt;&gt;"OK","",IF(G1559=0,"",F1559/G1559))</f>
        <v/>
      </c>
      <c r="I1559" s="20" t="str">
        <f aca="true">IF(B1559="","",IF(ISNA(MATCH(B1559,ListaInsumos,0)),"Insumo no está en Insumos",IF(OR(D1559="",E1559="",F1559=""),"Faltan datos",IF(INDEX(UnidadesBase,MATCH(E1559,Unidades,0))&lt;&gt;INDEX(InsBase,MATCH(B1559,ListaInsumos,0)),"Unidad incompatible",IF(A1559="","Falta fecha","OK")))))</f>
        <v/>
      </c>
      <c r="J1559" s="15"/>
    </row>
    <row r="1560" customFormat="false" ht="15" hidden="false" customHeight="false" outlineLevel="0" collapsed="false">
      <c r="A1560" s="26"/>
      <c r="B1560" s="15"/>
      <c r="C1560" s="15"/>
      <c r="D1560" s="27"/>
      <c r="E1560" s="15"/>
      <c r="F1560" s="28"/>
      <c r="G1560" s="25" t="str">
        <f aca="true">IF(OR(D1560="",E1560=""),"",IFERROR(D1560*INDEX(UnidadesFactor,MATCH(E1560,Unidades,0)),""))</f>
        <v/>
      </c>
      <c r="H1560" s="17" t="str">
        <f aca="false">IF(I1560&lt;&gt;"OK","",IF(G1560=0,"",F1560/G1560))</f>
        <v/>
      </c>
      <c r="I1560" s="20" t="str">
        <f aca="true">IF(B1560="","",IF(ISNA(MATCH(B1560,ListaInsumos,0)),"Insumo no está en Insumos",IF(OR(D1560="",E1560="",F1560=""),"Faltan datos",IF(INDEX(UnidadesBase,MATCH(E1560,Unidades,0))&lt;&gt;INDEX(InsBase,MATCH(B1560,ListaInsumos,0)),"Unidad incompatible",IF(A1560="","Falta fecha","OK")))))</f>
        <v/>
      </c>
      <c r="J1560" s="15"/>
    </row>
    <row r="1561" customFormat="false" ht="15" hidden="false" customHeight="false" outlineLevel="0" collapsed="false">
      <c r="A1561" s="26"/>
      <c r="B1561" s="15"/>
      <c r="C1561" s="15"/>
      <c r="D1561" s="27"/>
      <c r="E1561" s="15"/>
      <c r="F1561" s="28"/>
      <c r="G1561" s="25" t="str">
        <f aca="true">IF(OR(D1561="",E1561=""),"",IFERROR(D1561*INDEX(UnidadesFactor,MATCH(E1561,Unidades,0)),""))</f>
        <v/>
      </c>
      <c r="H1561" s="17" t="str">
        <f aca="false">IF(I1561&lt;&gt;"OK","",IF(G1561=0,"",F1561/G1561))</f>
        <v/>
      </c>
      <c r="I1561" s="20" t="str">
        <f aca="true">IF(B1561="","",IF(ISNA(MATCH(B1561,ListaInsumos,0)),"Insumo no está en Insumos",IF(OR(D1561="",E1561="",F1561=""),"Faltan datos",IF(INDEX(UnidadesBase,MATCH(E1561,Unidades,0))&lt;&gt;INDEX(InsBase,MATCH(B1561,ListaInsumos,0)),"Unidad incompatible",IF(A1561="","Falta fecha","OK")))))</f>
        <v/>
      </c>
      <c r="J1561" s="15"/>
    </row>
    <row r="1562" customFormat="false" ht="15" hidden="false" customHeight="false" outlineLevel="0" collapsed="false">
      <c r="A1562" s="26"/>
      <c r="B1562" s="15"/>
      <c r="C1562" s="15"/>
      <c r="D1562" s="27"/>
      <c r="E1562" s="15"/>
      <c r="F1562" s="28"/>
      <c r="G1562" s="25" t="str">
        <f aca="true">IF(OR(D1562="",E1562=""),"",IFERROR(D1562*INDEX(UnidadesFactor,MATCH(E1562,Unidades,0)),""))</f>
        <v/>
      </c>
      <c r="H1562" s="17" t="str">
        <f aca="false">IF(I1562&lt;&gt;"OK","",IF(G1562=0,"",F1562/G1562))</f>
        <v/>
      </c>
      <c r="I1562" s="20" t="str">
        <f aca="true">IF(B1562="","",IF(ISNA(MATCH(B1562,ListaInsumos,0)),"Insumo no está en Insumos",IF(OR(D1562="",E1562="",F1562=""),"Faltan datos",IF(INDEX(UnidadesBase,MATCH(E1562,Unidades,0))&lt;&gt;INDEX(InsBase,MATCH(B1562,ListaInsumos,0)),"Unidad incompatible",IF(A1562="","Falta fecha","OK")))))</f>
        <v/>
      </c>
      <c r="J1562" s="15"/>
    </row>
    <row r="1563" customFormat="false" ht="15" hidden="false" customHeight="false" outlineLevel="0" collapsed="false">
      <c r="A1563" s="26"/>
      <c r="B1563" s="15"/>
      <c r="C1563" s="15"/>
      <c r="D1563" s="27"/>
      <c r="E1563" s="15"/>
      <c r="F1563" s="28"/>
      <c r="G1563" s="25" t="str">
        <f aca="true">IF(OR(D1563="",E1563=""),"",IFERROR(D1563*INDEX(UnidadesFactor,MATCH(E1563,Unidades,0)),""))</f>
        <v/>
      </c>
      <c r="H1563" s="17" t="str">
        <f aca="false">IF(I1563&lt;&gt;"OK","",IF(G1563=0,"",F1563/G1563))</f>
        <v/>
      </c>
      <c r="I1563" s="20" t="str">
        <f aca="true">IF(B1563="","",IF(ISNA(MATCH(B1563,ListaInsumos,0)),"Insumo no está en Insumos",IF(OR(D1563="",E1563="",F1563=""),"Faltan datos",IF(INDEX(UnidadesBase,MATCH(E1563,Unidades,0))&lt;&gt;INDEX(InsBase,MATCH(B1563,ListaInsumos,0)),"Unidad incompatible",IF(A1563="","Falta fecha","OK")))))</f>
        <v/>
      </c>
      <c r="J1563" s="15"/>
    </row>
    <row r="1564" customFormat="false" ht="15" hidden="false" customHeight="false" outlineLevel="0" collapsed="false">
      <c r="A1564" s="26"/>
      <c r="B1564" s="15"/>
      <c r="C1564" s="15"/>
      <c r="D1564" s="27"/>
      <c r="E1564" s="15"/>
      <c r="F1564" s="28"/>
      <c r="G1564" s="25" t="str">
        <f aca="true">IF(OR(D1564="",E1564=""),"",IFERROR(D1564*INDEX(UnidadesFactor,MATCH(E1564,Unidades,0)),""))</f>
        <v/>
      </c>
      <c r="H1564" s="17" t="str">
        <f aca="false">IF(I1564&lt;&gt;"OK","",IF(G1564=0,"",F1564/G1564))</f>
        <v/>
      </c>
      <c r="I1564" s="20" t="str">
        <f aca="true">IF(B1564="","",IF(ISNA(MATCH(B1564,ListaInsumos,0)),"Insumo no está en Insumos",IF(OR(D1564="",E1564="",F1564=""),"Faltan datos",IF(INDEX(UnidadesBase,MATCH(E1564,Unidades,0))&lt;&gt;INDEX(InsBase,MATCH(B1564,ListaInsumos,0)),"Unidad incompatible",IF(A1564="","Falta fecha","OK")))))</f>
        <v/>
      </c>
      <c r="J1564" s="15"/>
    </row>
    <row r="1565" customFormat="false" ht="15" hidden="false" customHeight="false" outlineLevel="0" collapsed="false">
      <c r="A1565" s="26"/>
      <c r="B1565" s="15"/>
      <c r="C1565" s="15"/>
      <c r="D1565" s="27"/>
      <c r="E1565" s="15"/>
      <c r="F1565" s="28"/>
      <c r="G1565" s="25" t="str">
        <f aca="true">IF(OR(D1565="",E1565=""),"",IFERROR(D1565*INDEX(UnidadesFactor,MATCH(E1565,Unidades,0)),""))</f>
        <v/>
      </c>
      <c r="H1565" s="17" t="str">
        <f aca="false">IF(I1565&lt;&gt;"OK","",IF(G1565=0,"",F1565/G1565))</f>
        <v/>
      </c>
      <c r="I1565" s="20" t="str">
        <f aca="true">IF(B1565="","",IF(ISNA(MATCH(B1565,ListaInsumos,0)),"Insumo no está en Insumos",IF(OR(D1565="",E1565="",F1565=""),"Faltan datos",IF(INDEX(UnidadesBase,MATCH(E1565,Unidades,0))&lt;&gt;INDEX(InsBase,MATCH(B1565,ListaInsumos,0)),"Unidad incompatible",IF(A1565="","Falta fecha","OK")))))</f>
        <v/>
      </c>
      <c r="J1565" s="15"/>
    </row>
    <row r="1566" customFormat="false" ht="15" hidden="false" customHeight="false" outlineLevel="0" collapsed="false">
      <c r="A1566" s="26"/>
      <c r="B1566" s="15"/>
      <c r="C1566" s="15"/>
      <c r="D1566" s="27"/>
      <c r="E1566" s="15"/>
      <c r="F1566" s="28"/>
      <c r="G1566" s="25" t="str">
        <f aca="true">IF(OR(D1566="",E1566=""),"",IFERROR(D1566*INDEX(UnidadesFactor,MATCH(E1566,Unidades,0)),""))</f>
        <v/>
      </c>
      <c r="H1566" s="17" t="str">
        <f aca="false">IF(I1566&lt;&gt;"OK","",IF(G1566=0,"",F1566/G1566))</f>
        <v/>
      </c>
      <c r="I1566" s="20" t="str">
        <f aca="true">IF(B1566="","",IF(ISNA(MATCH(B1566,ListaInsumos,0)),"Insumo no está en Insumos",IF(OR(D1566="",E1566="",F1566=""),"Faltan datos",IF(INDEX(UnidadesBase,MATCH(E1566,Unidades,0))&lt;&gt;INDEX(InsBase,MATCH(B1566,ListaInsumos,0)),"Unidad incompatible",IF(A1566="","Falta fecha","OK")))))</f>
        <v/>
      </c>
      <c r="J1566" s="15"/>
    </row>
    <row r="1567" customFormat="false" ht="15" hidden="false" customHeight="false" outlineLevel="0" collapsed="false">
      <c r="A1567" s="26"/>
      <c r="B1567" s="15"/>
      <c r="C1567" s="15"/>
      <c r="D1567" s="27"/>
      <c r="E1567" s="15"/>
      <c r="F1567" s="28"/>
      <c r="G1567" s="25" t="str">
        <f aca="true">IF(OR(D1567="",E1567=""),"",IFERROR(D1567*INDEX(UnidadesFactor,MATCH(E1567,Unidades,0)),""))</f>
        <v/>
      </c>
      <c r="H1567" s="17" t="str">
        <f aca="false">IF(I1567&lt;&gt;"OK","",IF(G1567=0,"",F1567/G1567))</f>
        <v/>
      </c>
      <c r="I1567" s="20" t="str">
        <f aca="true">IF(B1567="","",IF(ISNA(MATCH(B1567,ListaInsumos,0)),"Insumo no está en Insumos",IF(OR(D1567="",E1567="",F1567=""),"Faltan datos",IF(INDEX(UnidadesBase,MATCH(E1567,Unidades,0))&lt;&gt;INDEX(InsBase,MATCH(B1567,ListaInsumos,0)),"Unidad incompatible",IF(A1567="","Falta fecha","OK")))))</f>
        <v/>
      </c>
      <c r="J1567" s="15"/>
    </row>
    <row r="1568" customFormat="false" ht="15" hidden="false" customHeight="false" outlineLevel="0" collapsed="false">
      <c r="A1568" s="26"/>
      <c r="B1568" s="15"/>
      <c r="C1568" s="15"/>
      <c r="D1568" s="27"/>
      <c r="E1568" s="15"/>
      <c r="F1568" s="28"/>
      <c r="G1568" s="25" t="str">
        <f aca="true">IF(OR(D1568="",E1568=""),"",IFERROR(D1568*INDEX(UnidadesFactor,MATCH(E1568,Unidades,0)),""))</f>
        <v/>
      </c>
      <c r="H1568" s="17" t="str">
        <f aca="false">IF(I1568&lt;&gt;"OK","",IF(G1568=0,"",F1568/G1568))</f>
        <v/>
      </c>
      <c r="I1568" s="20" t="str">
        <f aca="true">IF(B1568="","",IF(ISNA(MATCH(B1568,ListaInsumos,0)),"Insumo no está en Insumos",IF(OR(D1568="",E1568="",F1568=""),"Faltan datos",IF(INDEX(UnidadesBase,MATCH(E1568,Unidades,0))&lt;&gt;INDEX(InsBase,MATCH(B1568,ListaInsumos,0)),"Unidad incompatible",IF(A1568="","Falta fecha","OK")))))</f>
        <v/>
      </c>
      <c r="J1568" s="15"/>
    </row>
    <row r="1569" customFormat="false" ht="15" hidden="false" customHeight="false" outlineLevel="0" collapsed="false">
      <c r="A1569" s="26"/>
      <c r="B1569" s="15"/>
      <c r="C1569" s="15"/>
      <c r="D1569" s="27"/>
      <c r="E1569" s="15"/>
      <c r="F1569" s="28"/>
      <c r="G1569" s="25" t="str">
        <f aca="true">IF(OR(D1569="",E1569=""),"",IFERROR(D1569*INDEX(UnidadesFactor,MATCH(E1569,Unidades,0)),""))</f>
        <v/>
      </c>
      <c r="H1569" s="17" t="str">
        <f aca="false">IF(I1569&lt;&gt;"OK","",IF(G1569=0,"",F1569/G1569))</f>
        <v/>
      </c>
      <c r="I1569" s="20" t="str">
        <f aca="true">IF(B1569="","",IF(ISNA(MATCH(B1569,ListaInsumos,0)),"Insumo no está en Insumos",IF(OR(D1569="",E1569="",F1569=""),"Faltan datos",IF(INDEX(UnidadesBase,MATCH(E1569,Unidades,0))&lt;&gt;INDEX(InsBase,MATCH(B1569,ListaInsumos,0)),"Unidad incompatible",IF(A1569="","Falta fecha","OK")))))</f>
        <v/>
      </c>
      <c r="J1569" s="15"/>
    </row>
    <row r="1570" customFormat="false" ht="15" hidden="false" customHeight="false" outlineLevel="0" collapsed="false">
      <c r="A1570" s="26"/>
      <c r="B1570" s="15"/>
      <c r="C1570" s="15"/>
      <c r="D1570" s="27"/>
      <c r="E1570" s="15"/>
      <c r="F1570" s="28"/>
      <c r="G1570" s="25" t="str">
        <f aca="true">IF(OR(D1570="",E1570=""),"",IFERROR(D1570*INDEX(UnidadesFactor,MATCH(E1570,Unidades,0)),""))</f>
        <v/>
      </c>
      <c r="H1570" s="17" t="str">
        <f aca="false">IF(I1570&lt;&gt;"OK","",IF(G1570=0,"",F1570/G1570))</f>
        <v/>
      </c>
      <c r="I1570" s="20" t="str">
        <f aca="true">IF(B1570="","",IF(ISNA(MATCH(B1570,ListaInsumos,0)),"Insumo no está en Insumos",IF(OR(D1570="",E1570="",F1570=""),"Faltan datos",IF(INDEX(UnidadesBase,MATCH(E1570,Unidades,0))&lt;&gt;INDEX(InsBase,MATCH(B1570,ListaInsumos,0)),"Unidad incompatible",IF(A1570="","Falta fecha","OK")))))</f>
        <v/>
      </c>
      <c r="J1570" s="15"/>
    </row>
    <row r="1571" customFormat="false" ht="15" hidden="false" customHeight="false" outlineLevel="0" collapsed="false">
      <c r="A1571" s="26"/>
      <c r="B1571" s="15"/>
      <c r="C1571" s="15"/>
      <c r="D1571" s="27"/>
      <c r="E1571" s="15"/>
      <c r="F1571" s="28"/>
      <c r="G1571" s="25" t="str">
        <f aca="true">IF(OR(D1571="",E1571=""),"",IFERROR(D1571*INDEX(UnidadesFactor,MATCH(E1571,Unidades,0)),""))</f>
        <v/>
      </c>
      <c r="H1571" s="17" t="str">
        <f aca="false">IF(I1571&lt;&gt;"OK","",IF(G1571=0,"",F1571/G1571))</f>
        <v/>
      </c>
      <c r="I1571" s="20" t="str">
        <f aca="true">IF(B1571="","",IF(ISNA(MATCH(B1571,ListaInsumos,0)),"Insumo no está en Insumos",IF(OR(D1571="",E1571="",F1571=""),"Faltan datos",IF(INDEX(UnidadesBase,MATCH(E1571,Unidades,0))&lt;&gt;INDEX(InsBase,MATCH(B1571,ListaInsumos,0)),"Unidad incompatible",IF(A1571="","Falta fecha","OK")))))</f>
        <v/>
      </c>
      <c r="J1571" s="15"/>
    </row>
    <row r="1572" customFormat="false" ht="15" hidden="false" customHeight="false" outlineLevel="0" collapsed="false">
      <c r="A1572" s="26"/>
      <c r="B1572" s="15"/>
      <c r="C1572" s="15"/>
      <c r="D1572" s="27"/>
      <c r="E1572" s="15"/>
      <c r="F1572" s="28"/>
      <c r="G1572" s="25" t="str">
        <f aca="true">IF(OR(D1572="",E1572=""),"",IFERROR(D1572*INDEX(UnidadesFactor,MATCH(E1572,Unidades,0)),""))</f>
        <v/>
      </c>
      <c r="H1572" s="17" t="str">
        <f aca="false">IF(I1572&lt;&gt;"OK","",IF(G1572=0,"",F1572/G1572))</f>
        <v/>
      </c>
      <c r="I1572" s="20" t="str">
        <f aca="true">IF(B1572="","",IF(ISNA(MATCH(B1572,ListaInsumos,0)),"Insumo no está en Insumos",IF(OR(D1572="",E1572="",F1572=""),"Faltan datos",IF(INDEX(UnidadesBase,MATCH(E1572,Unidades,0))&lt;&gt;INDEX(InsBase,MATCH(B1572,ListaInsumos,0)),"Unidad incompatible",IF(A1572="","Falta fecha","OK")))))</f>
        <v/>
      </c>
      <c r="J1572" s="15"/>
    </row>
    <row r="1573" customFormat="false" ht="15" hidden="false" customHeight="false" outlineLevel="0" collapsed="false">
      <c r="A1573" s="26"/>
      <c r="B1573" s="15"/>
      <c r="C1573" s="15"/>
      <c r="D1573" s="27"/>
      <c r="E1573" s="15"/>
      <c r="F1573" s="28"/>
      <c r="G1573" s="25" t="str">
        <f aca="true">IF(OR(D1573="",E1573=""),"",IFERROR(D1573*INDEX(UnidadesFactor,MATCH(E1573,Unidades,0)),""))</f>
        <v/>
      </c>
      <c r="H1573" s="17" t="str">
        <f aca="false">IF(I1573&lt;&gt;"OK","",IF(G1573=0,"",F1573/G1573))</f>
        <v/>
      </c>
      <c r="I1573" s="20" t="str">
        <f aca="true">IF(B1573="","",IF(ISNA(MATCH(B1573,ListaInsumos,0)),"Insumo no está en Insumos",IF(OR(D1573="",E1573="",F1573=""),"Faltan datos",IF(INDEX(UnidadesBase,MATCH(E1573,Unidades,0))&lt;&gt;INDEX(InsBase,MATCH(B1573,ListaInsumos,0)),"Unidad incompatible",IF(A1573="","Falta fecha","OK")))))</f>
        <v/>
      </c>
      <c r="J1573" s="15"/>
    </row>
    <row r="1574" customFormat="false" ht="15" hidden="false" customHeight="false" outlineLevel="0" collapsed="false">
      <c r="A1574" s="26"/>
      <c r="B1574" s="15"/>
      <c r="C1574" s="15"/>
      <c r="D1574" s="27"/>
      <c r="E1574" s="15"/>
      <c r="F1574" s="28"/>
      <c r="G1574" s="25" t="str">
        <f aca="true">IF(OR(D1574="",E1574=""),"",IFERROR(D1574*INDEX(UnidadesFactor,MATCH(E1574,Unidades,0)),""))</f>
        <v/>
      </c>
      <c r="H1574" s="17" t="str">
        <f aca="false">IF(I1574&lt;&gt;"OK","",IF(G1574=0,"",F1574/G1574))</f>
        <v/>
      </c>
      <c r="I1574" s="20" t="str">
        <f aca="true">IF(B1574="","",IF(ISNA(MATCH(B1574,ListaInsumos,0)),"Insumo no está en Insumos",IF(OR(D1574="",E1574="",F1574=""),"Faltan datos",IF(INDEX(UnidadesBase,MATCH(E1574,Unidades,0))&lt;&gt;INDEX(InsBase,MATCH(B1574,ListaInsumos,0)),"Unidad incompatible",IF(A1574="","Falta fecha","OK")))))</f>
        <v/>
      </c>
      <c r="J1574" s="15"/>
    </row>
    <row r="1575" customFormat="false" ht="15" hidden="false" customHeight="false" outlineLevel="0" collapsed="false">
      <c r="A1575" s="26"/>
      <c r="B1575" s="15"/>
      <c r="C1575" s="15"/>
      <c r="D1575" s="27"/>
      <c r="E1575" s="15"/>
      <c r="F1575" s="28"/>
      <c r="G1575" s="25" t="str">
        <f aca="true">IF(OR(D1575="",E1575=""),"",IFERROR(D1575*INDEX(UnidadesFactor,MATCH(E1575,Unidades,0)),""))</f>
        <v/>
      </c>
      <c r="H1575" s="17" t="str">
        <f aca="false">IF(I1575&lt;&gt;"OK","",IF(G1575=0,"",F1575/G1575))</f>
        <v/>
      </c>
      <c r="I1575" s="20" t="str">
        <f aca="true">IF(B1575="","",IF(ISNA(MATCH(B1575,ListaInsumos,0)),"Insumo no está en Insumos",IF(OR(D1575="",E1575="",F1575=""),"Faltan datos",IF(INDEX(UnidadesBase,MATCH(E1575,Unidades,0))&lt;&gt;INDEX(InsBase,MATCH(B1575,ListaInsumos,0)),"Unidad incompatible",IF(A1575="","Falta fecha","OK")))))</f>
        <v/>
      </c>
      <c r="J1575" s="15"/>
    </row>
    <row r="1576" customFormat="false" ht="15" hidden="false" customHeight="false" outlineLevel="0" collapsed="false">
      <c r="A1576" s="26"/>
      <c r="B1576" s="15"/>
      <c r="C1576" s="15"/>
      <c r="D1576" s="27"/>
      <c r="E1576" s="15"/>
      <c r="F1576" s="28"/>
      <c r="G1576" s="25" t="str">
        <f aca="true">IF(OR(D1576="",E1576=""),"",IFERROR(D1576*INDEX(UnidadesFactor,MATCH(E1576,Unidades,0)),""))</f>
        <v/>
      </c>
      <c r="H1576" s="17" t="str">
        <f aca="false">IF(I1576&lt;&gt;"OK","",IF(G1576=0,"",F1576/G1576))</f>
        <v/>
      </c>
      <c r="I1576" s="20" t="str">
        <f aca="true">IF(B1576="","",IF(ISNA(MATCH(B1576,ListaInsumos,0)),"Insumo no está en Insumos",IF(OR(D1576="",E1576="",F1576=""),"Faltan datos",IF(INDEX(UnidadesBase,MATCH(E1576,Unidades,0))&lt;&gt;INDEX(InsBase,MATCH(B1576,ListaInsumos,0)),"Unidad incompatible",IF(A1576="","Falta fecha","OK")))))</f>
        <v/>
      </c>
      <c r="J1576" s="15"/>
    </row>
    <row r="1577" customFormat="false" ht="15" hidden="false" customHeight="false" outlineLevel="0" collapsed="false">
      <c r="A1577" s="26"/>
      <c r="B1577" s="15"/>
      <c r="C1577" s="15"/>
      <c r="D1577" s="27"/>
      <c r="E1577" s="15"/>
      <c r="F1577" s="28"/>
      <c r="G1577" s="25" t="str">
        <f aca="true">IF(OR(D1577="",E1577=""),"",IFERROR(D1577*INDEX(UnidadesFactor,MATCH(E1577,Unidades,0)),""))</f>
        <v/>
      </c>
      <c r="H1577" s="17" t="str">
        <f aca="false">IF(I1577&lt;&gt;"OK","",IF(G1577=0,"",F1577/G1577))</f>
        <v/>
      </c>
      <c r="I1577" s="20" t="str">
        <f aca="true">IF(B1577="","",IF(ISNA(MATCH(B1577,ListaInsumos,0)),"Insumo no está en Insumos",IF(OR(D1577="",E1577="",F1577=""),"Faltan datos",IF(INDEX(UnidadesBase,MATCH(E1577,Unidades,0))&lt;&gt;INDEX(InsBase,MATCH(B1577,ListaInsumos,0)),"Unidad incompatible",IF(A1577="","Falta fecha","OK")))))</f>
        <v/>
      </c>
      <c r="J1577" s="15"/>
    </row>
    <row r="1578" customFormat="false" ht="15" hidden="false" customHeight="false" outlineLevel="0" collapsed="false">
      <c r="A1578" s="26"/>
      <c r="B1578" s="15"/>
      <c r="C1578" s="15"/>
      <c r="D1578" s="27"/>
      <c r="E1578" s="15"/>
      <c r="F1578" s="28"/>
      <c r="G1578" s="25" t="str">
        <f aca="true">IF(OR(D1578="",E1578=""),"",IFERROR(D1578*INDEX(UnidadesFactor,MATCH(E1578,Unidades,0)),""))</f>
        <v/>
      </c>
      <c r="H1578" s="17" t="str">
        <f aca="false">IF(I1578&lt;&gt;"OK","",IF(G1578=0,"",F1578/G1578))</f>
        <v/>
      </c>
      <c r="I1578" s="20" t="str">
        <f aca="true">IF(B1578="","",IF(ISNA(MATCH(B1578,ListaInsumos,0)),"Insumo no está en Insumos",IF(OR(D1578="",E1578="",F1578=""),"Faltan datos",IF(INDEX(UnidadesBase,MATCH(E1578,Unidades,0))&lt;&gt;INDEX(InsBase,MATCH(B1578,ListaInsumos,0)),"Unidad incompatible",IF(A1578="","Falta fecha","OK")))))</f>
        <v/>
      </c>
      <c r="J1578" s="15"/>
    </row>
    <row r="1579" customFormat="false" ht="15" hidden="false" customHeight="false" outlineLevel="0" collapsed="false">
      <c r="A1579" s="26"/>
      <c r="B1579" s="15"/>
      <c r="C1579" s="15"/>
      <c r="D1579" s="27"/>
      <c r="E1579" s="15"/>
      <c r="F1579" s="28"/>
      <c r="G1579" s="25" t="str">
        <f aca="true">IF(OR(D1579="",E1579=""),"",IFERROR(D1579*INDEX(UnidadesFactor,MATCH(E1579,Unidades,0)),""))</f>
        <v/>
      </c>
      <c r="H1579" s="17" t="str">
        <f aca="false">IF(I1579&lt;&gt;"OK","",IF(G1579=0,"",F1579/G1579))</f>
        <v/>
      </c>
      <c r="I1579" s="20" t="str">
        <f aca="true">IF(B1579="","",IF(ISNA(MATCH(B1579,ListaInsumos,0)),"Insumo no está en Insumos",IF(OR(D1579="",E1579="",F1579=""),"Faltan datos",IF(INDEX(UnidadesBase,MATCH(E1579,Unidades,0))&lt;&gt;INDEX(InsBase,MATCH(B1579,ListaInsumos,0)),"Unidad incompatible",IF(A1579="","Falta fecha","OK")))))</f>
        <v/>
      </c>
      <c r="J1579" s="15"/>
    </row>
    <row r="1580" customFormat="false" ht="15" hidden="false" customHeight="false" outlineLevel="0" collapsed="false">
      <c r="A1580" s="26"/>
      <c r="B1580" s="15"/>
      <c r="C1580" s="15"/>
      <c r="D1580" s="27"/>
      <c r="E1580" s="15"/>
      <c r="F1580" s="28"/>
      <c r="G1580" s="25" t="str">
        <f aca="true">IF(OR(D1580="",E1580=""),"",IFERROR(D1580*INDEX(UnidadesFactor,MATCH(E1580,Unidades,0)),""))</f>
        <v/>
      </c>
      <c r="H1580" s="17" t="str">
        <f aca="false">IF(I1580&lt;&gt;"OK","",IF(G1580=0,"",F1580/G1580))</f>
        <v/>
      </c>
      <c r="I1580" s="20" t="str">
        <f aca="true">IF(B1580="","",IF(ISNA(MATCH(B1580,ListaInsumos,0)),"Insumo no está en Insumos",IF(OR(D1580="",E1580="",F1580=""),"Faltan datos",IF(INDEX(UnidadesBase,MATCH(E1580,Unidades,0))&lt;&gt;INDEX(InsBase,MATCH(B1580,ListaInsumos,0)),"Unidad incompatible",IF(A1580="","Falta fecha","OK")))))</f>
        <v/>
      </c>
      <c r="J1580" s="15"/>
    </row>
    <row r="1581" customFormat="false" ht="15" hidden="false" customHeight="false" outlineLevel="0" collapsed="false">
      <c r="A1581" s="26"/>
      <c r="B1581" s="15"/>
      <c r="C1581" s="15"/>
      <c r="D1581" s="27"/>
      <c r="E1581" s="15"/>
      <c r="F1581" s="28"/>
      <c r="G1581" s="25" t="str">
        <f aca="true">IF(OR(D1581="",E1581=""),"",IFERROR(D1581*INDEX(UnidadesFactor,MATCH(E1581,Unidades,0)),""))</f>
        <v/>
      </c>
      <c r="H1581" s="17" t="str">
        <f aca="false">IF(I1581&lt;&gt;"OK","",IF(G1581=0,"",F1581/G1581))</f>
        <v/>
      </c>
      <c r="I1581" s="20" t="str">
        <f aca="true">IF(B1581="","",IF(ISNA(MATCH(B1581,ListaInsumos,0)),"Insumo no está en Insumos",IF(OR(D1581="",E1581="",F1581=""),"Faltan datos",IF(INDEX(UnidadesBase,MATCH(E1581,Unidades,0))&lt;&gt;INDEX(InsBase,MATCH(B1581,ListaInsumos,0)),"Unidad incompatible",IF(A1581="","Falta fecha","OK")))))</f>
        <v/>
      </c>
      <c r="J1581" s="15"/>
    </row>
    <row r="1582" customFormat="false" ht="15" hidden="false" customHeight="false" outlineLevel="0" collapsed="false">
      <c r="A1582" s="26"/>
      <c r="B1582" s="15"/>
      <c r="C1582" s="15"/>
      <c r="D1582" s="27"/>
      <c r="E1582" s="15"/>
      <c r="F1582" s="28"/>
      <c r="G1582" s="25" t="str">
        <f aca="true">IF(OR(D1582="",E1582=""),"",IFERROR(D1582*INDEX(UnidadesFactor,MATCH(E1582,Unidades,0)),""))</f>
        <v/>
      </c>
      <c r="H1582" s="17" t="str">
        <f aca="false">IF(I1582&lt;&gt;"OK","",IF(G1582=0,"",F1582/G1582))</f>
        <v/>
      </c>
      <c r="I1582" s="20" t="str">
        <f aca="true">IF(B1582="","",IF(ISNA(MATCH(B1582,ListaInsumos,0)),"Insumo no está en Insumos",IF(OR(D1582="",E1582="",F1582=""),"Faltan datos",IF(INDEX(UnidadesBase,MATCH(E1582,Unidades,0))&lt;&gt;INDEX(InsBase,MATCH(B1582,ListaInsumos,0)),"Unidad incompatible",IF(A1582="","Falta fecha","OK")))))</f>
        <v/>
      </c>
      <c r="J1582" s="15"/>
    </row>
    <row r="1583" customFormat="false" ht="15" hidden="false" customHeight="false" outlineLevel="0" collapsed="false">
      <c r="A1583" s="26"/>
      <c r="B1583" s="15"/>
      <c r="C1583" s="15"/>
      <c r="D1583" s="27"/>
      <c r="E1583" s="15"/>
      <c r="F1583" s="28"/>
      <c r="G1583" s="25" t="str">
        <f aca="true">IF(OR(D1583="",E1583=""),"",IFERROR(D1583*INDEX(UnidadesFactor,MATCH(E1583,Unidades,0)),""))</f>
        <v/>
      </c>
      <c r="H1583" s="17" t="str">
        <f aca="false">IF(I1583&lt;&gt;"OK","",IF(G1583=0,"",F1583/G1583))</f>
        <v/>
      </c>
      <c r="I1583" s="20" t="str">
        <f aca="true">IF(B1583="","",IF(ISNA(MATCH(B1583,ListaInsumos,0)),"Insumo no está en Insumos",IF(OR(D1583="",E1583="",F1583=""),"Faltan datos",IF(INDEX(UnidadesBase,MATCH(E1583,Unidades,0))&lt;&gt;INDEX(InsBase,MATCH(B1583,ListaInsumos,0)),"Unidad incompatible",IF(A1583="","Falta fecha","OK")))))</f>
        <v/>
      </c>
      <c r="J1583" s="15"/>
    </row>
    <row r="1584" customFormat="false" ht="15" hidden="false" customHeight="false" outlineLevel="0" collapsed="false">
      <c r="A1584" s="26"/>
      <c r="B1584" s="15"/>
      <c r="C1584" s="15"/>
      <c r="D1584" s="27"/>
      <c r="E1584" s="15"/>
      <c r="F1584" s="28"/>
      <c r="G1584" s="25" t="str">
        <f aca="true">IF(OR(D1584="",E1584=""),"",IFERROR(D1584*INDEX(UnidadesFactor,MATCH(E1584,Unidades,0)),""))</f>
        <v/>
      </c>
      <c r="H1584" s="17" t="str">
        <f aca="false">IF(I1584&lt;&gt;"OK","",IF(G1584=0,"",F1584/G1584))</f>
        <v/>
      </c>
      <c r="I1584" s="20" t="str">
        <f aca="true">IF(B1584="","",IF(ISNA(MATCH(B1584,ListaInsumos,0)),"Insumo no está en Insumos",IF(OR(D1584="",E1584="",F1584=""),"Faltan datos",IF(INDEX(UnidadesBase,MATCH(E1584,Unidades,0))&lt;&gt;INDEX(InsBase,MATCH(B1584,ListaInsumos,0)),"Unidad incompatible",IF(A1584="","Falta fecha","OK")))))</f>
        <v/>
      </c>
      <c r="J1584" s="15"/>
    </row>
    <row r="1585" customFormat="false" ht="15" hidden="false" customHeight="false" outlineLevel="0" collapsed="false">
      <c r="A1585" s="26"/>
      <c r="B1585" s="15"/>
      <c r="C1585" s="15"/>
      <c r="D1585" s="27"/>
      <c r="E1585" s="15"/>
      <c r="F1585" s="28"/>
      <c r="G1585" s="25" t="str">
        <f aca="true">IF(OR(D1585="",E1585=""),"",IFERROR(D1585*INDEX(UnidadesFactor,MATCH(E1585,Unidades,0)),""))</f>
        <v/>
      </c>
      <c r="H1585" s="17" t="str">
        <f aca="false">IF(I1585&lt;&gt;"OK","",IF(G1585=0,"",F1585/G1585))</f>
        <v/>
      </c>
      <c r="I1585" s="20" t="str">
        <f aca="true">IF(B1585="","",IF(ISNA(MATCH(B1585,ListaInsumos,0)),"Insumo no está en Insumos",IF(OR(D1585="",E1585="",F1585=""),"Faltan datos",IF(INDEX(UnidadesBase,MATCH(E1585,Unidades,0))&lt;&gt;INDEX(InsBase,MATCH(B1585,ListaInsumos,0)),"Unidad incompatible",IF(A1585="","Falta fecha","OK")))))</f>
        <v/>
      </c>
      <c r="J1585" s="15"/>
    </row>
    <row r="1586" customFormat="false" ht="15" hidden="false" customHeight="false" outlineLevel="0" collapsed="false">
      <c r="A1586" s="26"/>
      <c r="B1586" s="15"/>
      <c r="C1586" s="15"/>
      <c r="D1586" s="27"/>
      <c r="E1586" s="15"/>
      <c r="F1586" s="28"/>
      <c r="G1586" s="25" t="str">
        <f aca="true">IF(OR(D1586="",E1586=""),"",IFERROR(D1586*INDEX(UnidadesFactor,MATCH(E1586,Unidades,0)),""))</f>
        <v/>
      </c>
      <c r="H1586" s="17" t="str">
        <f aca="false">IF(I1586&lt;&gt;"OK","",IF(G1586=0,"",F1586/G1586))</f>
        <v/>
      </c>
      <c r="I1586" s="20" t="str">
        <f aca="true">IF(B1586="","",IF(ISNA(MATCH(B1586,ListaInsumos,0)),"Insumo no está en Insumos",IF(OR(D1586="",E1586="",F1586=""),"Faltan datos",IF(INDEX(UnidadesBase,MATCH(E1586,Unidades,0))&lt;&gt;INDEX(InsBase,MATCH(B1586,ListaInsumos,0)),"Unidad incompatible",IF(A1586="","Falta fecha","OK")))))</f>
        <v/>
      </c>
      <c r="J1586" s="15"/>
    </row>
    <row r="1587" customFormat="false" ht="15" hidden="false" customHeight="false" outlineLevel="0" collapsed="false">
      <c r="A1587" s="26"/>
      <c r="B1587" s="15"/>
      <c r="C1587" s="15"/>
      <c r="D1587" s="27"/>
      <c r="E1587" s="15"/>
      <c r="F1587" s="28"/>
      <c r="G1587" s="25" t="str">
        <f aca="true">IF(OR(D1587="",E1587=""),"",IFERROR(D1587*INDEX(UnidadesFactor,MATCH(E1587,Unidades,0)),""))</f>
        <v/>
      </c>
      <c r="H1587" s="17" t="str">
        <f aca="false">IF(I1587&lt;&gt;"OK","",IF(G1587=0,"",F1587/G1587))</f>
        <v/>
      </c>
      <c r="I1587" s="20" t="str">
        <f aca="true">IF(B1587="","",IF(ISNA(MATCH(B1587,ListaInsumos,0)),"Insumo no está en Insumos",IF(OR(D1587="",E1587="",F1587=""),"Faltan datos",IF(INDEX(UnidadesBase,MATCH(E1587,Unidades,0))&lt;&gt;INDEX(InsBase,MATCH(B1587,ListaInsumos,0)),"Unidad incompatible",IF(A1587="","Falta fecha","OK")))))</f>
        <v/>
      </c>
      <c r="J1587" s="15"/>
    </row>
    <row r="1588" customFormat="false" ht="15" hidden="false" customHeight="false" outlineLevel="0" collapsed="false">
      <c r="A1588" s="26"/>
      <c r="B1588" s="15"/>
      <c r="C1588" s="15"/>
      <c r="D1588" s="27"/>
      <c r="E1588" s="15"/>
      <c r="F1588" s="28"/>
      <c r="G1588" s="25" t="str">
        <f aca="true">IF(OR(D1588="",E1588=""),"",IFERROR(D1588*INDEX(UnidadesFactor,MATCH(E1588,Unidades,0)),""))</f>
        <v/>
      </c>
      <c r="H1588" s="17" t="str">
        <f aca="false">IF(I1588&lt;&gt;"OK","",IF(G1588=0,"",F1588/G1588))</f>
        <v/>
      </c>
      <c r="I1588" s="20" t="str">
        <f aca="true">IF(B1588="","",IF(ISNA(MATCH(B1588,ListaInsumos,0)),"Insumo no está en Insumos",IF(OR(D1588="",E1588="",F1588=""),"Faltan datos",IF(INDEX(UnidadesBase,MATCH(E1588,Unidades,0))&lt;&gt;INDEX(InsBase,MATCH(B1588,ListaInsumos,0)),"Unidad incompatible",IF(A1588="","Falta fecha","OK")))))</f>
        <v/>
      </c>
      <c r="J1588" s="15"/>
    </row>
    <row r="1589" customFormat="false" ht="15" hidden="false" customHeight="false" outlineLevel="0" collapsed="false">
      <c r="A1589" s="26"/>
      <c r="B1589" s="15"/>
      <c r="C1589" s="15"/>
      <c r="D1589" s="27"/>
      <c r="E1589" s="15"/>
      <c r="F1589" s="28"/>
      <c r="G1589" s="25" t="str">
        <f aca="true">IF(OR(D1589="",E1589=""),"",IFERROR(D1589*INDEX(UnidadesFactor,MATCH(E1589,Unidades,0)),""))</f>
        <v/>
      </c>
      <c r="H1589" s="17" t="str">
        <f aca="false">IF(I1589&lt;&gt;"OK","",IF(G1589=0,"",F1589/G1589))</f>
        <v/>
      </c>
      <c r="I1589" s="20" t="str">
        <f aca="true">IF(B1589="","",IF(ISNA(MATCH(B1589,ListaInsumos,0)),"Insumo no está en Insumos",IF(OR(D1589="",E1589="",F1589=""),"Faltan datos",IF(INDEX(UnidadesBase,MATCH(E1589,Unidades,0))&lt;&gt;INDEX(InsBase,MATCH(B1589,ListaInsumos,0)),"Unidad incompatible",IF(A1589="","Falta fecha","OK")))))</f>
        <v/>
      </c>
      <c r="J1589" s="15"/>
    </row>
    <row r="1590" customFormat="false" ht="15" hidden="false" customHeight="false" outlineLevel="0" collapsed="false">
      <c r="A1590" s="26"/>
      <c r="B1590" s="15"/>
      <c r="C1590" s="15"/>
      <c r="D1590" s="27"/>
      <c r="E1590" s="15"/>
      <c r="F1590" s="28"/>
      <c r="G1590" s="25" t="str">
        <f aca="true">IF(OR(D1590="",E1590=""),"",IFERROR(D1590*INDEX(UnidadesFactor,MATCH(E1590,Unidades,0)),""))</f>
        <v/>
      </c>
      <c r="H1590" s="17" t="str">
        <f aca="false">IF(I1590&lt;&gt;"OK","",IF(G1590=0,"",F1590/G1590))</f>
        <v/>
      </c>
      <c r="I1590" s="20" t="str">
        <f aca="true">IF(B1590="","",IF(ISNA(MATCH(B1590,ListaInsumos,0)),"Insumo no está en Insumos",IF(OR(D1590="",E1590="",F1590=""),"Faltan datos",IF(INDEX(UnidadesBase,MATCH(E1590,Unidades,0))&lt;&gt;INDEX(InsBase,MATCH(B1590,ListaInsumos,0)),"Unidad incompatible",IF(A1590="","Falta fecha","OK")))))</f>
        <v/>
      </c>
      <c r="J1590" s="15"/>
    </row>
    <row r="1591" customFormat="false" ht="15" hidden="false" customHeight="false" outlineLevel="0" collapsed="false">
      <c r="A1591" s="26"/>
      <c r="B1591" s="15"/>
      <c r="C1591" s="15"/>
      <c r="D1591" s="27"/>
      <c r="E1591" s="15"/>
      <c r="F1591" s="28"/>
      <c r="G1591" s="25" t="str">
        <f aca="true">IF(OR(D1591="",E1591=""),"",IFERROR(D1591*INDEX(UnidadesFactor,MATCH(E1591,Unidades,0)),""))</f>
        <v/>
      </c>
      <c r="H1591" s="17" t="str">
        <f aca="false">IF(I1591&lt;&gt;"OK","",IF(G1591=0,"",F1591/G1591))</f>
        <v/>
      </c>
      <c r="I1591" s="20" t="str">
        <f aca="true">IF(B1591="","",IF(ISNA(MATCH(B1591,ListaInsumos,0)),"Insumo no está en Insumos",IF(OR(D1591="",E1591="",F1591=""),"Faltan datos",IF(INDEX(UnidadesBase,MATCH(E1591,Unidades,0))&lt;&gt;INDEX(InsBase,MATCH(B1591,ListaInsumos,0)),"Unidad incompatible",IF(A1591="","Falta fecha","OK")))))</f>
        <v/>
      </c>
      <c r="J1591" s="15"/>
    </row>
    <row r="1592" customFormat="false" ht="15" hidden="false" customHeight="false" outlineLevel="0" collapsed="false">
      <c r="A1592" s="26"/>
      <c r="B1592" s="15"/>
      <c r="C1592" s="15"/>
      <c r="D1592" s="27"/>
      <c r="E1592" s="15"/>
      <c r="F1592" s="28"/>
      <c r="G1592" s="25" t="str">
        <f aca="true">IF(OR(D1592="",E1592=""),"",IFERROR(D1592*INDEX(UnidadesFactor,MATCH(E1592,Unidades,0)),""))</f>
        <v/>
      </c>
      <c r="H1592" s="17" t="str">
        <f aca="false">IF(I1592&lt;&gt;"OK","",IF(G1592=0,"",F1592/G1592))</f>
        <v/>
      </c>
      <c r="I1592" s="20" t="str">
        <f aca="true">IF(B1592="","",IF(ISNA(MATCH(B1592,ListaInsumos,0)),"Insumo no está en Insumos",IF(OR(D1592="",E1592="",F1592=""),"Faltan datos",IF(INDEX(UnidadesBase,MATCH(E1592,Unidades,0))&lt;&gt;INDEX(InsBase,MATCH(B1592,ListaInsumos,0)),"Unidad incompatible",IF(A1592="","Falta fecha","OK")))))</f>
        <v/>
      </c>
      <c r="J1592" s="15"/>
    </row>
    <row r="1593" customFormat="false" ht="15" hidden="false" customHeight="false" outlineLevel="0" collapsed="false">
      <c r="A1593" s="26"/>
      <c r="B1593" s="15"/>
      <c r="C1593" s="15"/>
      <c r="D1593" s="27"/>
      <c r="E1593" s="15"/>
      <c r="F1593" s="28"/>
      <c r="G1593" s="25" t="str">
        <f aca="true">IF(OR(D1593="",E1593=""),"",IFERROR(D1593*INDEX(UnidadesFactor,MATCH(E1593,Unidades,0)),""))</f>
        <v/>
      </c>
      <c r="H1593" s="17" t="str">
        <f aca="false">IF(I1593&lt;&gt;"OK","",IF(G1593=0,"",F1593/G1593))</f>
        <v/>
      </c>
      <c r="I1593" s="20" t="str">
        <f aca="true">IF(B1593="","",IF(ISNA(MATCH(B1593,ListaInsumos,0)),"Insumo no está en Insumos",IF(OR(D1593="",E1593="",F1593=""),"Faltan datos",IF(INDEX(UnidadesBase,MATCH(E1593,Unidades,0))&lt;&gt;INDEX(InsBase,MATCH(B1593,ListaInsumos,0)),"Unidad incompatible",IF(A1593="","Falta fecha","OK")))))</f>
        <v/>
      </c>
      <c r="J1593" s="15"/>
    </row>
    <row r="1594" customFormat="false" ht="15" hidden="false" customHeight="false" outlineLevel="0" collapsed="false">
      <c r="A1594" s="26"/>
      <c r="B1594" s="15"/>
      <c r="C1594" s="15"/>
      <c r="D1594" s="27"/>
      <c r="E1594" s="15"/>
      <c r="F1594" s="28"/>
      <c r="G1594" s="25" t="str">
        <f aca="true">IF(OR(D1594="",E1594=""),"",IFERROR(D1594*INDEX(UnidadesFactor,MATCH(E1594,Unidades,0)),""))</f>
        <v/>
      </c>
      <c r="H1594" s="17" t="str">
        <f aca="false">IF(I1594&lt;&gt;"OK","",IF(G1594=0,"",F1594/G1594))</f>
        <v/>
      </c>
      <c r="I1594" s="20" t="str">
        <f aca="true">IF(B1594="","",IF(ISNA(MATCH(B1594,ListaInsumos,0)),"Insumo no está en Insumos",IF(OR(D1594="",E1594="",F1594=""),"Faltan datos",IF(INDEX(UnidadesBase,MATCH(E1594,Unidades,0))&lt;&gt;INDEX(InsBase,MATCH(B1594,ListaInsumos,0)),"Unidad incompatible",IF(A1594="","Falta fecha","OK")))))</f>
        <v/>
      </c>
      <c r="J1594" s="15"/>
    </row>
    <row r="1595" customFormat="false" ht="15" hidden="false" customHeight="false" outlineLevel="0" collapsed="false">
      <c r="A1595" s="26"/>
      <c r="B1595" s="15"/>
      <c r="C1595" s="15"/>
      <c r="D1595" s="27"/>
      <c r="E1595" s="15"/>
      <c r="F1595" s="28"/>
      <c r="G1595" s="25" t="str">
        <f aca="true">IF(OR(D1595="",E1595=""),"",IFERROR(D1595*INDEX(UnidadesFactor,MATCH(E1595,Unidades,0)),""))</f>
        <v/>
      </c>
      <c r="H1595" s="17" t="str">
        <f aca="false">IF(I1595&lt;&gt;"OK","",IF(G1595=0,"",F1595/G1595))</f>
        <v/>
      </c>
      <c r="I1595" s="20" t="str">
        <f aca="true">IF(B1595="","",IF(ISNA(MATCH(B1595,ListaInsumos,0)),"Insumo no está en Insumos",IF(OR(D1595="",E1595="",F1595=""),"Faltan datos",IF(INDEX(UnidadesBase,MATCH(E1595,Unidades,0))&lt;&gt;INDEX(InsBase,MATCH(B1595,ListaInsumos,0)),"Unidad incompatible",IF(A1595="","Falta fecha","OK")))))</f>
        <v/>
      </c>
      <c r="J1595" s="15"/>
    </row>
    <row r="1596" customFormat="false" ht="15" hidden="false" customHeight="false" outlineLevel="0" collapsed="false">
      <c r="A1596" s="26"/>
      <c r="B1596" s="15"/>
      <c r="C1596" s="15"/>
      <c r="D1596" s="27"/>
      <c r="E1596" s="15"/>
      <c r="F1596" s="28"/>
      <c r="G1596" s="25" t="str">
        <f aca="true">IF(OR(D1596="",E1596=""),"",IFERROR(D1596*INDEX(UnidadesFactor,MATCH(E1596,Unidades,0)),""))</f>
        <v/>
      </c>
      <c r="H1596" s="17" t="str">
        <f aca="false">IF(I1596&lt;&gt;"OK","",IF(G1596=0,"",F1596/G1596))</f>
        <v/>
      </c>
      <c r="I1596" s="20" t="str">
        <f aca="true">IF(B1596="","",IF(ISNA(MATCH(B1596,ListaInsumos,0)),"Insumo no está en Insumos",IF(OR(D1596="",E1596="",F1596=""),"Faltan datos",IF(INDEX(UnidadesBase,MATCH(E1596,Unidades,0))&lt;&gt;INDEX(InsBase,MATCH(B1596,ListaInsumos,0)),"Unidad incompatible",IF(A1596="","Falta fecha","OK")))))</f>
        <v/>
      </c>
      <c r="J1596" s="15"/>
    </row>
    <row r="1597" customFormat="false" ht="15" hidden="false" customHeight="false" outlineLevel="0" collapsed="false">
      <c r="A1597" s="26"/>
      <c r="B1597" s="15"/>
      <c r="C1597" s="15"/>
      <c r="D1597" s="27"/>
      <c r="E1597" s="15"/>
      <c r="F1597" s="28"/>
      <c r="G1597" s="25" t="str">
        <f aca="true">IF(OR(D1597="",E1597=""),"",IFERROR(D1597*INDEX(UnidadesFactor,MATCH(E1597,Unidades,0)),""))</f>
        <v/>
      </c>
      <c r="H1597" s="17" t="str">
        <f aca="false">IF(I1597&lt;&gt;"OK","",IF(G1597=0,"",F1597/G1597))</f>
        <v/>
      </c>
      <c r="I1597" s="20" t="str">
        <f aca="true">IF(B1597="","",IF(ISNA(MATCH(B1597,ListaInsumos,0)),"Insumo no está en Insumos",IF(OR(D1597="",E1597="",F1597=""),"Faltan datos",IF(INDEX(UnidadesBase,MATCH(E1597,Unidades,0))&lt;&gt;INDEX(InsBase,MATCH(B1597,ListaInsumos,0)),"Unidad incompatible",IF(A1597="","Falta fecha","OK")))))</f>
        <v/>
      </c>
      <c r="J1597" s="15"/>
    </row>
    <row r="1598" customFormat="false" ht="15" hidden="false" customHeight="false" outlineLevel="0" collapsed="false">
      <c r="A1598" s="26"/>
      <c r="B1598" s="15"/>
      <c r="C1598" s="15"/>
      <c r="D1598" s="27"/>
      <c r="E1598" s="15"/>
      <c r="F1598" s="28"/>
      <c r="G1598" s="25" t="str">
        <f aca="true">IF(OR(D1598="",E1598=""),"",IFERROR(D1598*INDEX(UnidadesFactor,MATCH(E1598,Unidades,0)),""))</f>
        <v/>
      </c>
      <c r="H1598" s="17" t="str">
        <f aca="false">IF(I1598&lt;&gt;"OK","",IF(G1598=0,"",F1598/G1598))</f>
        <v/>
      </c>
      <c r="I1598" s="20" t="str">
        <f aca="true">IF(B1598="","",IF(ISNA(MATCH(B1598,ListaInsumos,0)),"Insumo no está en Insumos",IF(OR(D1598="",E1598="",F1598=""),"Faltan datos",IF(INDEX(UnidadesBase,MATCH(E1598,Unidades,0))&lt;&gt;INDEX(InsBase,MATCH(B1598,ListaInsumos,0)),"Unidad incompatible",IF(A1598="","Falta fecha","OK")))))</f>
        <v/>
      </c>
      <c r="J1598" s="15"/>
    </row>
    <row r="1599" customFormat="false" ht="15" hidden="false" customHeight="false" outlineLevel="0" collapsed="false">
      <c r="A1599" s="26"/>
      <c r="B1599" s="15"/>
      <c r="C1599" s="15"/>
      <c r="D1599" s="27"/>
      <c r="E1599" s="15"/>
      <c r="F1599" s="28"/>
      <c r="G1599" s="25" t="str">
        <f aca="true">IF(OR(D1599="",E1599=""),"",IFERROR(D1599*INDEX(UnidadesFactor,MATCH(E1599,Unidades,0)),""))</f>
        <v/>
      </c>
      <c r="H1599" s="17" t="str">
        <f aca="false">IF(I1599&lt;&gt;"OK","",IF(G1599=0,"",F1599/G1599))</f>
        <v/>
      </c>
      <c r="I1599" s="20" t="str">
        <f aca="true">IF(B1599="","",IF(ISNA(MATCH(B1599,ListaInsumos,0)),"Insumo no está en Insumos",IF(OR(D1599="",E1599="",F1599=""),"Faltan datos",IF(INDEX(UnidadesBase,MATCH(E1599,Unidades,0))&lt;&gt;INDEX(InsBase,MATCH(B1599,ListaInsumos,0)),"Unidad incompatible",IF(A1599="","Falta fecha","OK")))))</f>
        <v/>
      </c>
      <c r="J1599" s="15"/>
    </row>
    <row r="1600" customFormat="false" ht="15" hidden="false" customHeight="false" outlineLevel="0" collapsed="false">
      <c r="A1600" s="26"/>
      <c r="B1600" s="15"/>
      <c r="C1600" s="15"/>
      <c r="D1600" s="27"/>
      <c r="E1600" s="15"/>
      <c r="F1600" s="28"/>
      <c r="G1600" s="25" t="str">
        <f aca="true">IF(OR(D1600="",E1600=""),"",IFERROR(D1600*INDEX(UnidadesFactor,MATCH(E1600,Unidades,0)),""))</f>
        <v/>
      </c>
      <c r="H1600" s="17" t="str">
        <f aca="false">IF(I1600&lt;&gt;"OK","",IF(G1600=0,"",F1600/G1600))</f>
        <v/>
      </c>
      <c r="I1600" s="20" t="str">
        <f aca="true">IF(B1600="","",IF(ISNA(MATCH(B1600,ListaInsumos,0)),"Insumo no está en Insumos",IF(OR(D1600="",E1600="",F1600=""),"Faltan datos",IF(INDEX(UnidadesBase,MATCH(E1600,Unidades,0))&lt;&gt;INDEX(InsBase,MATCH(B1600,ListaInsumos,0)),"Unidad incompatible",IF(A1600="","Falta fecha","OK")))))</f>
        <v/>
      </c>
      <c r="J1600" s="15"/>
    </row>
    <row r="1601" customFormat="false" ht="15" hidden="false" customHeight="false" outlineLevel="0" collapsed="false">
      <c r="A1601" s="26"/>
      <c r="B1601" s="15"/>
      <c r="C1601" s="15"/>
      <c r="D1601" s="27"/>
      <c r="E1601" s="15"/>
      <c r="F1601" s="28"/>
      <c r="G1601" s="25" t="str">
        <f aca="true">IF(OR(D1601="",E1601=""),"",IFERROR(D1601*INDEX(UnidadesFactor,MATCH(E1601,Unidades,0)),""))</f>
        <v/>
      </c>
      <c r="H1601" s="17" t="str">
        <f aca="false">IF(I1601&lt;&gt;"OK","",IF(G1601=0,"",F1601/G1601))</f>
        <v/>
      </c>
      <c r="I1601" s="20" t="str">
        <f aca="true">IF(B1601="","",IF(ISNA(MATCH(B1601,ListaInsumos,0)),"Insumo no está en Insumos",IF(OR(D1601="",E1601="",F1601=""),"Faltan datos",IF(INDEX(UnidadesBase,MATCH(E1601,Unidades,0))&lt;&gt;INDEX(InsBase,MATCH(B1601,ListaInsumos,0)),"Unidad incompatible",IF(A1601="","Falta fecha","OK")))))</f>
        <v/>
      </c>
      <c r="J1601" s="15"/>
    </row>
    <row r="1602" customFormat="false" ht="15" hidden="false" customHeight="false" outlineLevel="0" collapsed="false">
      <c r="A1602" s="26"/>
      <c r="B1602" s="15"/>
      <c r="C1602" s="15"/>
      <c r="D1602" s="27"/>
      <c r="E1602" s="15"/>
      <c r="F1602" s="28"/>
      <c r="G1602" s="25" t="str">
        <f aca="true">IF(OR(D1602="",E1602=""),"",IFERROR(D1602*INDEX(UnidadesFactor,MATCH(E1602,Unidades,0)),""))</f>
        <v/>
      </c>
      <c r="H1602" s="17" t="str">
        <f aca="false">IF(I1602&lt;&gt;"OK","",IF(G1602=0,"",F1602/G1602))</f>
        <v/>
      </c>
      <c r="I1602" s="20" t="str">
        <f aca="true">IF(B1602="","",IF(ISNA(MATCH(B1602,ListaInsumos,0)),"Insumo no está en Insumos",IF(OR(D1602="",E1602="",F1602=""),"Faltan datos",IF(INDEX(UnidadesBase,MATCH(E1602,Unidades,0))&lt;&gt;INDEX(InsBase,MATCH(B1602,ListaInsumos,0)),"Unidad incompatible",IF(A1602="","Falta fecha","OK")))))</f>
        <v/>
      </c>
      <c r="J1602" s="15"/>
    </row>
    <row r="1603" customFormat="false" ht="15" hidden="false" customHeight="false" outlineLevel="0" collapsed="false">
      <c r="A1603" s="26"/>
      <c r="B1603" s="15"/>
      <c r="C1603" s="15"/>
      <c r="D1603" s="27"/>
      <c r="E1603" s="15"/>
      <c r="F1603" s="28"/>
      <c r="G1603" s="25" t="str">
        <f aca="true">IF(OR(D1603="",E1603=""),"",IFERROR(D1603*INDEX(UnidadesFactor,MATCH(E1603,Unidades,0)),""))</f>
        <v/>
      </c>
      <c r="H1603" s="17" t="str">
        <f aca="false">IF(I1603&lt;&gt;"OK","",IF(G1603=0,"",F1603/G1603))</f>
        <v/>
      </c>
      <c r="I1603" s="20" t="str">
        <f aca="true">IF(B1603="","",IF(ISNA(MATCH(B1603,ListaInsumos,0)),"Insumo no está en Insumos",IF(OR(D1603="",E1603="",F1603=""),"Faltan datos",IF(INDEX(UnidadesBase,MATCH(E1603,Unidades,0))&lt;&gt;INDEX(InsBase,MATCH(B1603,ListaInsumos,0)),"Unidad incompatible",IF(A1603="","Falta fecha","OK")))))</f>
        <v/>
      </c>
      <c r="J1603" s="15"/>
    </row>
    <row r="1604" customFormat="false" ht="15" hidden="false" customHeight="false" outlineLevel="0" collapsed="false">
      <c r="A1604" s="26"/>
      <c r="B1604" s="15"/>
      <c r="C1604" s="15"/>
      <c r="D1604" s="27"/>
      <c r="E1604" s="15"/>
      <c r="F1604" s="28"/>
      <c r="G1604" s="25" t="str">
        <f aca="true">IF(OR(D1604="",E1604=""),"",IFERROR(D1604*INDEX(UnidadesFactor,MATCH(E1604,Unidades,0)),""))</f>
        <v/>
      </c>
      <c r="H1604" s="17" t="str">
        <f aca="false">IF(I1604&lt;&gt;"OK","",IF(G1604=0,"",F1604/G1604))</f>
        <v/>
      </c>
      <c r="I1604" s="20" t="str">
        <f aca="true">IF(B1604="","",IF(ISNA(MATCH(B1604,ListaInsumos,0)),"Insumo no está en Insumos",IF(OR(D1604="",E1604="",F1604=""),"Faltan datos",IF(INDEX(UnidadesBase,MATCH(E1604,Unidades,0))&lt;&gt;INDEX(InsBase,MATCH(B1604,ListaInsumos,0)),"Unidad incompatible",IF(A1604="","Falta fecha","OK")))))</f>
        <v/>
      </c>
      <c r="J1604" s="15"/>
    </row>
    <row r="1605" customFormat="false" ht="15" hidden="false" customHeight="false" outlineLevel="0" collapsed="false">
      <c r="A1605" s="26"/>
      <c r="B1605" s="15"/>
      <c r="C1605" s="15"/>
      <c r="D1605" s="27"/>
      <c r="E1605" s="15"/>
      <c r="F1605" s="28"/>
      <c r="G1605" s="25" t="str">
        <f aca="true">IF(OR(D1605="",E1605=""),"",IFERROR(D1605*INDEX(UnidadesFactor,MATCH(E1605,Unidades,0)),""))</f>
        <v/>
      </c>
      <c r="H1605" s="17" t="str">
        <f aca="false">IF(I1605&lt;&gt;"OK","",IF(G1605=0,"",F1605/G1605))</f>
        <v/>
      </c>
      <c r="I1605" s="20" t="str">
        <f aca="true">IF(B1605="","",IF(ISNA(MATCH(B1605,ListaInsumos,0)),"Insumo no está en Insumos",IF(OR(D1605="",E1605="",F1605=""),"Faltan datos",IF(INDEX(UnidadesBase,MATCH(E1605,Unidades,0))&lt;&gt;INDEX(InsBase,MATCH(B1605,ListaInsumos,0)),"Unidad incompatible",IF(A1605="","Falta fecha","OK")))))</f>
        <v/>
      </c>
      <c r="J1605" s="15"/>
    </row>
    <row r="1606" customFormat="false" ht="15" hidden="false" customHeight="false" outlineLevel="0" collapsed="false">
      <c r="A1606" s="26"/>
      <c r="B1606" s="15"/>
      <c r="C1606" s="15"/>
      <c r="D1606" s="27"/>
      <c r="E1606" s="15"/>
      <c r="F1606" s="28"/>
      <c r="G1606" s="25" t="str">
        <f aca="true">IF(OR(D1606="",E1606=""),"",IFERROR(D1606*INDEX(UnidadesFactor,MATCH(E1606,Unidades,0)),""))</f>
        <v/>
      </c>
      <c r="H1606" s="17" t="str">
        <f aca="false">IF(I1606&lt;&gt;"OK","",IF(G1606=0,"",F1606/G1606))</f>
        <v/>
      </c>
      <c r="I1606" s="20" t="str">
        <f aca="true">IF(B1606="","",IF(ISNA(MATCH(B1606,ListaInsumos,0)),"Insumo no está en Insumos",IF(OR(D1606="",E1606="",F1606=""),"Faltan datos",IF(INDEX(UnidadesBase,MATCH(E1606,Unidades,0))&lt;&gt;INDEX(InsBase,MATCH(B1606,ListaInsumos,0)),"Unidad incompatible",IF(A1606="","Falta fecha","OK")))))</f>
        <v/>
      </c>
      <c r="J1606" s="15"/>
    </row>
    <row r="1607" customFormat="false" ht="15" hidden="false" customHeight="false" outlineLevel="0" collapsed="false">
      <c r="A1607" s="26"/>
      <c r="B1607" s="15"/>
      <c r="C1607" s="15"/>
      <c r="D1607" s="27"/>
      <c r="E1607" s="15"/>
      <c r="F1607" s="28"/>
      <c r="G1607" s="25" t="str">
        <f aca="true">IF(OR(D1607="",E1607=""),"",IFERROR(D1607*INDEX(UnidadesFactor,MATCH(E1607,Unidades,0)),""))</f>
        <v/>
      </c>
      <c r="H1607" s="17" t="str">
        <f aca="false">IF(I1607&lt;&gt;"OK","",IF(G1607=0,"",F1607/G1607))</f>
        <v/>
      </c>
      <c r="I1607" s="20" t="str">
        <f aca="true">IF(B1607="","",IF(ISNA(MATCH(B1607,ListaInsumos,0)),"Insumo no está en Insumos",IF(OR(D1607="",E1607="",F1607=""),"Faltan datos",IF(INDEX(UnidadesBase,MATCH(E1607,Unidades,0))&lt;&gt;INDEX(InsBase,MATCH(B1607,ListaInsumos,0)),"Unidad incompatible",IF(A1607="","Falta fecha","OK")))))</f>
        <v/>
      </c>
      <c r="J1607" s="15"/>
    </row>
    <row r="1608" customFormat="false" ht="15" hidden="false" customHeight="false" outlineLevel="0" collapsed="false">
      <c r="A1608" s="26"/>
      <c r="B1608" s="15"/>
      <c r="C1608" s="15"/>
      <c r="D1608" s="27"/>
      <c r="E1608" s="15"/>
      <c r="F1608" s="28"/>
      <c r="G1608" s="25" t="str">
        <f aca="true">IF(OR(D1608="",E1608=""),"",IFERROR(D1608*INDEX(UnidadesFactor,MATCH(E1608,Unidades,0)),""))</f>
        <v/>
      </c>
      <c r="H1608" s="17" t="str">
        <f aca="false">IF(I1608&lt;&gt;"OK","",IF(G1608=0,"",F1608/G1608))</f>
        <v/>
      </c>
      <c r="I1608" s="20" t="str">
        <f aca="true">IF(B1608="","",IF(ISNA(MATCH(B1608,ListaInsumos,0)),"Insumo no está en Insumos",IF(OR(D1608="",E1608="",F1608=""),"Faltan datos",IF(INDEX(UnidadesBase,MATCH(E1608,Unidades,0))&lt;&gt;INDEX(InsBase,MATCH(B1608,ListaInsumos,0)),"Unidad incompatible",IF(A1608="","Falta fecha","OK")))))</f>
        <v/>
      </c>
      <c r="J1608" s="15"/>
    </row>
    <row r="1609" customFormat="false" ht="15" hidden="false" customHeight="false" outlineLevel="0" collapsed="false">
      <c r="A1609" s="26"/>
      <c r="B1609" s="15"/>
      <c r="C1609" s="15"/>
      <c r="D1609" s="27"/>
      <c r="E1609" s="15"/>
      <c r="F1609" s="28"/>
      <c r="G1609" s="25" t="str">
        <f aca="true">IF(OR(D1609="",E1609=""),"",IFERROR(D1609*INDEX(UnidadesFactor,MATCH(E1609,Unidades,0)),""))</f>
        <v/>
      </c>
      <c r="H1609" s="17" t="str">
        <f aca="false">IF(I1609&lt;&gt;"OK","",IF(G1609=0,"",F1609/G1609))</f>
        <v/>
      </c>
      <c r="I1609" s="20" t="str">
        <f aca="true">IF(B1609="","",IF(ISNA(MATCH(B1609,ListaInsumos,0)),"Insumo no está en Insumos",IF(OR(D1609="",E1609="",F1609=""),"Faltan datos",IF(INDEX(UnidadesBase,MATCH(E1609,Unidades,0))&lt;&gt;INDEX(InsBase,MATCH(B1609,ListaInsumos,0)),"Unidad incompatible",IF(A1609="","Falta fecha","OK")))))</f>
        <v/>
      </c>
      <c r="J1609" s="15"/>
    </row>
    <row r="1610" customFormat="false" ht="15" hidden="false" customHeight="false" outlineLevel="0" collapsed="false">
      <c r="A1610" s="26"/>
      <c r="B1610" s="15"/>
      <c r="C1610" s="15"/>
      <c r="D1610" s="27"/>
      <c r="E1610" s="15"/>
      <c r="F1610" s="28"/>
      <c r="G1610" s="25" t="str">
        <f aca="true">IF(OR(D1610="",E1610=""),"",IFERROR(D1610*INDEX(UnidadesFactor,MATCH(E1610,Unidades,0)),""))</f>
        <v/>
      </c>
      <c r="H1610" s="17" t="str">
        <f aca="false">IF(I1610&lt;&gt;"OK","",IF(G1610=0,"",F1610/G1610))</f>
        <v/>
      </c>
      <c r="I1610" s="20" t="str">
        <f aca="true">IF(B1610="","",IF(ISNA(MATCH(B1610,ListaInsumos,0)),"Insumo no está en Insumos",IF(OR(D1610="",E1610="",F1610=""),"Faltan datos",IF(INDEX(UnidadesBase,MATCH(E1610,Unidades,0))&lt;&gt;INDEX(InsBase,MATCH(B1610,ListaInsumos,0)),"Unidad incompatible",IF(A1610="","Falta fecha","OK")))))</f>
        <v/>
      </c>
      <c r="J1610" s="15"/>
    </row>
    <row r="1611" customFormat="false" ht="15" hidden="false" customHeight="false" outlineLevel="0" collapsed="false">
      <c r="A1611" s="26"/>
      <c r="B1611" s="15"/>
      <c r="C1611" s="15"/>
      <c r="D1611" s="27"/>
      <c r="E1611" s="15"/>
      <c r="F1611" s="28"/>
      <c r="G1611" s="25" t="str">
        <f aca="true">IF(OR(D1611="",E1611=""),"",IFERROR(D1611*INDEX(UnidadesFactor,MATCH(E1611,Unidades,0)),""))</f>
        <v/>
      </c>
      <c r="H1611" s="17" t="str">
        <f aca="false">IF(I1611&lt;&gt;"OK","",IF(G1611=0,"",F1611/G1611))</f>
        <v/>
      </c>
      <c r="I1611" s="20" t="str">
        <f aca="true">IF(B1611="","",IF(ISNA(MATCH(B1611,ListaInsumos,0)),"Insumo no está en Insumos",IF(OR(D1611="",E1611="",F1611=""),"Faltan datos",IF(INDEX(UnidadesBase,MATCH(E1611,Unidades,0))&lt;&gt;INDEX(InsBase,MATCH(B1611,ListaInsumos,0)),"Unidad incompatible",IF(A1611="","Falta fecha","OK")))))</f>
        <v/>
      </c>
      <c r="J1611" s="15"/>
    </row>
    <row r="1612" customFormat="false" ht="15" hidden="false" customHeight="false" outlineLevel="0" collapsed="false">
      <c r="A1612" s="26"/>
      <c r="B1612" s="15"/>
      <c r="C1612" s="15"/>
      <c r="D1612" s="27"/>
      <c r="E1612" s="15"/>
      <c r="F1612" s="28"/>
      <c r="G1612" s="25" t="str">
        <f aca="true">IF(OR(D1612="",E1612=""),"",IFERROR(D1612*INDEX(UnidadesFactor,MATCH(E1612,Unidades,0)),""))</f>
        <v/>
      </c>
      <c r="H1612" s="17" t="str">
        <f aca="false">IF(I1612&lt;&gt;"OK","",IF(G1612=0,"",F1612/G1612))</f>
        <v/>
      </c>
      <c r="I1612" s="20" t="str">
        <f aca="true">IF(B1612="","",IF(ISNA(MATCH(B1612,ListaInsumos,0)),"Insumo no está en Insumos",IF(OR(D1612="",E1612="",F1612=""),"Faltan datos",IF(INDEX(UnidadesBase,MATCH(E1612,Unidades,0))&lt;&gt;INDEX(InsBase,MATCH(B1612,ListaInsumos,0)),"Unidad incompatible",IF(A1612="","Falta fecha","OK")))))</f>
        <v/>
      </c>
      <c r="J1612" s="15"/>
    </row>
    <row r="1613" customFormat="false" ht="15" hidden="false" customHeight="false" outlineLevel="0" collapsed="false">
      <c r="A1613" s="26"/>
      <c r="B1613" s="15"/>
      <c r="C1613" s="15"/>
      <c r="D1613" s="27"/>
      <c r="E1613" s="15"/>
      <c r="F1613" s="28"/>
      <c r="G1613" s="25" t="str">
        <f aca="true">IF(OR(D1613="",E1613=""),"",IFERROR(D1613*INDEX(UnidadesFactor,MATCH(E1613,Unidades,0)),""))</f>
        <v/>
      </c>
      <c r="H1613" s="17" t="str">
        <f aca="false">IF(I1613&lt;&gt;"OK","",IF(G1613=0,"",F1613/G1613))</f>
        <v/>
      </c>
      <c r="I1613" s="20" t="str">
        <f aca="true">IF(B1613="","",IF(ISNA(MATCH(B1613,ListaInsumos,0)),"Insumo no está en Insumos",IF(OR(D1613="",E1613="",F1613=""),"Faltan datos",IF(INDEX(UnidadesBase,MATCH(E1613,Unidades,0))&lt;&gt;INDEX(InsBase,MATCH(B1613,ListaInsumos,0)),"Unidad incompatible",IF(A1613="","Falta fecha","OK")))))</f>
        <v/>
      </c>
      <c r="J1613" s="15"/>
    </row>
    <row r="1614" customFormat="false" ht="15" hidden="false" customHeight="false" outlineLevel="0" collapsed="false">
      <c r="A1614" s="26"/>
      <c r="B1614" s="15"/>
      <c r="C1614" s="15"/>
      <c r="D1614" s="27"/>
      <c r="E1614" s="15"/>
      <c r="F1614" s="28"/>
      <c r="G1614" s="25" t="str">
        <f aca="true">IF(OR(D1614="",E1614=""),"",IFERROR(D1614*INDEX(UnidadesFactor,MATCH(E1614,Unidades,0)),""))</f>
        <v/>
      </c>
      <c r="H1614" s="17" t="str">
        <f aca="false">IF(I1614&lt;&gt;"OK","",IF(G1614=0,"",F1614/G1614))</f>
        <v/>
      </c>
      <c r="I1614" s="20" t="str">
        <f aca="true">IF(B1614="","",IF(ISNA(MATCH(B1614,ListaInsumos,0)),"Insumo no está en Insumos",IF(OR(D1614="",E1614="",F1614=""),"Faltan datos",IF(INDEX(UnidadesBase,MATCH(E1614,Unidades,0))&lt;&gt;INDEX(InsBase,MATCH(B1614,ListaInsumos,0)),"Unidad incompatible",IF(A1614="","Falta fecha","OK")))))</f>
        <v/>
      </c>
      <c r="J1614" s="15"/>
    </row>
    <row r="1615" customFormat="false" ht="15" hidden="false" customHeight="false" outlineLevel="0" collapsed="false">
      <c r="A1615" s="26"/>
      <c r="B1615" s="15"/>
      <c r="C1615" s="15"/>
      <c r="D1615" s="27"/>
      <c r="E1615" s="15"/>
      <c r="F1615" s="28"/>
      <c r="G1615" s="25" t="str">
        <f aca="true">IF(OR(D1615="",E1615=""),"",IFERROR(D1615*INDEX(UnidadesFactor,MATCH(E1615,Unidades,0)),""))</f>
        <v/>
      </c>
      <c r="H1615" s="17" t="str">
        <f aca="false">IF(I1615&lt;&gt;"OK","",IF(G1615=0,"",F1615/G1615))</f>
        <v/>
      </c>
      <c r="I1615" s="20" t="str">
        <f aca="true">IF(B1615="","",IF(ISNA(MATCH(B1615,ListaInsumos,0)),"Insumo no está en Insumos",IF(OR(D1615="",E1615="",F1615=""),"Faltan datos",IF(INDEX(UnidadesBase,MATCH(E1615,Unidades,0))&lt;&gt;INDEX(InsBase,MATCH(B1615,ListaInsumos,0)),"Unidad incompatible",IF(A1615="","Falta fecha","OK")))))</f>
        <v/>
      </c>
      <c r="J1615" s="15"/>
    </row>
    <row r="1616" customFormat="false" ht="15" hidden="false" customHeight="false" outlineLevel="0" collapsed="false">
      <c r="A1616" s="26"/>
      <c r="B1616" s="15"/>
      <c r="C1616" s="15"/>
      <c r="D1616" s="27"/>
      <c r="E1616" s="15"/>
      <c r="F1616" s="28"/>
      <c r="G1616" s="25" t="str">
        <f aca="true">IF(OR(D1616="",E1616=""),"",IFERROR(D1616*INDEX(UnidadesFactor,MATCH(E1616,Unidades,0)),""))</f>
        <v/>
      </c>
      <c r="H1616" s="17" t="str">
        <f aca="false">IF(I1616&lt;&gt;"OK","",IF(G1616=0,"",F1616/G1616))</f>
        <v/>
      </c>
      <c r="I1616" s="20" t="str">
        <f aca="true">IF(B1616="","",IF(ISNA(MATCH(B1616,ListaInsumos,0)),"Insumo no está en Insumos",IF(OR(D1616="",E1616="",F1616=""),"Faltan datos",IF(INDEX(UnidadesBase,MATCH(E1616,Unidades,0))&lt;&gt;INDEX(InsBase,MATCH(B1616,ListaInsumos,0)),"Unidad incompatible",IF(A1616="","Falta fecha","OK")))))</f>
        <v/>
      </c>
      <c r="J1616" s="15"/>
    </row>
    <row r="1617" customFormat="false" ht="15" hidden="false" customHeight="false" outlineLevel="0" collapsed="false">
      <c r="A1617" s="26"/>
      <c r="B1617" s="15"/>
      <c r="C1617" s="15"/>
      <c r="D1617" s="27"/>
      <c r="E1617" s="15"/>
      <c r="F1617" s="28"/>
      <c r="G1617" s="25" t="str">
        <f aca="true">IF(OR(D1617="",E1617=""),"",IFERROR(D1617*INDEX(UnidadesFactor,MATCH(E1617,Unidades,0)),""))</f>
        <v/>
      </c>
      <c r="H1617" s="17" t="str">
        <f aca="false">IF(I1617&lt;&gt;"OK","",IF(G1617=0,"",F1617/G1617))</f>
        <v/>
      </c>
      <c r="I1617" s="20" t="str">
        <f aca="true">IF(B1617="","",IF(ISNA(MATCH(B1617,ListaInsumos,0)),"Insumo no está en Insumos",IF(OR(D1617="",E1617="",F1617=""),"Faltan datos",IF(INDEX(UnidadesBase,MATCH(E1617,Unidades,0))&lt;&gt;INDEX(InsBase,MATCH(B1617,ListaInsumos,0)),"Unidad incompatible",IF(A1617="","Falta fecha","OK")))))</f>
        <v/>
      </c>
      <c r="J1617" s="15"/>
    </row>
    <row r="1618" customFormat="false" ht="15" hidden="false" customHeight="false" outlineLevel="0" collapsed="false">
      <c r="A1618" s="26"/>
      <c r="B1618" s="15"/>
      <c r="C1618" s="15"/>
      <c r="D1618" s="27"/>
      <c r="E1618" s="15"/>
      <c r="F1618" s="28"/>
      <c r="G1618" s="25" t="str">
        <f aca="true">IF(OR(D1618="",E1618=""),"",IFERROR(D1618*INDEX(UnidadesFactor,MATCH(E1618,Unidades,0)),""))</f>
        <v/>
      </c>
      <c r="H1618" s="17" t="str">
        <f aca="false">IF(I1618&lt;&gt;"OK","",IF(G1618=0,"",F1618/G1618))</f>
        <v/>
      </c>
      <c r="I1618" s="20" t="str">
        <f aca="true">IF(B1618="","",IF(ISNA(MATCH(B1618,ListaInsumos,0)),"Insumo no está en Insumos",IF(OR(D1618="",E1618="",F1618=""),"Faltan datos",IF(INDEX(UnidadesBase,MATCH(E1618,Unidades,0))&lt;&gt;INDEX(InsBase,MATCH(B1618,ListaInsumos,0)),"Unidad incompatible",IF(A1618="","Falta fecha","OK")))))</f>
        <v/>
      </c>
      <c r="J1618" s="15"/>
    </row>
    <row r="1619" customFormat="false" ht="15" hidden="false" customHeight="false" outlineLevel="0" collapsed="false">
      <c r="A1619" s="26"/>
      <c r="B1619" s="15"/>
      <c r="C1619" s="15"/>
      <c r="D1619" s="27"/>
      <c r="E1619" s="15"/>
      <c r="F1619" s="28"/>
      <c r="G1619" s="25" t="str">
        <f aca="true">IF(OR(D1619="",E1619=""),"",IFERROR(D1619*INDEX(UnidadesFactor,MATCH(E1619,Unidades,0)),""))</f>
        <v/>
      </c>
      <c r="H1619" s="17" t="str">
        <f aca="false">IF(I1619&lt;&gt;"OK","",IF(G1619=0,"",F1619/G1619))</f>
        <v/>
      </c>
      <c r="I1619" s="20" t="str">
        <f aca="true">IF(B1619="","",IF(ISNA(MATCH(B1619,ListaInsumos,0)),"Insumo no está en Insumos",IF(OR(D1619="",E1619="",F1619=""),"Faltan datos",IF(INDEX(UnidadesBase,MATCH(E1619,Unidades,0))&lt;&gt;INDEX(InsBase,MATCH(B1619,ListaInsumos,0)),"Unidad incompatible",IF(A1619="","Falta fecha","OK")))))</f>
        <v/>
      </c>
      <c r="J1619" s="15"/>
    </row>
    <row r="1620" customFormat="false" ht="15" hidden="false" customHeight="false" outlineLevel="0" collapsed="false">
      <c r="A1620" s="26"/>
      <c r="B1620" s="15"/>
      <c r="C1620" s="15"/>
      <c r="D1620" s="27"/>
      <c r="E1620" s="15"/>
      <c r="F1620" s="28"/>
      <c r="G1620" s="25" t="str">
        <f aca="true">IF(OR(D1620="",E1620=""),"",IFERROR(D1620*INDEX(UnidadesFactor,MATCH(E1620,Unidades,0)),""))</f>
        <v/>
      </c>
      <c r="H1620" s="17" t="str">
        <f aca="false">IF(I1620&lt;&gt;"OK","",IF(G1620=0,"",F1620/G1620))</f>
        <v/>
      </c>
      <c r="I1620" s="20" t="str">
        <f aca="true">IF(B1620="","",IF(ISNA(MATCH(B1620,ListaInsumos,0)),"Insumo no está en Insumos",IF(OR(D1620="",E1620="",F1620=""),"Faltan datos",IF(INDEX(UnidadesBase,MATCH(E1620,Unidades,0))&lt;&gt;INDEX(InsBase,MATCH(B1620,ListaInsumos,0)),"Unidad incompatible",IF(A1620="","Falta fecha","OK")))))</f>
        <v/>
      </c>
      <c r="J1620" s="15"/>
    </row>
    <row r="1621" customFormat="false" ht="15" hidden="false" customHeight="false" outlineLevel="0" collapsed="false">
      <c r="A1621" s="26"/>
      <c r="B1621" s="15"/>
      <c r="C1621" s="15"/>
      <c r="D1621" s="27"/>
      <c r="E1621" s="15"/>
      <c r="F1621" s="28"/>
      <c r="G1621" s="25" t="str">
        <f aca="true">IF(OR(D1621="",E1621=""),"",IFERROR(D1621*INDEX(UnidadesFactor,MATCH(E1621,Unidades,0)),""))</f>
        <v/>
      </c>
      <c r="H1621" s="17" t="str">
        <f aca="false">IF(I1621&lt;&gt;"OK","",IF(G1621=0,"",F1621/G1621))</f>
        <v/>
      </c>
      <c r="I1621" s="20" t="str">
        <f aca="true">IF(B1621="","",IF(ISNA(MATCH(B1621,ListaInsumos,0)),"Insumo no está en Insumos",IF(OR(D1621="",E1621="",F1621=""),"Faltan datos",IF(INDEX(UnidadesBase,MATCH(E1621,Unidades,0))&lt;&gt;INDEX(InsBase,MATCH(B1621,ListaInsumos,0)),"Unidad incompatible",IF(A1621="","Falta fecha","OK")))))</f>
        <v/>
      </c>
      <c r="J1621" s="15"/>
    </row>
    <row r="1622" customFormat="false" ht="15" hidden="false" customHeight="false" outlineLevel="0" collapsed="false">
      <c r="A1622" s="26"/>
      <c r="B1622" s="15"/>
      <c r="C1622" s="15"/>
      <c r="D1622" s="27"/>
      <c r="E1622" s="15"/>
      <c r="F1622" s="28"/>
      <c r="G1622" s="25" t="str">
        <f aca="true">IF(OR(D1622="",E1622=""),"",IFERROR(D1622*INDEX(UnidadesFactor,MATCH(E1622,Unidades,0)),""))</f>
        <v/>
      </c>
      <c r="H1622" s="17" t="str">
        <f aca="false">IF(I1622&lt;&gt;"OK","",IF(G1622=0,"",F1622/G1622))</f>
        <v/>
      </c>
      <c r="I1622" s="20" t="str">
        <f aca="true">IF(B1622="","",IF(ISNA(MATCH(B1622,ListaInsumos,0)),"Insumo no está en Insumos",IF(OR(D1622="",E1622="",F1622=""),"Faltan datos",IF(INDEX(UnidadesBase,MATCH(E1622,Unidades,0))&lt;&gt;INDEX(InsBase,MATCH(B1622,ListaInsumos,0)),"Unidad incompatible",IF(A1622="","Falta fecha","OK")))))</f>
        <v/>
      </c>
      <c r="J1622" s="15"/>
    </row>
    <row r="1623" customFormat="false" ht="15" hidden="false" customHeight="false" outlineLevel="0" collapsed="false">
      <c r="A1623" s="26"/>
      <c r="B1623" s="15"/>
      <c r="C1623" s="15"/>
      <c r="D1623" s="27"/>
      <c r="E1623" s="15"/>
      <c r="F1623" s="28"/>
      <c r="G1623" s="25" t="str">
        <f aca="true">IF(OR(D1623="",E1623=""),"",IFERROR(D1623*INDEX(UnidadesFactor,MATCH(E1623,Unidades,0)),""))</f>
        <v/>
      </c>
      <c r="H1623" s="17" t="str">
        <f aca="false">IF(I1623&lt;&gt;"OK","",IF(G1623=0,"",F1623/G1623))</f>
        <v/>
      </c>
      <c r="I1623" s="20" t="str">
        <f aca="true">IF(B1623="","",IF(ISNA(MATCH(B1623,ListaInsumos,0)),"Insumo no está en Insumos",IF(OR(D1623="",E1623="",F1623=""),"Faltan datos",IF(INDEX(UnidadesBase,MATCH(E1623,Unidades,0))&lt;&gt;INDEX(InsBase,MATCH(B1623,ListaInsumos,0)),"Unidad incompatible",IF(A1623="","Falta fecha","OK")))))</f>
        <v/>
      </c>
      <c r="J1623" s="15"/>
    </row>
    <row r="1624" customFormat="false" ht="15" hidden="false" customHeight="false" outlineLevel="0" collapsed="false">
      <c r="A1624" s="26"/>
      <c r="B1624" s="15"/>
      <c r="C1624" s="15"/>
      <c r="D1624" s="27"/>
      <c r="E1624" s="15"/>
      <c r="F1624" s="28"/>
      <c r="G1624" s="25" t="str">
        <f aca="true">IF(OR(D1624="",E1624=""),"",IFERROR(D1624*INDEX(UnidadesFactor,MATCH(E1624,Unidades,0)),""))</f>
        <v/>
      </c>
      <c r="H1624" s="17" t="str">
        <f aca="false">IF(I1624&lt;&gt;"OK","",IF(G1624=0,"",F1624/G1624))</f>
        <v/>
      </c>
      <c r="I1624" s="20" t="str">
        <f aca="true">IF(B1624="","",IF(ISNA(MATCH(B1624,ListaInsumos,0)),"Insumo no está en Insumos",IF(OR(D1624="",E1624="",F1624=""),"Faltan datos",IF(INDEX(UnidadesBase,MATCH(E1624,Unidades,0))&lt;&gt;INDEX(InsBase,MATCH(B1624,ListaInsumos,0)),"Unidad incompatible",IF(A1624="","Falta fecha","OK")))))</f>
        <v/>
      </c>
      <c r="J1624" s="15"/>
    </row>
    <row r="1625" customFormat="false" ht="15" hidden="false" customHeight="false" outlineLevel="0" collapsed="false">
      <c r="A1625" s="26"/>
      <c r="B1625" s="15"/>
      <c r="C1625" s="15"/>
      <c r="D1625" s="27"/>
      <c r="E1625" s="15"/>
      <c r="F1625" s="28"/>
      <c r="G1625" s="25" t="str">
        <f aca="true">IF(OR(D1625="",E1625=""),"",IFERROR(D1625*INDEX(UnidadesFactor,MATCH(E1625,Unidades,0)),""))</f>
        <v/>
      </c>
      <c r="H1625" s="17" t="str">
        <f aca="false">IF(I1625&lt;&gt;"OK","",IF(G1625=0,"",F1625/G1625))</f>
        <v/>
      </c>
      <c r="I1625" s="20" t="str">
        <f aca="true">IF(B1625="","",IF(ISNA(MATCH(B1625,ListaInsumos,0)),"Insumo no está en Insumos",IF(OR(D1625="",E1625="",F1625=""),"Faltan datos",IF(INDEX(UnidadesBase,MATCH(E1625,Unidades,0))&lt;&gt;INDEX(InsBase,MATCH(B1625,ListaInsumos,0)),"Unidad incompatible",IF(A1625="","Falta fecha","OK")))))</f>
        <v/>
      </c>
      <c r="J1625" s="15"/>
    </row>
    <row r="1626" customFormat="false" ht="15" hidden="false" customHeight="false" outlineLevel="0" collapsed="false">
      <c r="A1626" s="26"/>
      <c r="B1626" s="15"/>
      <c r="C1626" s="15"/>
      <c r="D1626" s="27"/>
      <c r="E1626" s="15"/>
      <c r="F1626" s="28"/>
      <c r="G1626" s="25" t="str">
        <f aca="true">IF(OR(D1626="",E1626=""),"",IFERROR(D1626*INDEX(UnidadesFactor,MATCH(E1626,Unidades,0)),""))</f>
        <v/>
      </c>
      <c r="H1626" s="17" t="str">
        <f aca="false">IF(I1626&lt;&gt;"OK","",IF(G1626=0,"",F1626/G1626))</f>
        <v/>
      </c>
      <c r="I1626" s="20" t="str">
        <f aca="true">IF(B1626="","",IF(ISNA(MATCH(B1626,ListaInsumos,0)),"Insumo no está en Insumos",IF(OR(D1626="",E1626="",F1626=""),"Faltan datos",IF(INDEX(UnidadesBase,MATCH(E1626,Unidades,0))&lt;&gt;INDEX(InsBase,MATCH(B1626,ListaInsumos,0)),"Unidad incompatible",IF(A1626="","Falta fecha","OK")))))</f>
        <v/>
      </c>
      <c r="J1626" s="15"/>
    </row>
    <row r="1627" customFormat="false" ht="15" hidden="false" customHeight="false" outlineLevel="0" collapsed="false">
      <c r="A1627" s="26"/>
      <c r="B1627" s="15"/>
      <c r="C1627" s="15"/>
      <c r="D1627" s="27"/>
      <c r="E1627" s="15"/>
      <c r="F1627" s="28"/>
      <c r="G1627" s="25" t="str">
        <f aca="true">IF(OR(D1627="",E1627=""),"",IFERROR(D1627*INDEX(UnidadesFactor,MATCH(E1627,Unidades,0)),""))</f>
        <v/>
      </c>
      <c r="H1627" s="17" t="str">
        <f aca="false">IF(I1627&lt;&gt;"OK","",IF(G1627=0,"",F1627/G1627))</f>
        <v/>
      </c>
      <c r="I1627" s="20" t="str">
        <f aca="true">IF(B1627="","",IF(ISNA(MATCH(B1627,ListaInsumos,0)),"Insumo no está en Insumos",IF(OR(D1627="",E1627="",F1627=""),"Faltan datos",IF(INDEX(UnidadesBase,MATCH(E1627,Unidades,0))&lt;&gt;INDEX(InsBase,MATCH(B1627,ListaInsumos,0)),"Unidad incompatible",IF(A1627="","Falta fecha","OK")))))</f>
        <v/>
      </c>
      <c r="J1627" s="15"/>
    </row>
    <row r="1628" customFormat="false" ht="15" hidden="false" customHeight="false" outlineLevel="0" collapsed="false">
      <c r="A1628" s="26"/>
      <c r="B1628" s="15"/>
      <c r="C1628" s="15"/>
      <c r="D1628" s="27"/>
      <c r="E1628" s="15"/>
      <c r="F1628" s="28"/>
      <c r="G1628" s="25" t="str">
        <f aca="true">IF(OR(D1628="",E1628=""),"",IFERROR(D1628*INDEX(UnidadesFactor,MATCH(E1628,Unidades,0)),""))</f>
        <v/>
      </c>
      <c r="H1628" s="17" t="str">
        <f aca="false">IF(I1628&lt;&gt;"OK","",IF(G1628=0,"",F1628/G1628))</f>
        <v/>
      </c>
      <c r="I1628" s="20" t="str">
        <f aca="true">IF(B1628="","",IF(ISNA(MATCH(B1628,ListaInsumos,0)),"Insumo no está en Insumos",IF(OR(D1628="",E1628="",F1628=""),"Faltan datos",IF(INDEX(UnidadesBase,MATCH(E1628,Unidades,0))&lt;&gt;INDEX(InsBase,MATCH(B1628,ListaInsumos,0)),"Unidad incompatible",IF(A1628="","Falta fecha","OK")))))</f>
        <v/>
      </c>
      <c r="J1628" s="15"/>
    </row>
    <row r="1629" customFormat="false" ht="15" hidden="false" customHeight="false" outlineLevel="0" collapsed="false">
      <c r="A1629" s="26"/>
      <c r="B1629" s="15"/>
      <c r="C1629" s="15"/>
      <c r="D1629" s="27"/>
      <c r="E1629" s="15"/>
      <c r="F1629" s="28"/>
      <c r="G1629" s="25" t="str">
        <f aca="true">IF(OR(D1629="",E1629=""),"",IFERROR(D1629*INDEX(UnidadesFactor,MATCH(E1629,Unidades,0)),""))</f>
        <v/>
      </c>
      <c r="H1629" s="17" t="str">
        <f aca="false">IF(I1629&lt;&gt;"OK","",IF(G1629=0,"",F1629/G1629))</f>
        <v/>
      </c>
      <c r="I1629" s="20" t="str">
        <f aca="true">IF(B1629="","",IF(ISNA(MATCH(B1629,ListaInsumos,0)),"Insumo no está en Insumos",IF(OR(D1629="",E1629="",F1629=""),"Faltan datos",IF(INDEX(UnidadesBase,MATCH(E1629,Unidades,0))&lt;&gt;INDEX(InsBase,MATCH(B1629,ListaInsumos,0)),"Unidad incompatible",IF(A1629="","Falta fecha","OK")))))</f>
        <v/>
      </c>
      <c r="J1629" s="15"/>
    </row>
    <row r="1630" customFormat="false" ht="15" hidden="false" customHeight="false" outlineLevel="0" collapsed="false">
      <c r="A1630" s="26"/>
      <c r="B1630" s="15"/>
      <c r="C1630" s="15"/>
      <c r="D1630" s="27"/>
      <c r="E1630" s="15"/>
      <c r="F1630" s="28"/>
      <c r="G1630" s="25" t="str">
        <f aca="true">IF(OR(D1630="",E1630=""),"",IFERROR(D1630*INDEX(UnidadesFactor,MATCH(E1630,Unidades,0)),""))</f>
        <v/>
      </c>
      <c r="H1630" s="17" t="str">
        <f aca="false">IF(I1630&lt;&gt;"OK","",IF(G1630=0,"",F1630/G1630))</f>
        <v/>
      </c>
      <c r="I1630" s="20" t="str">
        <f aca="true">IF(B1630="","",IF(ISNA(MATCH(B1630,ListaInsumos,0)),"Insumo no está en Insumos",IF(OR(D1630="",E1630="",F1630=""),"Faltan datos",IF(INDEX(UnidadesBase,MATCH(E1630,Unidades,0))&lt;&gt;INDEX(InsBase,MATCH(B1630,ListaInsumos,0)),"Unidad incompatible",IF(A1630="","Falta fecha","OK")))))</f>
        <v/>
      </c>
      <c r="J1630" s="15"/>
    </row>
    <row r="1631" customFormat="false" ht="15" hidden="false" customHeight="false" outlineLevel="0" collapsed="false">
      <c r="A1631" s="26"/>
      <c r="B1631" s="15"/>
      <c r="C1631" s="15"/>
      <c r="D1631" s="27"/>
      <c r="E1631" s="15"/>
      <c r="F1631" s="28"/>
      <c r="G1631" s="25" t="str">
        <f aca="true">IF(OR(D1631="",E1631=""),"",IFERROR(D1631*INDEX(UnidadesFactor,MATCH(E1631,Unidades,0)),""))</f>
        <v/>
      </c>
      <c r="H1631" s="17" t="str">
        <f aca="false">IF(I1631&lt;&gt;"OK","",IF(G1631=0,"",F1631/G1631))</f>
        <v/>
      </c>
      <c r="I1631" s="20" t="str">
        <f aca="true">IF(B1631="","",IF(ISNA(MATCH(B1631,ListaInsumos,0)),"Insumo no está en Insumos",IF(OR(D1631="",E1631="",F1631=""),"Faltan datos",IF(INDEX(UnidadesBase,MATCH(E1631,Unidades,0))&lt;&gt;INDEX(InsBase,MATCH(B1631,ListaInsumos,0)),"Unidad incompatible",IF(A1631="","Falta fecha","OK")))))</f>
        <v/>
      </c>
      <c r="J1631" s="15"/>
    </row>
    <row r="1632" customFormat="false" ht="15" hidden="false" customHeight="false" outlineLevel="0" collapsed="false">
      <c r="A1632" s="26"/>
      <c r="B1632" s="15"/>
      <c r="C1632" s="15"/>
      <c r="D1632" s="27"/>
      <c r="E1632" s="15"/>
      <c r="F1632" s="28"/>
      <c r="G1632" s="25" t="str">
        <f aca="true">IF(OR(D1632="",E1632=""),"",IFERROR(D1632*INDEX(UnidadesFactor,MATCH(E1632,Unidades,0)),""))</f>
        <v/>
      </c>
      <c r="H1632" s="17" t="str">
        <f aca="false">IF(I1632&lt;&gt;"OK","",IF(G1632=0,"",F1632/G1632))</f>
        <v/>
      </c>
      <c r="I1632" s="20" t="str">
        <f aca="true">IF(B1632="","",IF(ISNA(MATCH(B1632,ListaInsumos,0)),"Insumo no está en Insumos",IF(OR(D1632="",E1632="",F1632=""),"Faltan datos",IF(INDEX(UnidadesBase,MATCH(E1632,Unidades,0))&lt;&gt;INDEX(InsBase,MATCH(B1632,ListaInsumos,0)),"Unidad incompatible",IF(A1632="","Falta fecha","OK")))))</f>
        <v/>
      </c>
      <c r="J1632" s="15"/>
    </row>
    <row r="1633" customFormat="false" ht="15" hidden="false" customHeight="false" outlineLevel="0" collapsed="false">
      <c r="A1633" s="26"/>
      <c r="B1633" s="15"/>
      <c r="C1633" s="15"/>
      <c r="D1633" s="27"/>
      <c r="E1633" s="15"/>
      <c r="F1633" s="28"/>
      <c r="G1633" s="25" t="str">
        <f aca="true">IF(OR(D1633="",E1633=""),"",IFERROR(D1633*INDEX(UnidadesFactor,MATCH(E1633,Unidades,0)),""))</f>
        <v/>
      </c>
      <c r="H1633" s="17" t="str">
        <f aca="false">IF(I1633&lt;&gt;"OK","",IF(G1633=0,"",F1633/G1633))</f>
        <v/>
      </c>
      <c r="I1633" s="20" t="str">
        <f aca="true">IF(B1633="","",IF(ISNA(MATCH(B1633,ListaInsumos,0)),"Insumo no está en Insumos",IF(OR(D1633="",E1633="",F1633=""),"Faltan datos",IF(INDEX(UnidadesBase,MATCH(E1633,Unidades,0))&lt;&gt;INDEX(InsBase,MATCH(B1633,ListaInsumos,0)),"Unidad incompatible",IF(A1633="","Falta fecha","OK")))))</f>
        <v/>
      </c>
      <c r="J1633" s="15"/>
    </row>
    <row r="1634" customFormat="false" ht="15" hidden="false" customHeight="false" outlineLevel="0" collapsed="false">
      <c r="A1634" s="26"/>
      <c r="B1634" s="15"/>
      <c r="C1634" s="15"/>
      <c r="D1634" s="27"/>
      <c r="E1634" s="15"/>
      <c r="F1634" s="28"/>
      <c r="G1634" s="25" t="str">
        <f aca="true">IF(OR(D1634="",E1634=""),"",IFERROR(D1634*INDEX(UnidadesFactor,MATCH(E1634,Unidades,0)),""))</f>
        <v/>
      </c>
      <c r="H1634" s="17" t="str">
        <f aca="false">IF(I1634&lt;&gt;"OK","",IF(G1634=0,"",F1634/G1634))</f>
        <v/>
      </c>
      <c r="I1634" s="20" t="str">
        <f aca="true">IF(B1634="","",IF(ISNA(MATCH(B1634,ListaInsumos,0)),"Insumo no está en Insumos",IF(OR(D1634="",E1634="",F1634=""),"Faltan datos",IF(INDEX(UnidadesBase,MATCH(E1634,Unidades,0))&lt;&gt;INDEX(InsBase,MATCH(B1634,ListaInsumos,0)),"Unidad incompatible",IF(A1634="","Falta fecha","OK")))))</f>
        <v/>
      </c>
      <c r="J1634" s="15"/>
    </row>
    <row r="1635" customFormat="false" ht="15" hidden="false" customHeight="false" outlineLevel="0" collapsed="false">
      <c r="A1635" s="26"/>
      <c r="B1635" s="15"/>
      <c r="C1635" s="15"/>
      <c r="D1635" s="27"/>
      <c r="E1635" s="15"/>
      <c r="F1635" s="28"/>
      <c r="G1635" s="25" t="str">
        <f aca="true">IF(OR(D1635="",E1635=""),"",IFERROR(D1635*INDEX(UnidadesFactor,MATCH(E1635,Unidades,0)),""))</f>
        <v/>
      </c>
      <c r="H1635" s="17" t="str">
        <f aca="false">IF(I1635&lt;&gt;"OK","",IF(G1635=0,"",F1635/G1635))</f>
        <v/>
      </c>
      <c r="I1635" s="20" t="str">
        <f aca="true">IF(B1635="","",IF(ISNA(MATCH(B1635,ListaInsumos,0)),"Insumo no está en Insumos",IF(OR(D1635="",E1635="",F1635=""),"Faltan datos",IF(INDEX(UnidadesBase,MATCH(E1635,Unidades,0))&lt;&gt;INDEX(InsBase,MATCH(B1635,ListaInsumos,0)),"Unidad incompatible",IF(A1635="","Falta fecha","OK")))))</f>
        <v/>
      </c>
      <c r="J1635" s="15"/>
    </row>
    <row r="1636" customFormat="false" ht="15" hidden="false" customHeight="false" outlineLevel="0" collapsed="false">
      <c r="A1636" s="26"/>
      <c r="B1636" s="15"/>
      <c r="C1636" s="15"/>
      <c r="D1636" s="27"/>
      <c r="E1636" s="15"/>
      <c r="F1636" s="28"/>
      <c r="G1636" s="25" t="str">
        <f aca="true">IF(OR(D1636="",E1636=""),"",IFERROR(D1636*INDEX(UnidadesFactor,MATCH(E1636,Unidades,0)),""))</f>
        <v/>
      </c>
      <c r="H1636" s="17" t="str">
        <f aca="false">IF(I1636&lt;&gt;"OK","",IF(G1636=0,"",F1636/G1636))</f>
        <v/>
      </c>
      <c r="I1636" s="20" t="str">
        <f aca="true">IF(B1636="","",IF(ISNA(MATCH(B1636,ListaInsumos,0)),"Insumo no está en Insumos",IF(OR(D1636="",E1636="",F1636=""),"Faltan datos",IF(INDEX(UnidadesBase,MATCH(E1636,Unidades,0))&lt;&gt;INDEX(InsBase,MATCH(B1636,ListaInsumos,0)),"Unidad incompatible",IF(A1636="","Falta fecha","OK")))))</f>
        <v/>
      </c>
      <c r="J1636" s="15"/>
    </row>
    <row r="1637" customFormat="false" ht="15" hidden="false" customHeight="false" outlineLevel="0" collapsed="false">
      <c r="A1637" s="26"/>
      <c r="B1637" s="15"/>
      <c r="C1637" s="15"/>
      <c r="D1637" s="27"/>
      <c r="E1637" s="15"/>
      <c r="F1637" s="28"/>
      <c r="G1637" s="25" t="str">
        <f aca="true">IF(OR(D1637="",E1637=""),"",IFERROR(D1637*INDEX(UnidadesFactor,MATCH(E1637,Unidades,0)),""))</f>
        <v/>
      </c>
      <c r="H1637" s="17" t="str">
        <f aca="false">IF(I1637&lt;&gt;"OK","",IF(G1637=0,"",F1637/G1637))</f>
        <v/>
      </c>
      <c r="I1637" s="20" t="str">
        <f aca="true">IF(B1637="","",IF(ISNA(MATCH(B1637,ListaInsumos,0)),"Insumo no está en Insumos",IF(OR(D1637="",E1637="",F1637=""),"Faltan datos",IF(INDEX(UnidadesBase,MATCH(E1637,Unidades,0))&lt;&gt;INDEX(InsBase,MATCH(B1637,ListaInsumos,0)),"Unidad incompatible",IF(A1637="","Falta fecha","OK")))))</f>
        <v/>
      </c>
      <c r="J1637" s="15"/>
    </row>
    <row r="1638" customFormat="false" ht="15" hidden="false" customHeight="false" outlineLevel="0" collapsed="false">
      <c r="A1638" s="26"/>
      <c r="B1638" s="15"/>
      <c r="C1638" s="15"/>
      <c r="D1638" s="27"/>
      <c r="E1638" s="15"/>
      <c r="F1638" s="28"/>
      <c r="G1638" s="25" t="str">
        <f aca="true">IF(OR(D1638="",E1638=""),"",IFERROR(D1638*INDEX(UnidadesFactor,MATCH(E1638,Unidades,0)),""))</f>
        <v/>
      </c>
      <c r="H1638" s="17" t="str">
        <f aca="false">IF(I1638&lt;&gt;"OK","",IF(G1638=0,"",F1638/G1638))</f>
        <v/>
      </c>
      <c r="I1638" s="20" t="str">
        <f aca="true">IF(B1638="","",IF(ISNA(MATCH(B1638,ListaInsumos,0)),"Insumo no está en Insumos",IF(OR(D1638="",E1638="",F1638=""),"Faltan datos",IF(INDEX(UnidadesBase,MATCH(E1638,Unidades,0))&lt;&gt;INDEX(InsBase,MATCH(B1638,ListaInsumos,0)),"Unidad incompatible",IF(A1638="","Falta fecha","OK")))))</f>
        <v/>
      </c>
      <c r="J1638" s="15"/>
    </row>
    <row r="1639" customFormat="false" ht="15" hidden="false" customHeight="false" outlineLevel="0" collapsed="false">
      <c r="A1639" s="26"/>
      <c r="B1639" s="15"/>
      <c r="C1639" s="15"/>
      <c r="D1639" s="27"/>
      <c r="E1639" s="15"/>
      <c r="F1639" s="28"/>
      <c r="G1639" s="25" t="str">
        <f aca="true">IF(OR(D1639="",E1639=""),"",IFERROR(D1639*INDEX(UnidadesFactor,MATCH(E1639,Unidades,0)),""))</f>
        <v/>
      </c>
      <c r="H1639" s="17" t="str">
        <f aca="false">IF(I1639&lt;&gt;"OK","",IF(G1639=0,"",F1639/G1639))</f>
        <v/>
      </c>
      <c r="I1639" s="20" t="str">
        <f aca="true">IF(B1639="","",IF(ISNA(MATCH(B1639,ListaInsumos,0)),"Insumo no está en Insumos",IF(OR(D1639="",E1639="",F1639=""),"Faltan datos",IF(INDEX(UnidadesBase,MATCH(E1639,Unidades,0))&lt;&gt;INDEX(InsBase,MATCH(B1639,ListaInsumos,0)),"Unidad incompatible",IF(A1639="","Falta fecha","OK")))))</f>
        <v/>
      </c>
      <c r="J1639" s="15"/>
    </row>
    <row r="1640" customFormat="false" ht="15" hidden="false" customHeight="false" outlineLevel="0" collapsed="false">
      <c r="A1640" s="26"/>
      <c r="B1640" s="15"/>
      <c r="C1640" s="15"/>
      <c r="D1640" s="27"/>
      <c r="E1640" s="15"/>
      <c r="F1640" s="28"/>
      <c r="G1640" s="25" t="str">
        <f aca="true">IF(OR(D1640="",E1640=""),"",IFERROR(D1640*INDEX(UnidadesFactor,MATCH(E1640,Unidades,0)),""))</f>
        <v/>
      </c>
      <c r="H1640" s="17" t="str">
        <f aca="false">IF(I1640&lt;&gt;"OK","",IF(G1640=0,"",F1640/G1640))</f>
        <v/>
      </c>
      <c r="I1640" s="20" t="str">
        <f aca="true">IF(B1640="","",IF(ISNA(MATCH(B1640,ListaInsumos,0)),"Insumo no está en Insumos",IF(OR(D1640="",E1640="",F1640=""),"Faltan datos",IF(INDEX(UnidadesBase,MATCH(E1640,Unidades,0))&lt;&gt;INDEX(InsBase,MATCH(B1640,ListaInsumos,0)),"Unidad incompatible",IF(A1640="","Falta fecha","OK")))))</f>
        <v/>
      </c>
      <c r="J1640" s="15"/>
    </row>
    <row r="1641" customFormat="false" ht="15" hidden="false" customHeight="false" outlineLevel="0" collapsed="false">
      <c r="A1641" s="26"/>
      <c r="B1641" s="15"/>
      <c r="C1641" s="15"/>
      <c r="D1641" s="27"/>
      <c r="E1641" s="15"/>
      <c r="F1641" s="28"/>
      <c r="G1641" s="25" t="str">
        <f aca="true">IF(OR(D1641="",E1641=""),"",IFERROR(D1641*INDEX(UnidadesFactor,MATCH(E1641,Unidades,0)),""))</f>
        <v/>
      </c>
      <c r="H1641" s="17" t="str">
        <f aca="false">IF(I1641&lt;&gt;"OK","",IF(G1641=0,"",F1641/G1641))</f>
        <v/>
      </c>
      <c r="I1641" s="20" t="str">
        <f aca="true">IF(B1641="","",IF(ISNA(MATCH(B1641,ListaInsumos,0)),"Insumo no está en Insumos",IF(OR(D1641="",E1641="",F1641=""),"Faltan datos",IF(INDEX(UnidadesBase,MATCH(E1641,Unidades,0))&lt;&gt;INDEX(InsBase,MATCH(B1641,ListaInsumos,0)),"Unidad incompatible",IF(A1641="","Falta fecha","OK")))))</f>
        <v/>
      </c>
      <c r="J1641" s="15"/>
    </row>
    <row r="1642" customFormat="false" ht="15" hidden="false" customHeight="false" outlineLevel="0" collapsed="false">
      <c r="A1642" s="26"/>
      <c r="B1642" s="15"/>
      <c r="C1642" s="15"/>
      <c r="D1642" s="27"/>
      <c r="E1642" s="15"/>
      <c r="F1642" s="28"/>
      <c r="G1642" s="25" t="str">
        <f aca="true">IF(OR(D1642="",E1642=""),"",IFERROR(D1642*INDEX(UnidadesFactor,MATCH(E1642,Unidades,0)),""))</f>
        <v/>
      </c>
      <c r="H1642" s="17" t="str">
        <f aca="false">IF(I1642&lt;&gt;"OK","",IF(G1642=0,"",F1642/G1642))</f>
        <v/>
      </c>
      <c r="I1642" s="20" t="str">
        <f aca="true">IF(B1642="","",IF(ISNA(MATCH(B1642,ListaInsumos,0)),"Insumo no está en Insumos",IF(OR(D1642="",E1642="",F1642=""),"Faltan datos",IF(INDEX(UnidadesBase,MATCH(E1642,Unidades,0))&lt;&gt;INDEX(InsBase,MATCH(B1642,ListaInsumos,0)),"Unidad incompatible",IF(A1642="","Falta fecha","OK")))))</f>
        <v/>
      </c>
      <c r="J1642" s="15"/>
    </row>
    <row r="1643" customFormat="false" ht="15" hidden="false" customHeight="false" outlineLevel="0" collapsed="false">
      <c r="A1643" s="26"/>
      <c r="B1643" s="15"/>
      <c r="C1643" s="15"/>
      <c r="D1643" s="27"/>
      <c r="E1643" s="15"/>
      <c r="F1643" s="28"/>
      <c r="G1643" s="25" t="str">
        <f aca="true">IF(OR(D1643="",E1643=""),"",IFERROR(D1643*INDEX(UnidadesFactor,MATCH(E1643,Unidades,0)),""))</f>
        <v/>
      </c>
      <c r="H1643" s="17" t="str">
        <f aca="false">IF(I1643&lt;&gt;"OK","",IF(G1643=0,"",F1643/G1643))</f>
        <v/>
      </c>
      <c r="I1643" s="20" t="str">
        <f aca="true">IF(B1643="","",IF(ISNA(MATCH(B1643,ListaInsumos,0)),"Insumo no está en Insumos",IF(OR(D1643="",E1643="",F1643=""),"Faltan datos",IF(INDEX(UnidadesBase,MATCH(E1643,Unidades,0))&lt;&gt;INDEX(InsBase,MATCH(B1643,ListaInsumos,0)),"Unidad incompatible",IF(A1643="","Falta fecha","OK")))))</f>
        <v/>
      </c>
      <c r="J1643" s="15"/>
    </row>
    <row r="1644" customFormat="false" ht="15" hidden="false" customHeight="false" outlineLevel="0" collapsed="false">
      <c r="A1644" s="26"/>
      <c r="B1644" s="15"/>
      <c r="C1644" s="15"/>
      <c r="D1644" s="27"/>
      <c r="E1644" s="15"/>
      <c r="F1644" s="28"/>
      <c r="G1644" s="25" t="str">
        <f aca="true">IF(OR(D1644="",E1644=""),"",IFERROR(D1644*INDEX(UnidadesFactor,MATCH(E1644,Unidades,0)),""))</f>
        <v/>
      </c>
      <c r="H1644" s="17" t="str">
        <f aca="false">IF(I1644&lt;&gt;"OK","",IF(G1644=0,"",F1644/G1644))</f>
        <v/>
      </c>
      <c r="I1644" s="20" t="str">
        <f aca="true">IF(B1644="","",IF(ISNA(MATCH(B1644,ListaInsumos,0)),"Insumo no está en Insumos",IF(OR(D1644="",E1644="",F1644=""),"Faltan datos",IF(INDEX(UnidadesBase,MATCH(E1644,Unidades,0))&lt;&gt;INDEX(InsBase,MATCH(B1644,ListaInsumos,0)),"Unidad incompatible",IF(A1644="","Falta fecha","OK")))))</f>
        <v/>
      </c>
      <c r="J1644" s="15"/>
    </row>
    <row r="1645" customFormat="false" ht="15" hidden="false" customHeight="false" outlineLevel="0" collapsed="false">
      <c r="A1645" s="26"/>
      <c r="B1645" s="15"/>
      <c r="C1645" s="15"/>
      <c r="D1645" s="27"/>
      <c r="E1645" s="15"/>
      <c r="F1645" s="28"/>
      <c r="G1645" s="25" t="str">
        <f aca="true">IF(OR(D1645="",E1645=""),"",IFERROR(D1645*INDEX(UnidadesFactor,MATCH(E1645,Unidades,0)),""))</f>
        <v/>
      </c>
      <c r="H1645" s="17" t="str">
        <f aca="false">IF(I1645&lt;&gt;"OK","",IF(G1645=0,"",F1645/G1645))</f>
        <v/>
      </c>
      <c r="I1645" s="20" t="str">
        <f aca="true">IF(B1645="","",IF(ISNA(MATCH(B1645,ListaInsumos,0)),"Insumo no está en Insumos",IF(OR(D1645="",E1645="",F1645=""),"Faltan datos",IF(INDEX(UnidadesBase,MATCH(E1645,Unidades,0))&lt;&gt;INDEX(InsBase,MATCH(B1645,ListaInsumos,0)),"Unidad incompatible",IF(A1645="","Falta fecha","OK")))))</f>
        <v/>
      </c>
      <c r="J1645" s="15"/>
    </row>
    <row r="1646" customFormat="false" ht="15" hidden="false" customHeight="false" outlineLevel="0" collapsed="false">
      <c r="A1646" s="26"/>
      <c r="B1646" s="15"/>
      <c r="C1646" s="15"/>
      <c r="D1646" s="27"/>
      <c r="E1646" s="15"/>
      <c r="F1646" s="28"/>
      <c r="G1646" s="25" t="str">
        <f aca="true">IF(OR(D1646="",E1646=""),"",IFERROR(D1646*INDEX(UnidadesFactor,MATCH(E1646,Unidades,0)),""))</f>
        <v/>
      </c>
      <c r="H1646" s="17" t="str">
        <f aca="false">IF(I1646&lt;&gt;"OK","",IF(G1646=0,"",F1646/G1646))</f>
        <v/>
      </c>
      <c r="I1646" s="20" t="str">
        <f aca="true">IF(B1646="","",IF(ISNA(MATCH(B1646,ListaInsumos,0)),"Insumo no está en Insumos",IF(OR(D1646="",E1646="",F1646=""),"Faltan datos",IF(INDEX(UnidadesBase,MATCH(E1646,Unidades,0))&lt;&gt;INDEX(InsBase,MATCH(B1646,ListaInsumos,0)),"Unidad incompatible",IF(A1646="","Falta fecha","OK")))))</f>
        <v/>
      </c>
      <c r="J1646" s="15"/>
    </row>
    <row r="1647" customFormat="false" ht="15" hidden="false" customHeight="false" outlineLevel="0" collapsed="false">
      <c r="A1647" s="26"/>
      <c r="B1647" s="15"/>
      <c r="C1647" s="15"/>
      <c r="D1647" s="27"/>
      <c r="E1647" s="15"/>
      <c r="F1647" s="28"/>
      <c r="G1647" s="25" t="str">
        <f aca="true">IF(OR(D1647="",E1647=""),"",IFERROR(D1647*INDEX(UnidadesFactor,MATCH(E1647,Unidades,0)),""))</f>
        <v/>
      </c>
      <c r="H1647" s="17" t="str">
        <f aca="false">IF(I1647&lt;&gt;"OK","",IF(G1647=0,"",F1647/G1647))</f>
        <v/>
      </c>
      <c r="I1647" s="20" t="str">
        <f aca="true">IF(B1647="","",IF(ISNA(MATCH(B1647,ListaInsumos,0)),"Insumo no está en Insumos",IF(OR(D1647="",E1647="",F1647=""),"Faltan datos",IF(INDEX(UnidadesBase,MATCH(E1647,Unidades,0))&lt;&gt;INDEX(InsBase,MATCH(B1647,ListaInsumos,0)),"Unidad incompatible",IF(A1647="","Falta fecha","OK")))))</f>
        <v/>
      </c>
      <c r="J1647" s="15"/>
    </row>
    <row r="1648" customFormat="false" ht="15" hidden="false" customHeight="false" outlineLevel="0" collapsed="false">
      <c r="A1648" s="26"/>
      <c r="B1648" s="15"/>
      <c r="C1648" s="15"/>
      <c r="D1648" s="27"/>
      <c r="E1648" s="15"/>
      <c r="F1648" s="28"/>
      <c r="G1648" s="25" t="str">
        <f aca="true">IF(OR(D1648="",E1648=""),"",IFERROR(D1648*INDEX(UnidadesFactor,MATCH(E1648,Unidades,0)),""))</f>
        <v/>
      </c>
      <c r="H1648" s="17" t="str">
        <f aca="false">IF(I1648&lt;&gt;"OK","",IF(G1648=0,"",F1648/G1648))</f>
        <v/>
      </c>
      <c r="I1648" s="20" t="str">
        <f aca="true">IF(B1648="","",IF(ISNA(MATCH(B1648,ListaInsumos,0)),"Insumo no está en Insumos",IF(OR(D1648="",E1648="",F1648=""),"Faltan datos",IF(INDEX(UnidadesBase,MATCH(E1648,Unidades,0))&lt;&gt;INDEX(InsBase,MATCH(B1648,ListaInsumos,0)),"Unidad incompatible",IF(A1648="","Falta fecha","OK")))))</f>
        <v/>
      </c>
      <c r="J1648" s="15"/>
    </row>
    <row r="1649" customFormat="false" ht="15" hidden="false" customHeight="false" outlineLevel="0" collapsed="false">
      <c r="A1649" s="26"/>
      <c r="B1649" s="15"/>
      <c r="C1649" s="15"/>
      <c r="D1649" s="27"/>
      <c r="E1649" s="15"/>
      <c r="F1649" s="28"/>
      <c r="G1649" s="25" t="str">
        <f aca="true">IF(OR(D1649="",E1649=""),"",IFERROR(D1649*INDEX(UnidadesFactor,MATCH(E1649,Unidades,0)),""))</f>
        <v/>
      </c>
      <c r="H1649" s="17" t="str">
        <f aca="false">IF(I1649&lt;&gt;"OK","",IF(G1649=0,"",F1649/G1649))</f>
        <v/>
      </c>
      <c r="I1649" s="20" t="str">
        <f aca="true">IF(B1649="","",IF(ISNA(MATCH(B1649,ListaInsumos,0)),"Insumo no está en Insumos",IF(OR(D1649="",E1649="",F1649=""),"Faltan datos",IF(INDEX(UnidadesBase,MATCH(E1649,Unidades,0))&lt;&gt;INDEX(InsBase,MATCH(B1649,ListaInsumos,0)),"Unidad incompatible",IF(A1649="","Falta fecha","OK")))))</f>
        <v/>
      </c>
      <c r="J1649" s="15"/>
    </row>
    <row r="1650" customFormat="false" ht="15" hidden="false" customHeight="false" outlineLevel="0" collapsed="false">
      <c r="A1650" s="26"/>
      <c r="B1650" s="15"/>
      <c r="C1650" s="15"/>
      <c r="D1650" s="27"/>
      <c r="E1650" s="15"/>
      <c r="F1650" s="28"/>
      <c r="G1650" s="25" t="str">
        <f aca="true">IF(OR(D1650="",E1650=""),"",IFERROR(D1650*INDEX(UnidadesFactor,MATCH(E1650,Unidades,0)),""))</f>
        <v/>
      </c>
      <c r="H1650" s="17" t="str">
        <f aca="false">IF(I1650&lt;&gt;"OK","",IF(G1650=0,"",F1650/G1650))</f>
        <v/>
      </c>
      <c r="I1650" s="20" t="str">
        <f aca="true">IF(B1650="","",IF(ISNA(MATCH(B1650,ListaInsumos,0)),"Insumo no está en Insumos",IF(OR(D1650="",E1650="",F1650=""),"Faltan datos",IF(INDEX(UnidadesBase,MATCH(E1650,Unidades,0))&lt;&gt;INDEX(InsBase,MATCH(B1650,ListaInsumos,0)),"Unidad incompatible",IF(A1650="","Falta fecha","OK")))))</f>
        <v/>
      </c>
      <c r="J1650" s="15"/>
    </row>
    <row r="1651" customFormat="false" ht="15" hidden="false" customHeight="false" outlineLevel="0" collapsed="false">
      <c r="A1651" s="26"/>
      <c r="B1651" s="15"/>
      <c r="C1651" s="15"/>
      <c r="D1651" s="27"/>
      <c r="E1651" s="15"/>
      <c r="F1651" s="28"/>
      <c r="G1651" s="25" t="str">
        <f aca="true">IF(OR(D1651="",E1651=""),"",IFERROR(D1651*INDEX(UnidadesFactor,MATCH(E1651,Unidades,0)),""))</f>
        <v/>
      </c>
      <c r="H1651" s="17" t="str">
        <f aca="false">IF(I1651&lt;&gt;"OK","",IF(G1651=0,"",F1651/G1651))</f>
        <v/>
      </c>
      <c r="I1651" s="20" t="str">
        <f aca="true">IF(B1651="","",IF(ISNA(MATCH(B1651,ListaInsumos,0)),"Insumo no está en Insumos",IF(OR(D1651="",E1651="",F1651=""),"Faltan datos",IF(INDEX(UnidadesBase,MATCH(E1651,Unidades,0))&lt;&gt;INDEX(InsBase,MATCH(B1651,ListaInsumos,0)),"Unidad incompatible",IF(A1651="","Falta fecha","OK")))))</f>
        <v/>
      </c>
      <c r="J1651" s="15"/>
    </row>
    <row r="1652" customFormat="false" ht="15" hidden="false" customHeight="false" outlineLevel="0" collapsed="false">
      <c r="A1652" s="26"/>
      <c r="B1652" s="15"/>
      <c r="C1652" s="15"/>
      <c r="D1652" s="27"/>
      <c r="E1652" s="15"/>
      <c r="F1652" s="28"/>
      <c r="G1652" s="25" t="str">
        <f aca="true">IF(OR(D1652="",E1652=""),"",IFERROR(D1652*INDEX(UnidadesFactor,MATCH(E1652,Unidades,0)),""))</f>
        <v/>
      </c>
      <c r="H1652" s="17" t="str">
        <f aca="false">IF(I1652&lt;&gt;"OK","",IF(G1652=0,"",F1652/G1652))</f>
        <v/>
      </c>
      <c r="I1652" s="20" t="str">
        <f aca="true">IF(B1652="","",IF(ISNA(MATCH(B1652,ListaInsumos,0)),"Insumo no está en Insumos",IF(OR(D1652="",E1652="",F1652=""),"Faltan datos",IF(INDEX(UnidadesBase,MATCH(E1652,Unidades,0))&lt;&gt;INDEX(InsBase,MATCH(B1652,ListaInsumos,0)),"Unidad incompatible",IF(A1652="","Falta fecha","OK")))))</f>
        <v/>
      </c>
      <c r="J1652" s="15"/>
    </row>
    <row r="1653" customFormat="false" ht="15" hidden="false" customHeight="false" outlineLevel="0" collapsed="false">
      <c r="A1653" s="26"/>
      <c r="B1653" s="15"/>
      <c r="C1653" s="15"/>
      <c r="D1653" s="27"/>
      <c r="E1653" s="15"/>
      <c r="F1653" s="28"/>
      <c r="G1653" s="25" t="str">
        <f aca="true">IF(OR(D1653="",E1653=""),"",IFERROR(D1653*INDEX(UnidadesFactor,MATCH(E1653,Unidades,0)),""))</f>
        <v/>
      </c>
      <c r="H1653" s="17" t="str">
        <f aca="false">IF(I1653&lt;&gt;"OK","",IF(G1653=0,"",F1653/G1653))</f>
        <v/>
      </c>
      <c r="I1653" s="20" t="str">
        <f aca="true">IF(B1653="","",IF(ISNA(MATCH(B1653,ListaInsumos,0)),"Insumo no está en Insumos",IF(OR(D1653="",E1653="",F1653=""),"Faltan datos",IF(INDEX(UnidadesBase,MATCH(E1653,Unidades,0))&lt;&gt;INDEX(InsBase,MATCH(B1653,ListaInsumos,0)),"Unidad incompatible",IF(A1653="","Falta fecha","OK")))))</f>
        <v/>
      </c>
      <c r="J1653" s="15"/>
    </row>
    <row r="1654" customFormat="false" ht="15" hidden="false" customHeight="false" outlineLevel="0" collapsed="false">
      <c r="A1654" s="26"/>
      <c r="B1654" s="15"/>
      <c r="C1654" s="15"/>
      <c r="D1654" s="27"/>
      <c r="E1654" s="15"/>
      <c r="F1654" s="28"/>
      <c r="G1654" s="25" t="str">
        <f aca="true">IF(OR(D1654="",E1654=""),"",IFERROR(D1654*INDEX(UnidadesFactor,MATCH(E1654,Unidades,0)),""))</f>
        <v/>
      </c>
      <c r="H1654" s="17" t="str">
        <f aca="false">IF(I1654&lt;&gt;"OK","",IF(G1654=0,"",F1654/G1654))</f>
        <v/>
      </c>
      <c r="I1654" s="20" t="str">
        <f aca="true">IF(B1654="","",IF(ISNA(MATCH(B1654,ListaInsumos,0)),"Insumo no está en Insumos",IF(OR(D1654="",E1654="",F1654=""),"Faltan datos",IF(INDEX(UnidadesBase,MATCH(E1654,Unidades,0))&lt;&gt;INDEX(InsBase,MATCH(B1654,ListaInsumos,0)),"Unidad incompatible",IF(A1654="","Falta fecha","OK")))))</f>
        <v/>
      </c>
      <c r="J1654" s="15"/>
    </row>
    <row r="1655" customFormat="false" ht="15" hidden="false" customHeight="false" outlineLevel="0" collapsed="false">
      <c r="A1655" s="26"/>
      <c r="B1655" s="15"/>
      <c r="C1655" s="15"/>
      <c r="D1655" s="27"/>
      <c r="E1655" s="15"/>
      <c r="F1655" s="28"/>
      <c r="G1655" s="25" t="str">
        <f aca="true">IF(OR(D1655="",E1655=""),"",IFERROR(D1655*INDEX(UnidadesFactor,MATCH(E1655,Unidades,0)),""))</f>
        <v/>
      </c>
      <c r="H1655" s="17" t="str">
        <f aca="false">IF(I1655&lt;&gt;"OK","",IF(G1655=0,"",F1655/G1655))</f>
        <v/>
      </c>
      <c r="I1655" s="20" t="str">
        <f aca="true">IF(B1655="","",IF(ISNA(MATCH(B1655,ListaInsumos,0)),"Insumo no está en Insumos",IF(OR(D1655="",E1655="",F1655=""),"Faltan datos",IF(INDEX(UnidadesBase,MATCH(E1655,Unidades,0))&lt;&gt;INDEX(InsBase,MATCH(B1655,ListaInsumos,0)),"Unidad incompatible",IF(A1655="","Falta fecha","OK")))))</f>
        <v/>
      </c>
      <c r="J1655" s="15"/>
    </row>
    <row r="1656" customFormat="false" ht="15" hidden="false" customHeight="false" outlineLevel="0" collapsed="false">
      <c r="A1656" s="26"/>
      <c r="B1656" s="15"/>
      <c r="C1656" s="15"/>
      <c r="D1656" s="27"/>
      <c r="E1656" s="15"/>
      <c r="F1656" s="28"/>
      <c r="G1656" s="25" t="str">
        <f aca="true">IF(OR(D1656="",E1656=""),"",IFERROR(D1656*INDEX(UnidadesFactor,MATCH(E1656,Unidades,0)),""))</f>
        <v/>
      </c>
      <c r="H1656" s="17" t="str">
        <f aca="false">IF(I1656&lt;&gt;"OK","",IF(G1656=0,"",F1656/G1656))</f>
        <v/>
      </c>
      <c r="I1656" s="20" t="str">
        <f aca="true">IF(B1656="","",IF(ISNA(MATCH(B1656,ListaInsumos,0)),"Insumo no está en Insumos",IF(OR(D1656="",E1656="",F1656=""),"Faltan datos",IF(INDEX(UnidadesBase,MATCH(E1656,Unidades,0))&lt;&gt;INDEX(InsBase,MATCH(B1656,ListaInsumos,0)),"Unidad incompatible",IF(A1656="","Falta fecha","OK")))))</f>
        <v/>
      </c>
      <c r="J1656" s="15"/>
    </row>
    <row r="1657" customFormat="false" ht="15" hidden="false" customHeight="false" outlineLevel="0" collapsed="false">
      <c r="A1657" s="26"/>
      <c r="B1657" s="15"/>
      <c r="C1657" s="15"/>
      <c r="D1657" s="27"/>
      <c r="E1657" s="15"/>
      <c r="F1657" s="28"/>
      <c r="G1657" s="25" t="str">
        <f aca="true">IF(OR(D1657="",E1657=""),"",IFERROR(D1657*INDEX(UnidadesFactor,MATCH(E1657,Unidades,0)),""))</f>
        <v/>
      </c>
      <c r="H1657" s="17" t="str">
        <f aca="false">IF(I1657&lt;&gt;"OK","",IF(G1657=0,"",F1657/G1657))</f>
        <v/>
      </c>
      <c r="I1657" s="20" t="str">
        <f aca="true">IF(B1657="","",IF(ISNA(MATCH(B1657,ListaInsumos,0)),"Insumo no está en Insumos",IF(OR(D1657="",E1657="",F1657=""),"Faltan datos",IF(INDEX(UnidadesBase,MATCH(E1657,Unidades,0))&lt;&gt;INDEX(InsBase,MATCH(B1657,ListaInsumos,0)),"Unidad incompatible",IF(A1657="","Falta fecha","OK")))))</f>
        <v/>
      </c>
      <c r="J1657" s="15"/>
    </row>
    <row r="1658" customFormat="false" ht="15" hidden="false" customHeight="false" outlineLevel="0" collapsed="false">
      <c r="A1658" s="26"/>
      <c r="B1658" s="15"/>
      <c r="C1658" s="15"/>
      <c r="D1658" s="27"/>
      <c r="E1658" s="15"/>
      <c r="F1658" s="28"/>
      <c r="G1658" s="25" t="str">
        <f aca="true">IF(OR(D1658="",E1658=""),"",IFERROR(D1658*INDEX(UnidadesFactor,MATCH(E1658,Unidades,0)),""))</f>
        <v/>
      </c>
      <c r="H1658" s="17" t="str">
        <f aca="false">IF(I1658&lt;&gt;"OK","",IF(G1658=0,"",F1658/G1658))</f>
        <v/>
      </c>
      <c r="I1658" s="20" t="str">
        <f aca="true">IF(B1658="","",IF(ISNA(MATCH(B1658,ListaInsumos,0)),"Insumo no está en Insumos",IF(OR(D1658="",E1658="",F1658=""),"Faltan datos",IF(INDEX(UnidadesBase,MATCH(E1658,Unidades,0))&lt;&gt;INDEX(InsBase,MATCH(B1658,ListaInsumos,0)),"Unidad incompatible",IF(A1658="","Falta fecha","OK")))))</f>
        <v/>
      </c>
      <c r="J1658" s="15"/>
    </row>
    <row r="1659" customFormat="false" ht="15" hidden="false" customHeight="false" outlineLevel="0" collapsed="false">
      <c r="A1659" s="26"/>
      <c r="B1659" s="15"/>
      <c r="C1659" s="15"/>
      <c r="D1659" s="27"/>
      <c r="E1659" s="15"/>
      <c r="F1659" s="28"/>
      <c r="G1659" s="25" t="str">
        <f aca="true">IF(OR(D1659="",E1659=""),"",IFERROR(D1659*INDEX(UnidadesFactor,MATCH(E1659,Unidades,0)),""))</f>
        <v/>
      </c>
      <c r="H1659" s="17" t="str">
        <f aca="false">IF(I1659&lt;&gt;"OK","",IF(G1659=0,"",F1659/G1659))</f>
        <v/>
      </c>
      <c r="I1659" s="20" t="str">
        <f aca="true">IF(B1659="","",IF(ISNA(MATCH(B1659,ListaInsumos,0)),"Insumo no está en Insumos",IF(OR(D1659="",E1659="",F1659=""),"Faltan datos",IF(INDEX(UnidadesBase,MATCH(E1659,Unidades,0))&lt;&gt;INDEX(InsBase,MATCH(B1659,ListaInsumos,0)),"Unidad incompatible",IF(A1659="","Falta fecha","OK")))))</f>
        <v/>
      </c>
      <c r="J1659" s="15"/>
    </row>
    <row r="1660" customFormat="false" ht="15" hidden="false" customHeight="false" outlineLevel="0" collapsed="false">
      <c r="A1660" s="26"/>
      <c r="B1660" s="15"/>
      <c r="C1660" s="15"/>
      <c r="D1660" s="27"/>
      <c r="E1660" s="15"/>
      <c r="F1660" s="28"/>
      <c r="G1660" s="25" t="str">
        <f aca="true">IF(OR(D1660="",E1660=""),"",IFERROR(D1660*INDEX(UnidadesFactor,MATCH(E1660,Unidades,0)),""))</f>
        <v/>
      </c>
      <c r="H1660" s="17" t="str">
        <f aca="false">IF(I1660&lt;&gt;"OK","",IF(G1660=0,"",F1660/G1660))</f>
        <v/>
      </c>
      <c r="I1660" s="20" t="str">
        <f aca="true">IF(B1660="","",IF(ISNA(MATCH(B1660,ListaInsumos,0)),"Insumo no está en Insumos",IF(OR(D1660="",E1660="",F1660=""),"Faltan datos",IF(INDEX(UnidadesBase,MATCH(E1660,Unidades,0))&lt;&gt;INDEX(InsBase,MATCH(B1660,ListaInsumos,0)),"Unidad incompatible",IF(A1660="","Falta fecha","OK")))))</f>
        <v/>
      </c>
      <c r="J1660" s="15"/>
    </row>
    <row r="1661" customFormat="false" ht="15" hidden="false" customHeight="false" outlineLevel="0" collapsed="false">
      <c r="A1661" s="26"/>
      <c r="B1661" s="15"/>
      <c r="C1661" s="15"/>
      <c r="D1661" s="27"/>
      <c r="E1661" s="15"/>
      <c r="F1661" s="28"/>
      <c r="G1661" s="25" t="str">
        <f aca="true">IF(OR(D1661="",E1661=""),"",IFERROR(D1661*INDEX(UnidadesFactor,MATCH(E1661,Unidades,0)),""))</f>
        <v/>
      </c>
      <c r="H1661" s="17" t="str">
        <f aca="false">IF(I1661&lt;&gt;"OK","",IF(G1661=0,"",F1661/G1661))</f>
        <v/>
      </c>
      <c r="I1661" s="20" t="str">
        <f aca="true">IF(B1661="","",IF(ISNA(MATCH(B1661,ListaInsumos,0)),"Insumo no está en Insumos",IF(OR(D1661="",E1661="",F1661=""),"Faltan datos",IF(INDEX(UnidadesBase,MATCH(E1661,Unidades,0))&lt;&gt;INDEX(InsBase,MATCH(B1661,ListaInsumos,0)),"Unidad incompatible",IF(A1661="","Falta fecha","OK")))))</f>
        <v/>
      </c>
      <c r="J1661" s="15"/>
    </row>
    <row r="1662" customFormat="false" ht="15" hidden="false" customHeight="false" outlineLevel="0" collapsed="false">
      <c r="A1662" s="26"/>
      <c r="B1662" s="15"/>
      <c r="C1662" s="15"/>
      <c r="D1662" s="27"/>
      <c r="E1662" s="15"/>
      <c r="F1662" s="28"/>
      <c r="G1662" s="25" t="str">
        <f aca="true">IF(OR(D1662="",E1662=""),"",IFERROR(D1662*INDEX(UnidadesFactor,MATCH(E1662,Unidades,0)),""))</f>
        <v/>
      </c>
      <c r="H1662" s="17" t="str">
        <f aca="false">IF(I1662&lt;&gt;"OK","",IF(G1662=0,"",F1662/G1662))</f>
        <v/>
      </c>
      <c r="I1662" s="20" t="str">
        <f aca="true">IF(B1662="","",IF(ISNA(MATCH(B1662,ListaInsumos,0)),"Insumo no está en Insumos",IF(OR(D1662="",E1662="",F1662=""),"Faltan datos",IF(INDEX(UnidadesBase,MATCH(E1662,Unidades,0))&lt;&gt;INDEX(InsBase,MATCH(B1662,ListaInsumos,0)),"Unidad incompatible",IF(A1662="","Falta fecha","OK")))))</f>
        <v/>
      </c>
      <c r="J1662" s="15"/>
    </row>
    <row r="1663" customFormat="false" ht="15" hidden="false" customHeight="false" outlineLevel="0" collapsed="false">
      <c r="A1663" s="26"/>
      <c r="B1663" s="15"/>
      <c r="C1663" s="15"/>
      <c r="D1663" s="27"/>
      <c r="E1663" s="15"/>
      <c r="F1663" s="28"/>
      <c r="G1663" s="25" t="str">
        <f aca="true">IF(OR(D1663="",E1663=""),"",IFERROR(D1663*INDEX(UnidadesFactor,MATCH(E1663,Unidades,0)),""))</f>
        <v/>
      </c>
      <c r="H1663" s="17" t="str">
        <f aca="false">IF(I1663&lt;&gt;"OK","",IF(G1663=0,"",F1663/G1663))</f>
        <v/>
      </c>
      <c r="I1663" s="20" t="str">
        <f aca="true">IF(B1663="","",IF(ISNA(MATCH(B1663,ListaInsumos,0)),"Insumo no está en Insumos",IF(OR(D1663="",E1663="",F1663=""),"Faltan datos",IF(INDEX(UnidadesBase,MATCH(E1663,Unidades,0))&lt;&gt;INDEX(InsBase,MATCH(B1663,ListaInsumos,0)),"Unidad incompatible",IF(A1663="","Falta fecha","OK")))))</f>
        <v/>
      </c>
      <c r="J1663" s="15"/>
    </row>
    <row r="1664" customFormat="false" ht="15" hidden="false" customHeight="false" outlineLevel="0" collapsed="false">
      <c r="A1664" s="26"/>
      <c r="B1664" s="15"/>
      <c r="C1664" s="15"/>
      <c r="D1664" s="27"/>
      <c r="E1664" s="15"/>
      <c r="F1664" s="28"/>
      <c r="G1664" s="25" t="str">
        <f aca="true">IF(OR(D1664="",E1664=""),"",IFERROR(D1664*INDEX(UnidadesFactor,MATCH(E1664,Unidades,0)),""))</f>
        <v/>
      </c>
      <c r="H1664" s="17" t="str">
        <f aca="false">IF(I1664&lt;&gt;"OK","",IF(G1664=0,"",F1664/G1664))</f>
        <v/>
      </c>
      <c r="I1664" s="20" t="str">
        <f aca="true">IF(B1664="","",IF(ISNA(MATCH(B1664,ListaInsumos,0)),"Insumo no está en Insumos",IF(OR(D1664="",E1664="",F1664=""),"Faltan datos",IF(INDEX(UnidadesBase,MATCH(E1664,Unidades,0))&lt;&gt;INDEX(InsBase,MATCH(B1664,ListaInsumos,0)),"Unidad incompatible",IF(A1664="","Falta fecha","OK")))))</f>
        <v/>
      </c>
      <c r="J1664" s="15"/>
    </row>
    <row r="1665" customFormat="false" ht="15" hidden="false" customHeight="false" outlineLevel="0" collapsed="false">
      <c r="A1665" s="26"/>
      <c r="B1665" s="15"/>
      <c r="C1665" s="15"/>
      <c r="D1665" s="27"/>
      <c r="E1665" s="15"/>
      <c r="F1665" s="28"/>
      <c r="G1665" s="25" t="str">
        <f aca="true">IF(OR(D1665="",E1665=""),"",IFERROR(D1665*INDEX(UnidadesFactor,MATCH(E1665,Unidades,0)),""))</f>
        <v/>
      </c>
      <c r="H1665" s="17" t="str">
        <f aca="false">IF(I1665&lt;&gt;"OK","",IF(G1665=0,"",F1665/G1665))</f>
        <v/>
      </c>
      <c r="I1665" s="20" t="str">
        <f aca="true">IF(B1665="","",IF(ISNA(MATCH(B1665,ListaInsumos,0)),"Insumo no está en Insumos",IF(OR(D1665="",E1665="",F1665=""),"Faltan datos",IF(INDEX(UnidadesBase,MATCH(E1665,Unidades,0))&lt;&gt;INDEX(InsBase,MATCH(B1665,ListaInsumos,0)),"Unidad incompatible",IF(A1665="","Falta fecha","OK")))))</f>
        <v/>
      </c>
      <c r="J1665" s="15"/>
    </row>
    <row r="1666" customFormat="false" ht="15" hidden="false" customHeight="false" outlineLevel="0" collapsed="false">
      <c r="A1666" s="26"/>
      <c r="B1666" s="15"/>
      <c r="C1666" s="15"/>
      <c r="D1666" s="27"/>
      <c r="E1666" s="15"/>
      <c r="F1666" s="28"/>
      <c r="G1666" s="25" t="str">
        <f aca="true">IF(OR(D1666="",E1666=""),"",IFERROR(D1666*INDEX(UnidadesFactor,MATCH(E1666,Unidades,0)),""))</f>
        <v/>
      </c>
      <c r="H1666" s="17" t="str">
        <f aca="false">IF(I1666&lt;&gt;"OK","",IF(G1666=0,"",F1666/G1666))</f>
        <v/>
      </c>
      <c r="I1666" s="20" t="str">
        <f aca="true">IF(B1666="","",IF(ISNA(MATCH(B1666,ListaInsumos,0)),"Insumo no está en Insumos",IF(OR(D1666="",E1666="",F1666=""),"Faltan datos",IF(INDEX(UnidadesBase,MATCH(E1666,Unidades,0))&lt;&gt;INDEX(InsBase,MATCH(B1666,ListaInsumos,0)),"Unidad incompatible",IF(A1666="","Falta fecha","OK")))))</f>
        <v/>
      </c>
      <c r="J1666" s="15"/>
    </row>
    <row r="1667" customFormat="false" ht="15" hidden="false" customHeight="false" outlineLevel="0" collapsed="false">
      <c r="A1667" s="26"/>
      <c r="B1667" s="15"/>
      <c r="C1667" s="15"/>
      <c r="D1667" s="27"/>
      <c r="E1667" s="15"/>
      <c r="F1667" s="28"/>
      <c r="G1667" s="25" t="str">
        <f aca="true">IF(OR(D1667="",E1667=""),"",IFERROR(D1667*INDEX(UnidadesFactor,MATCH(E1667,Unidades,0)),""))</f>
        <v/>
      </c>
      <c r="H1667" s="17" t="str">
        <f aca="false">IF(I1667&lt;&gt;"OK","",IF(G1667=0,"",F1667/G1667))</f>
        <v/>
      </c>
      <c r="I1667" s="20" t="str">
        <f aca="true">IF(B1667="","",IF(ISNA(MATCH(B1667,ListaInsumos,0)),"Insumo no está en Insumos",IF(OR(D1667="",E1667="",F1667=""),"Faltan datos",IF(INDEX(UnidadesBase,MATCH(E1667,Unidades,0))&lt;&gt;INDEX(InsBase,MATCH(B1667,ListaInsumos,0)),"Unidad incompatible",IF(A1667="","Falta fecha","OK")))))</f>
        <v/>
      </c>
      <c r="J1667" s="15"/>
    </row>
    <row r="1668" customFormat="false" ht="15" hidden="false" customHeight="false" outlineLevel="0" collapsed="false">
      <c r="A1668" s="26"/>
      <c r="B1668" s="15"/>
      <c r="C1668" s="15"/>
      <c r="D1668" s="27"/>
      <c r="E1668" s="15"/>
      <c r="F1668" s="28"/>
      <c r="G1668" s="25" t="str">
        <f aca="true">IF(OR(D1668="",E1668=""),"",IFERROR(D1668*INDEX(UnidadesFactor,MATCH(E1668,Unidades,0)),""))</f>
        <v/>
      </c>
      <c r="H1668" s="17" t="str">
        <f aca="false">IF(I1668&lt;&gt;"OK","",IF(G1668=0,"",F1668/G1668))</f>
        <v/>
      </c>
      <c r="I1668" s="20" t="str">
        <f aca="true">IF(B1668="","",IF(ISNA(MATCH(B1668,ListaInsumos,0)),"Insumo no está en Insumos",IF(OR(D1668="",E1668="",F1668=""),"Faltan datos",IF(INDEX(UnidadesBase,MATCH(E1668,Unidades,0))&lt;&gt;INDEX(InsBase,MATCH(B1668,ListaInsumos,0)),"Unidad incompatible",IF(A1668="","Falta fecha","OK")))))</f>
        <v/>
      </c>
      <c r="J1668" s="15"/>
    </row>
    <row r="1669" customFormat="false" ht="15" hidden="false" customHeight="false" outlineLevel="0" collapsed="false">
      <c r="A1669" s="26"/>
      <c r="B1669" s="15"/>
      <c r="C1669" s="15"/>
      <c r="D1669" s="27"/>
      <c r="E1669" s="15"/>
      <c r="F1669" s="28"/>
      <c r="G1669" s="25" t="str">
        <f aca="true">IF(OR(D1669="",E1669=""),"",IFERROR(D1669*INDEX(UnidadesFactor,MATCH(E1669,Unidades,0)),""))</f>
        <v/>
      </c>
      <c r="H1669" s="17" t="str">
        <f aca="false">IF(I1669&lt;&gt;"OK","",IF(G1669=0,"",F1669/G1669))</f>
        <v/>
      </c>
      <c r="I1669" s="20" t="str">
        <f aca="true">IF(B1669="","",IF(ISNA(MATCH(B1669,ListaInsumos,0)),"Insumo no está en Insumos",IF(OR(D1669="",E1669="",F1669=""),"Faltan datos",IF(INDEX(UnidadesBase,MATCH(E1669,Unidades,0))&lt;&gt;INDEX(InsBase,MATCH(B1669,ListaInsumos,0)),"Unidad incompatible",IF(A1669="","Falta fecha","OK")))))</f>
        <v/>
      </c>
      <c r="J1669" s="15"/>
    </row>
    <row r="1670" customFormat="false" ht="15" hidden="false" customHeight="false" outlineLevel="0" collapsed="false">
      <c r="A1670" s="26"/>
      <c r="B1670" s="15"/>
      <c r="C1670" s="15"/>
      <c r="D1670" s="27"/>
      <c r="E1670" s="15"/>
      <c r="F1670" s="28"/>
      <c r="G1670" s="25" t="str">
        <f aca="true">IF(OR(D1670="",E1670=""),"",IFERROR(D1670*INDEX(UnidadesFactor,MATCH(E1670,Unidades,0)),""))</f>
        <v/>
      </c>
      <c r="H1670" s="17" t="str">
        <f aca="false">IF(I1670&lt;&gt;"OK","",IF(G1670=0,"",F1670/G1670))</f>
        <v/>
      </c>
      <c r="I1670" s="20" t="str">
        <f aca="true">IF(B1670="","",IF(ISNA(MATCH(B1670,ListaInsumos,0)),"Insumo no está en Insumos",IF(OR(D1670="",E1670="",F1670=""),"Faltan datos",IF(INDEX(UnidadesBase,MATCH(E1670,Unidades,0))&lt;&gt;INDEX(InsBase,MATCH(B1670,ListaInsumos,0)),"Unidad incompatible",IF(A1670="","Falta fecha","OK")))))</f>
        <v/>
      </c>
      <c r="J1670" s="15"/>
    </row>
    <row r="1671" customFormat="false" ht="15" hidden="false" customHeight="false" outlineLevel="0" collapsed="false">
      <c r="A1671" s="26"/>
      <c r="B1671" s="15"/>
      <c r="C1671" s="15"/>
      <c r="D1671" s="27"/>
      <c r="E1671" s="15"/>
      <c r="F1671" s="28"/>
      <c r="G1671" s="25" t="str">
        <f aca="true">IF(OR(D1671="",E1671=""),"",IFERROR(D1671*INDEX(UnidadesFactor,MATCH(E1671,Unidades,0)),""))</f>
        <v/>
      </c>
      <c r="H1671" s="17" t="str">
        <f aca="false">IF(I1671&lt;&gt;"OK","",IF(G1671=0,"",F1671/G1671))</f>
        <v/>
      </c>
      <c r="I1671" s="20" t="str">
        <f aca="true">IF(B1671="","",IF(ISNA(MATCH(B1671,ListaInsumos,0)),"Insumo no está en Insumos",IF(OR(D1671="",E1671="",F1671=""),"Faltan datos",IF(INDEX(UnidadesBase,MATCH(E1671,Unidades,0))&lt;&gt;INDEX(InsBase,MATCH(B1671,ListaInsumos,0)),"Unidad incompatible",IF(A1671="","Falta fecha","OK")))))</f>
        <v/>
      </c>
      <c r="J1671" s="15"/>
    </row>
    <row r="1672" customFormat="false" ht="15" hidden="false" customHeight="false" outlineLevel="0" collapsed="false">
      <c r="A1672" s="26"/>
      <c r="B1672" s="15"/>
      <c r="C1672" s="15"/>
      <c r="D1672" s="27"/>
      <c r="E1672" s="15"/>
      <c r="F1672" s="28"/>
      <c r="G1672" s="25" t="str">
        <f aca="true">IF(OR(D1672="",E1672=""),"",IFERROR(D1672*INDEX(UnidadesFactor,MATCH(E1672,Unidades,0)),""))</f>
        <v/>
      </c>
      <c r="H1672" s="17" t="str">
        <f aca="false">IF(I1672&lt;&gt;"OK","",IF(G1672=0,"",F1672/G1672))</f>
        <v/>
      </c>
      <c r="I1672" s="20" t="str">
        <f aca="true">IF(B1672="","",IF(ISNA(MATCH(B1672,ListaInsumos,0)),"Insumo no está en Insumos",IF(OR(D1672="",E1672="",F1672=""),"Faltan datos",IF(INDEX(UnidadesBase,MATCH(E1672,Unidades,0))&lt;&gt;INDEX(InsBase,MATCH(B1672,ListaInsumos,0)),"Unidad incompatible",IF(A1672="","Falta fecha","OK")))))</f>
        <v/>
      </c>
      <c r="J1672" s="15"/>
    </row>
    <row r="1673" customFormat="false" ht="15" hidden="false" customHeight="false" outlineLevel="0" collapsed="false">
      <c r="A1673" s="26"/>
      <c r="B1673" s="15"/>
      <c r="C1673" s="15"/>
      <c r="D1673" s="27"/>
      <c r="E1673" s="15"/>
      <c r="F1673" s="28"/>
      <c r="G1673" s="25" t="str">
        <f aca="true">IF(OR(D1673="",E1673=""),"",IFERROR(D1673*INDEX(UnidadesFactor,MATCH(E1673,Unidades,0)),""))</f>
        <v/>
      </c>
      <c r="H1673" s="17" t="str">
        <f aca="false">IF(I1673&lt;&gt;"OK","",IF(G1673=0,"",F1673/G1673))</f>
        <v/>
      </c>
      <c r="I1673" s="20" t="str">
        <f aca="true">IF(B1673="","",IF(ISNA(MATCH(B1673,ListaInsumos,0)),"Insumo no está en Insumos",IF(OR(D1673="",E1673="",F1673=""),"Faltan datos",IF(INDEX(UnidadesBase,MATCH(E1673,Unidades,0))&lt;&gt;INDEX(InsBase,MATCH(B1673,ListaInsumos,0)),"Unidad incompatible",IF(A1673="","Falta fecha","OK")))))</f>
        <v/>
      </c>
      <c r="J1673" s="15"/>
    </row>
    <row r="1674" customFormat="false" ht="15" hidden="false" customHeight="false" outlineLevel="0" collapsed="false">
      <c r="A1674" s="26"/>
      <c r="B1674" s="15"/>
      <c r="C1674" s="15"/>
      <c r="D1674" s="27"/>
      <c r="E1674" s="15"/>
      <c r="F1674" s="28"/>
      <c r="G1674" s="25" t="str">
        <f aca="true">IF(OR(D1674="",E1674=""),"",IFERROR(D1674*INDEX(UnidadesFactor,MATCH(E1674,Unidades,0)),""))</f>
        <v/>
      </c>
      <c r="H1674" s="17" t="str">
        <f aca="false">IF(I1674&lt;&gt;"OK","",IF(G1674=0,"",F1674/G1674))</f>
        <v/>
      </c>
      <c r="I1674" s="20" t="str">
        <f aca="true">IF(B1674="","",IF(ISNA(MATCH(B1674,ListaInsumos,0)),"Insumo no está en Insumos",IF(OR(D1674="",E1674="",F1674=""),"Faltan datos",IF(INDEX(UnidadesBase,MATCH(E1674,Unidades,0))&lt;&gt;INDEX(InsBase,MATCH(B1674,ListaInsumos,0)),"Unidad incompatible",IF(A1674="","Falta fecha","OK")))))</f>
        <v/>
      </c>
      <c r="J1674" s="15"/>
    </row>
    <row r="1675" customFormat="false" ht="15" hidden="false" customHeight="false" outlineLevel="0" collapsed="false">
      <c r="A1675" s="26"/>
      <c r="B1675" s="15"/>
      <c r="C1675" s="15"/>
      <c r="D1675" s="27"/>
      <c r="E1675" s="15"/>
      <c r="F1675" s="28"/>
      <c r="G1675" s="25" t="str">
        <f aca="true">IF(OR(D1675="",E1675=""),"",IFERROR(D1675*INDEX(UnidadesFactor,MATCH(E1675,Unidades,0)),""))</f>
        <v/>
      </c>
      <c r="H1675" s="17" t="str">
        <f aca="false">IF(I1675&lt;&gt;"OK","",IF(G1675=0,"",F1675/G1675))</f>
        <v/>
      </c>
      <c r="I1675" s="20" t="str">
        <f aca="true">IF(B1675="","",IF(ISNA(MATCH(B1675,ListaInsumos,0)),"Insumo no está en Insumos",IF(OR(D1675="",E1675="",F1675=""),"Faltan datos",IF(INDEX(UnidadesBase,MATCH(E1675,Unidades,0))&lt;&gt;INDEX(InsBase,MATCH(B1675,ListaInsumos,0)),"Unidad incompatible",IF(A1675="","Falta fecha","OK")))))</f>
        <v/>
      </c>
      <c r="J1675" s="15"/>
    </row>
    <row r="1676" customFormat="false" ht="15" hidden="false" customHeight="false" outlineLevel="0" collapsed="false">
      <c r="A1676" s="26"/>
      <c r="B1676" s="15"/>
      <c r="C1676" s="15"/>
      <c r="D1676" s="27"/>
      <c r="E1676" s="15"/>
      <c r="F1676" s="28"/>
      <c r="G1676" s="25" t="str">
        <f aca="true">IF(OR(D1676="",E1676=""),"",IFERROR(D1676*INDEX(UnidadesFactor,MATCH(E1676,Unidades,0)),""))</f>
        <v/>
      </c>
      <c r="H1676" s="17" t="str">
        <f aca="false">IF(I1676&lt;&gt;"OK","",IF(G1676=0,"",F1676/G1676))</f>
        <v/>
      </c>
      <c r="I1676" s="20" t="str">
        <f aca="true">IF(B1676="","",IF(ISNA(MATCH(B1676,ListaInsumos,0)),"Insumo no está en Insumos",IF(OR(D1676="",E1676="",F1676=""),"Faltan datos",IF(INDEX(UnidadesBase,MATCH(E1676,Unidades,0))&lt;&gt;INDEX(InsBase,MATCH(B1676,ListaInsumos,0)),"Unidad incompatible",IF(A1676="","Falta fecha","OK")))))</f>
        <v/>
      </c>
      <c r="J1676" s="15"/>
    </row>
    <row r="1677" customFormat="false" ht="15" hidden="false" customHeight="false" outlineLevel="0" collapsed="false">
      <c r="A1677" s="26"/>
      <c r="B1677" s="15"/>
      <c r="C1677" s="15"/>
      <c r="D1677" s="27"/>
      <c r="E1677" s="15"/>
      <c r="F1677" s="28"/>
      <c r="G1677" s="25" t="str">
        <f aca="true">IF(OR(D1677="",E1677=""),"",IFERROR(D1677*INDEX(UnidadesFactor,MATCH(E1677,Unidades,0)),""))</f>
        <v/>
      </c>
      <c r="H1677" s="17" t="str">
        <f aca="false">IF(I1677&lt;&gt;"OK","",IF(G1677=0,"",F1677/G1677))</f>
        <v/>
      </c>
      <c r="I1677" s="20" t="str">
        <f aca="true">IF(B1677="","",IF(ISNA(MATCH(B1677,ListaInsumos,0)),"Insumo no está en Insumos",IF(OR(D1677="",E1677="",F1677=""),"Faltan datos",IF(INDEX(UnidadesBase,MATCH(E1677,Unidades,0))&lt;&gt;INDEX(InsBase,MATCH(B1677,ListaInsumos,0)),"Unidad incompatible",IF(A1677="","Falta fecha","OK")))))</f>
        <v/>
      </c>
      <c r="J1677" s="15"/>
    </row>
    <row r="1678" customFormat="false" ht="15" hidden="false" customHeight="false" outlineLevel="0" collapsed="false">
      <c r="A1678" s="26"/>
      <c r="B1678" s="15"/>
      <c r="C1678" s="15"/>
      <c r="D1678" s="27"/>
      <c r="E1678" s="15"/>
      <c r="F1678" s="28"/>
      <c r="G1678" s="25" t="str">
        <f aca="true">IF(OR(D1678="",E1678=""),"",IFERROR(D1678*INDEX(UnidadesFactor,MATCH(E1678,Unidades,0)),""))</f>
        <v/>
      </c>
      <c r="H1678" s="17" t="str">
        <f aca="false">IF(I1678&lt;&gt;"OK","",IF(G1678=0,"",F1678/G1678))</f>
        <v/>
      </c>
      <c r="I1678" s="20" t="str">
        <f aca="true">IF(B1678="","",IF(ISNA(MATCH(B1678,ListaInsumos,0)),"Insumo no está en Insumos",IF(OR(D1678="",E1678="",F1678=""),"Faltan datos",IF(INDEX(UnidadesBase,MATCH(E1678,Unidades,0))&lt;&gt;INDEX(InsBase,MATCH(B1678,ListaInsumos,0)),"Unidad incompatible",IF(A1678="","Falta fecha","OK")))))</f>
        <v/>
      </c>
      <c r="J1678" s="15"/>
    </row>
    <row r="1679" customFormat="false" ht="15" hidden="false" customHeight="false" outlineLevel="0" collapsed="false">
      <c r="A1679" s="26"/>
      <c r="B1679" s="15"/>
      <c r="C1679" s="15"/>
      <c r="D1679" s="27"/>
      <c r="E1679" s="15"/>
      <c r="F1679" s="28"/>
      <c r="G1679" s="25" t="str">
        <f aca="true">IF(OR(D1679="",E1679=""),"",IFERROR(D1679*INDEX(UnidadesFactor,MATCH(E1679,Unidades,0)),""))</f>
        <v/>
      </c>
      <c r="H1679" s="17" t="str">
        <f aca="false">IF(I1679&lt;&gt;"OK","",IF(G1679=0,"",F1679/G1679))</f>
        <v/>
      </c>
      <c r="I1679" s="20" t="str">
        <f aca="true">IF(B1679="","",IF(ISNA(MATCH(B1679,ListaInsumos,0)),"Insumo no está en Insumos",IF(OR(D1679="",E1679="",F1679=""),"Faltan datos",IF(INDEX(UnidadesBase,MATCH(E1679,Unidades,0))&lt;&gt;INDEX(InsBase,MATCH(B1679,ListaInsumos,0)),"Unidad incompatible",IF(A1679="","Falta fecha","OK")))))</f>
        <v/>
      </c>
      <c r="J1679" s="15"/>
    </row>
    <row r="1680" customFormat="false" ht="15" hidden="false" customHeight="false" outlineLevel="0" collapsed="false">
      <c r="A1680" s="26"/>
      <c r="B1680" s="15"/>
      <c r="C1680" s="15"/>
      <c r="D1680" s="27"/>
      <c r="E1680" s="15"/>
      <c r="F1680" s="28"/>
      <c r="G1680" s="25" t="str">
        <f aca="true">IF(OR(D1680="",E1680=""),"",IFERROR(D1680*INDEX(UnidadesFactor,MATCH(E1680,Unidades,0)),""))</f>
        <v/>
      </c>
      <c r="H1680" s="17" t="str">
        <f aca="false">IF(I1680&lt;&gt;"OK","",IF(G1680=0,"",F1680/G1680))</f>
        <v/>
      </c>
      <c r="I1680" s="20" t="str">
        <f aca="true">IF(B1680="","",IF(ISNA(MATCH(B1680,ListaInsumos,0)),"Insumo no está en Insumos",IF(OR(D1680="",E1680="",F1680=""),"Faltan datos",IF(INDEX(UnidadesBase,MATCH(E1680,Unidades,0))&lt;&gt;INDEX(InsBase,MATCH(B1680,ListaInsumos,0)),"Unidad incompatible",IF(A1680="","Falta fecha","OK")))))</f>
        <v/>
      </c>
      <c r="J1680" s="15"/>
    </row>
    <row r="1681" customFormat="false" ht="15" hidden="false" customHeight="false" outlineLevel="0" collapsed="false">
      <c r="A1681" s="26"/>
      <c r="B1681" s="15"/>
      <c r="C1681" s="15"/>
      <c r="D1681" s="27"/>
      <c r="E1681" s="15"/>
      <c r="F1681" s="28"/>
      <c r="G1681" s="25" t="str">
        <f aca="true">IF(OR(D1681="",E1681=""),"",IFERROR(D1681*INDEX(UnidadesFactor,MATCH(E1681,Unidades,0)),""))</f>
        <v/>
      </c>
      <c r="H1681" s="17" t="str">
        <f aca="false">IF(I1681&lt;&gt;"OK","",IF(G1681=0,"",F1681/G1681))</f>
        <v/>
      </c>
      <c r="I1681" s="20" t="str">
        <f aca="true">IF(B1681="","",IF(ISNA(MATCH(B1681,ListaInsumos,0)),"Insumo no está en Insumos",IF(OR(D1681="",E1681="",F1681=""),"Faltan datos",IF(INDEX(UnidadesBase,MATCH(E1681,Unidades,0))&lt;&gt;INDEX(InsBase,MATCH(B1681,ListaInsumos,0)),"Unidad incompatible",IF(A1681="","Falta fecha","OK")))))</f>
        <v/>
      </c>
      <c r="J1681" s="15"/>
    </row>
    <row r="1682" customFormat="false" ht="15" hidden="false" customHeight="false" outlineLevel="0" collapsed="false">
      <c r="A1682" s="26"/>
      <c r="B1682" s="15"/>
      <c r="C1682" s="15"/>
      <c r="D1682" s="27"/>
      <c r="E1682" s="15"/>
      <c r="F1682" s="28"/>
      <c r="G1682" s="25" t="str">
        <f aca="true">IF(OR(D1682="",E1682=""),"",IFERROR(D1682*INDEX(UnidadesFactor,MATCH(E1682,Unidades,0)),""))</f>
        <v/>
      </c>
      <c r="H1682" s="17" t="str">
        <f aca="false">IF(I1682&lt;&gt;"OK","",IF(G1682=0,"",F1682/G1682))</f>
        <v/>
      </c>
      <c r="I1682" s="20" t="str">
        <f aca="true">IF(B1682="","",IF(ISNA(MATCH(B1682,ListaInsumos,0)),"Insumo no está en Insumos",IF(OR(D1682="",E1682="",F1682=""),"Faltan datos",IF(INDEX(UnidadesBase,MATCH(E1682,Unidades,0))&lt;&gt;INDEX(InsBase,MATCH(B1682,ListaInsumos,0)),"Unidad incompatible",IF(A1682="","Falta fecha","OK")))))</f>
        <v/>
      </c>
      <c r="J1682" s="15"/>
    </row>
    <row r="1683" customFormat="false" ht="15" hidden="false" customHeight="false" outlineLevel="0" collapsed="false">
      <c r="A1683" s="26"/>
      <c r="B1683" s="15"/>
      <c r="C1683" s="15"/>
      <c r="D1683" s="27"/>
      <c r="E1683" s="15"/>
      <c r="F1683" s="28"/>
      <c r="G1683" s="25" t="str">
        <f aca="true">IF(OR(D1683="",E1683=""),"",IFERROR(D1683*INDEX(UnidadesFactor,MATCH(E1683,Unidades,0)),""))</f>
        <v/>
      </c>
      <c r="H1683" s="17" t="str">
        <f aca="false">IF(I1683&lt;&gt;"OK","",IF(G1683=0,"",F1683/G1683))</f>
        <v/>
      </c>
      <c r="I1683" s="20" t="str">
        <f aca="true">IF(B1683="","",IF(ISNA(MATCH(B1683,ListaInsumos,0)),"Insumo no está en Insumos",IF(OR(D1683="",E1683="",F1683=""),"Faltan datos",IF(INDEX(UnidadesBase,MATCH(E1683,Unidades,0))&lt;&gt;INDEX(InsBase,MATCH(B1683,ListaInsumos,0)),"Unidad incompatible",IF(A1683="","Falta fecha","OK")))))</f>
        <v/>
      </c>
      <c r="J1683" s="15"/>
    </row>
    <row r="1684" customFormat="false" ht="15" hidden="false" customHeight="false" outlineLevel="0" collapsed="false">
      <c r="A1684" s="26"/>
      <c r="B1684" s="15"/>
      <c r="C1684" s="15"/>
      <c r="D1684" s="27"/>
      <c r="E1684" s="15"/>
      <c r="F1684" s="28"/>
      <c r="G1684" s="25" t="str">
        <f aca="true">IF(OR(D1684="",E1684=""),"",IFERROR(D1684*INDEX(UnidadesFactor,MATCH(E1684,Unidades,0)),""))</f>
        <v/>
      </c>
      <c r="H1684" s="17" t="str">
        <f aca="false">IF(I1684&lt;&gt;"OK","",IF(G1684=0,"",F1684/G1684))</f>
        <v/>
      </c>
      <c r="I1684" s="20" t="str">
        <f aca="true">IF(B1684="","",IF(ISNA(MATCH(B1684,ListaInsumos,0)),"Insumo no está en Insumos",IF(OR(D1684="",E1684="",F1684=""),"Faltan datos",IF(INDEX(UnidadesBase,MATCH(E1684,Unidades,0))&lt;&gt;INDEX(InsBase,MATCH(B1684,ListaInsumos,0)),"Unidad incompatible",IF(A1684="","Falta fecha","OK")))))</f>
        <v/>
      </c>
      <c r="J1684" s="15"/>
    </row>
    <row r="1685" customFormat="false" ht="15" hidden="false" customHeight="false" outlineLevel="0" collapsed="false">
      <c r="A1685" s="26"/>
      <c r="B1685" s="15"/>
      <c r="C1685" s="15"/>
      <c r="D1685" s="27"/>
      <c r="E1685" s="15"/>
      <c r="F1685" s="28"/>
      <c r="G1685" s="25" t="str">
        <f aca="true">IF(OR(D1685="",E1685=""),"",IFERROR(D1685*INDEX(UnidadesFactor,MATCH(E1685,Unidades,0)),""))</f>
        <v/>
      </c>
      <c r="H1685" s="17" t="str">
        <f aca="false">IF(I1685&lt;&gt;"OK","",IF(G1685=0,"",F1685/G1685))</f>
        <v/>
      </c>
      <c r="I1685" s="20" t="str">
        <f aca="true">IF(B1685="","",IF(ISNA(MATCH(B1685,ListaInsumos,0)),"Insumo no está en Insumos",IF(OR(D1685="",E1685="",F1685=""),"Faltan datos",IF(INDEX(UnidadesBase,MATCH(E1685,Unidades,0))&lt;&gt;INDEX(InsBase,MATCH(B1685,ListaInsumos,0)),"Unidad incompatible",IF(A1685="","Falta fecha","OK")))))</f>
        <v/>
      </c>
      <c r="J1685" s="15"/>
    </row>
    <row r="1686" customFormat="false" ht="15" hidden="false" customHeight="false" outlineLevel="0" collapsed="false">
      <c r="A1686" s="26"/>
      <c r="B1686" s="15"/>
      <c r="C1686" s="15"/>
      <c r="D1686" s="27"/>
      <c r="E1686" s="15"/>
      <c r="F1686" s="28"/>
      <c r="G1686" s="25" t="str">
        <f aca="true">IF(OR(D1686="",E1686=""),"",IFERROR(D1686*INDEX(UnidadesFactor,MATCH(E1686,Unidades,0)),""))</f>
        <v/>
      </c>
      <c r="H1686" s="17" t="str">
        <f aca="false">IF(I1686&lt;&gt;"OK","",IF(G1686=0,"",F1686/G1686))</f>
        <v/>
      </c>
      <c r="I1686" s="20" t="str">
        <f aca="true">IF(B1686="","",IF(ISNA(MATCH(B1686,ListaInsumos,0)),"Insumo no está en Insumos",IF(OR(D1686="",E1686="",F1686=""),"Faltan datos",IF(INDEX(UnidadesBase,MATCH(E1686,Unidades,0))&lt;&gt;INDEX(InsBase,MATCH(B1686,ListaInsumos,0)),"Unidad incompatible",IF(A1686="","Falta fecha","OK")))))</f>
        <v/>
      </c>
      <c r="J1686" s="15"/>
    </row>
    <row r="1687" customFormat="false" ht="15" hidden="false" customHeight="false" outlineLevel="0" collapsed="false">
      <c r="A1687" s="26"/>
      <c r="B1687" s="15"/>
      <c r="C1687" s="15"/>
      <c r="D1687" s="27"/>
      <c r="E1687" s="15"/>
      <c r="F1687" s="28"/>
      <c r="G1687" s="25" t="str">
        <f aca="true">IF(OR(D1687="",E1687=""),"",IFERROR(D1687*INDEX(UnidadesFactor,MATCH(E1687,Unidades,0)),""))</f>
        <v/>
      </c>
      <c r="H1687" s="17" t="str">
        <f aca="false">IF(I1687&lt;&gt;"OK","",IF(G1687=0,"",F1687/G1687))</f>
        <v/>
      </c>
      <c r="I1687" s="20" t="str">
        <f aca="true">IF(B1687="","",IF(ISNA(MATCH(B1687,ListaInsumos,0)),"Insumo no está en Insumos",IF(OR(D1687="",E1687="",F1687=""),"Faltan datos",IF(INDEX(UnidadesBase,MATCH(E1687,Unidades,0))&lt;&gt;INDEX(InsBase,MATCH(B1687,ListaInsumos,0)),"Unidad incompatible",IF(A1687="","Falta fecha","OK")))))</f>
        <v/>
      </c>
      <c r="J1687" s="15"/>
    </row>
    <row r="1688" customFormat="false" ht="15" hidden="false" customHeight="false" outlineLevel="0" collapsed="false">
      <c r="A1688" s="26"/>
      <c r="B1688" s="15"/>
      <c r="C1688" s="15"/>
      <c r="D1688" s="27"/>
      <c r="E1688" s="15"/>
      <c r="F1688" s="28"/>
      <c r="G1688" s="25" t="str">
        <f aca="true">IF(OR(D1688="",E1688=""),"",IFERROR(D1688*INDEX(UnidadesFactor,MATCH(E1688,Unidades,0)),""))</f>
        <v/>
      </c>
      <c r="H1688" s="17" t="str">
        <f aca="false">IF(I1688&lt;&gt;"OK","",IF(G1688=0,"",F1688/G1688))</f>
        <v/>
      </c>
      <c r="I1688" s="20" t="str">
        <f aca="true">IF(B1688="","",IF(ISNA(MATCH(B1688,ListaInsumos,0)),"Insumo no está en Insumos",IF(OR(D1688="",E1688="",F1688=""),"Faltan datos",IF(INDEX(UnidadesBase,MATCH(E1688,Unidades,0))&lt;&gt;INDEX(InsBase,MATCH(B1688,ListaInsumos,0)),"Unidad incompatible",IF(A1688="","Falta fecha","OK")))))</f>
        <v/>
      </c>
      <c r="J1688" s="15"/>
    </row>
    <row r="1689" customFormat="false" ht="15" hidden="false" customHeight="false" outlineLevel="0" collapsed="false">
      <c r="A1689" s="26"/>
      <c r="B1689" s="15"/>
      <c r="C1689" s="15"/>
      <c r="D1689" s="27"/>
      <c r="E1689" s="15"/>
      <c r="F1689" s="28"/>
      <c r="G1689" s="25" t="str">
        <f aca="true">IF(OR(D1689="",E1689=""),"",IFERROR(D1689*INDEX(UnidadesFactor,MATCH(E1689,Unidades,0)),""))</f>
        <v/>
      </c>
      <c r="H1689" s="17" t="str">
        <f aca="false">IF(I1689&lt;&gt;"OK","",IF(G1689=0,"",F1689/G1689))</f>
        <v/>
      </c>
      <c r="I1689" s="20" t="str">
        <f aca="true">IF(B1689="","",IF(ISNA(MATCH(B1689,ListaInsumos,0)),"Insumo no está en Insumos",IF(OR(D1689="",E1689="",F1689=""),"Faltan datos",IF(INDEX(UnidadesBase,MATCH(E1689,Unidades,0))&lt;&gt;INDEX(InsBase,MATCH(B1689,ListaInsumos,0)),"Unidad incompatible",IF(A1689="","Falta fecha","OK")))))</f>
        <v/>
      </c>
      <c r="J1689" s="15"/>
    </row>
    <row r="1690" customFormat="false" ht="15" hidden="false" customHeight="false" outlineLevel="0" collapsed="false">
      <c r="A1690" s="26"/>
      <c r="B1690" s="15"/>
      <c r="C1690" s="15"/>
      <c r="D1690" s="27"/>
      <c r="E1690" s="15"/>
      <c r="F1690" s="28"/>
      <c r="G1690" s="25" t="str">
        <f aca="true">IF(OR(D1690="",E1690=""),"",IFERROR(D1690*INDEX(UnidadesFactor,MATCH(E1690,Unidades,0)),""))</f>
        <v/>
      </c>
      <c r="H1690" s="17" t="str">
        <f aca="false">IF(I1690&lt;&gt;"OK","",IF(G1690=0,"",F1690/G1690))</f>
        <v/>
      </c>
      <c r="I1690" s="20" t="str">
        <f aca="true">IF(B1690="","",IF(ISNA(MATCH(B1690,ListaInsumos,0)),"Insumo no está en Insumos",IF(OR(D1690="",E1690="",F1690=""),"Faltan datos",IF(INDEX(UnidadesBase,MATCH(E1690,Unidades,0))&lt;&gt;INDEX(InsBase,MATCH(B1690,ListaInsumos,0)),"Unidad incompatible",IF(A1690="","Falta fecha","OK")))))</f>
        <v/>
      </c>
      <c r="J1690" s="15"/>
    </row>
    <row r="1691" customFormat="false" ht="15" hidden="false" customHeight="false" outlineLevel="0" collapsed="false">
      <c r="A1691" s="26"/>
      <c r="B1691" s="15"/>
      <c r="C1691" s="15"/>
      <c r="D1691" s="27"/>
      <c r="E1691" s="15"/>
      <c r="F1691" s="28"/>
      <c r="G1691" s="25" t="str">
        <f aca="true">IF(OR(D1691="",E1691=""),"",IFERROR(D1691*INDEX(UnidadesFactor,MATCH(E1691,Unidades,0)),""))</f>
        <v/>
      </c>
      <c r="H1691" s="17" t="str">
        <f aca="false">IF(I1691&lt;&gt;"OK","",IF(G1691=0,"",F1691/G1691))</f>
        <v/>
      </c>
      <c r="I1691" s="20" t="str">
        <f aca="true">IF(B1691="","",IF(ISNA(MATCH(B1691,ListaInsumos,0)),"Insumo no está en Insumos",IF(OR(D1691="",E1691="",F1691=""),"Faltan datos",IF(INDEX(UnidadesBase,MATCH(E1691,Unidades,0))&lt;&gt;INDEX(InsBase,MATCH(B1691,ListaInsumos,0)),"Unidad incompatible",IF(A1691="","Falta fecha","OK")))))</f>
        <v/>
      </c>
      <c r="J1691" s="15"/>
    </row>
    <row r="1692" customFormat="false" ht="15" hidden="false" customHeight="false" outlineLevel="0" collapsed="false">
      <c r="A1692" s="26"/>
      <c r="B1692" s="15"/>
      <c r="C1692" s="15"/>
      <c r="D1692" s="27"/>
      <c r="E1692" s="15"/>
      <c r="F1692" s="28"/>
      <c r="G1692" s="25" t="str">
        <f aca="true">IF(OR(D1692="",E1692=""),"",IFERROR(D1692*INDEX(UnidadesFactor,MATCH(E1692,Unidades,0)),""))</f>
        <v/>
      </c>
      <c r="H1692" s="17" t="str">
        <f aca="false">IF(I1692&lt;&gt;"OK","",IF(G1692=0,"",F1692/G1692))</f>
        <v/>
      </c>
      <c r="I1692" s="20" t="str">
        <f aca="true">IF(B1692="","",IF(ISNA(MATCH(B1692,ListaInsumos,0)),"Insumo no está en Insumos",IF(OR(D1692="",E1692="",F1692=""),"Faltan datos",IF(INDEX(UnidadesBase,MATCH(E1692,Unidades,0))&lt;&gt;INDEX(InsBase,MATCH(B1692,ListaInsumos,0)),"Unidad incompatible",IF(A1692="","Falta fecha","OK")))))</f>
        <v/>
      </c>
      <c r="J1692" s="15"/>
    </row>
    <row r="1693" customFormat="false" ht="15" hidden="false" customHeight="false" outlineLevel="0" collapsed="false">
      <c r="A1693" s="26"/>
      <c r="B1693" s="15"/>
      <c r="C1693" s="15"/>
      <c r="D1693" s="27"/>
      <c r="E1693" s="15"/>
      <c r="F1693" s="28"/>
      <c r="G1693" s="25" t="str">
        <f aca="true">IF(OR(D1693="",E1693=""),"",IFERROR(D1693*INDEX(UnidadesFactor,MATCH(E1693,Unidades,0)),""))</f>
        <v/>
      </c>
      <c r="H1693" s="17" t="str">
        <f aca="false">IF(I1693&lt;&gt;"OK","",IF(G1693=0,"",F1693/G1693))</f>
        <v/>
      </c>
      <c r="I1693" s="20" t="str">
        <f aca="true">IF(B1693="","",IF(ISNA(MATCH(B1693,ListaInsumos,0)),"Insumo no está en Insumos",IF(OR(D1693="",E1693="",F1693=""),"Faltan datos",IF(INDEX(UnidadesBase,MATCH(E1693,Unidades,0))&lt;&gt;INDEX(InsBase,MATCH(B1693,ListaInsumos,0)),"Unidad incompatible",IF(A1693="","Falta fecha","OK")))))</f>
        <v/>
      </c>
      <c r="J1693" s="15"/>
    </row>
    <row r="1694" customFormat="false" ht="15" hidden="false" customHeight="false" outlineLevel="0" collapsed="false">
      <c r="A1694" s="26"/>
      <c r="B1694" s="15"/>
      <c r="C1694" s="15"/>
      <c r="D1694" s="27"/>
      <c r="E1694" s="15"/>
      <c r="F1694" s="28"/>
      <c r="G1694" s="25" t="str">
        <f aca="true">IF(OR(D1694="",E1694=""),"",IFERROR(D1694*INDEX(UnidadesFactor,MATCH(E1694,Unidades,0)),""))</f>
        <v/>
      </c>
      <c r="H1694" s="17" t="str">
        <f aca="false">IF(I1694&lt;&gt;"OK","",IF(G1694=0,"",F1694/G1694))</f>
        <v/>
      </c>
      <c r="I1694" s="20" t="str">
        <f aca="true">IF(B1694="","",IF(ISNA(MATCH(B1694,ListaInsumos,0)),"Insumo no está en Insumos",IF(OR(D1694="",E1694="",F1694=""),"Faltan datos",IF(INDEX(UnidadesBase,MATCH(E1694,Unidades,0))&lt;&gt;INDEX(InsBase,MATCH(B1694,ListaInsumos,0)),"Unidad incompatible",IF(A1694="","Falta fecha","OK")))))</f>
        <v/>
      </c>
      <c r="J1694" s="15"/>
    </row>
    <row r="1695" customFormat="false" ht="15" hidden="false" customHeight="false" outlineLevel="0" collapsed="false">
      <c r="A1695" s="26"/>
      <c r="B1695" s="15"/>
      <c r="C1695" s="15"/>
      <c r="D1695" s="27"/>
      <c r="E1695" s="15"/>
      <c r="F1695" s="28"/>
      <c r="G1695" s="25" t="str">
        <f aca="true">IF(OR(D1695="",E1695=""),"",IFERROR(D1695*INDEX(UnidadesFactor,MATCH(E1695,Unidades,0)),""))</f>
        <v/>
      </c>
      <c r="H1695" s="17" t="str">
        <f aca="false">IF(I1695&lt;&gt;"OK","",IF(G1695=0,"",F1695/G1695))</f>
        <v/>
      </c>
      <c r="I1695" s="20" t="str">
        <f aca="true">IF(B1695="","",IF(ISNA(MATCH(B1695,ListaInsumos,0)),"Insumo no está en Insumos",IF(OR(D1695="",E1695="",F1695=""),"Faltan datos",IF(INDEX(UnidadesBase,MATCH(E1695,Unidades,0))&lt;&gt;INDEX(InsBase,MATCH(B1695,ListaInsumos,0)),"Unidad incompatible",IF(A1695="","Falta fecha","OK")))))</f>
        <v/>
      </c>
      <c r="J1695" s="15"/>
    </row>
    <row r="1696" customFormat="false" ht="15" hidden="false" customHeight="false" outlineLevel="0" collapsed="false">
      <c r="A1696" s="26"/>
      <c r="B1696" s="15"/>
      <c r="C1696" s="15"/>
      <c r="D1696" s="27"/>
      <c r="E1696" s="15"/>
      <c r="F1696" s="28"/>
      <c r="G1696" s="25" t="str">
        <f aca="true">IF(OR(D1696="",E1696=""),"",IFERROR(D1696*INDEX(UnidadesFactor,MATCH(E1696,Unidades,0)),""))</f>
        <v/>
      </c>
      <c r="H1696" s="17" t="str">
        <f aca="false">IF(I1696&lt;&gt;"OK","",IF(G1696=0,"",F1696/G1696))</f>
        <v/>
      </c>
      <c r="I1696" s="20" t="str">
        <f aca="true">IF(B1696="","",IF(ISNA(MATCH(B1696,ListaInsumos,0)),"Insumo no está en Insumos",IF(OR(D1696="",E1696="",F1696=""),"Faltan datos",IF(INDEX(UnidadesBase,MATCH(E1696,Unidades,0))&lt;&gt;INDEX(InsBase,MATCH(B1696,ListaInsumos,0)),"Unidad incompatible",IF(A1696="","Falta fecha","OK")))))</f>
        <v/>
      </c>
      <c r="J1696" s="15"/>
    </row>
    <row r="1697" customFormat="false" ht="15" hidden="false" customHeight="false" outlineLevel="0" collapsed="false">
      <c r="A1697" s="26"/>
      <c r="B1697" s="15"/>
      <c r="C1697" s="15"/>
      <c r="D1697" s="27"/>
      <c r="E1697" s="15"/>
      <c r="F1697" s="28"/>
      <c r="G1697" s="25" t="str">
        <f aca="true">IF(OR(D1697="",E1697=""),"",IFERROR(D1697*INDEX(UnidadesFactor,MATCH(E1697,Unidades,0)),""))</f>
        <v/>
      </c>
      <c r="H1697" s="17" t="str">
        <f aca="false">IF(I1697&lt;&gt;"OK","",IF(G1697=0,"",F1697/G1697))</f>
        <v/>
      </c>
      <c r="I1697" s="20" t="str">
        <f aca="true">IF(B1697="","",IF(ISNA(MATCH(B1697,ListaInsumos,0)),"Insumo no está en Insumos",IF(OR(D1697="",E1697="",F1697=""),"Faltan datos",IF(INDEX(UnidadesBase,MATCH(E1697,Unidades,0))&lt;&gt;INDEX(InsBase,MATCH(B1697,ListaInsumos,0)),"Unidad incompatible",IF(A1697="","Falta fecha","OK")))))</f>
        <v/>
      </c>
      <c r="J1697" s="15"/>
    </row>
    <row r="1698" customFormat="false" ht="15" hidden="false" customHeight="false" outlineLevel="0" collapsed="false">
      <c r="A1698" s="26"/>
      <c r="B1698" s="15"/>
      <c r="C1698" s="15"/>
      <c r="D1698" s="27"/>
      <c r="E1698" s="15"/>
      <c r="F1698" s="28"/>
      <c r="G1698" s="25" t="str">
        <f aca="true">IF(OR(D1698="",E1698=""),"",IFERROR(D1698*INDEX(UnidadesFactor,MATCH(E1698,Unidades,0)),""))</f>
        <v/>
      </c>
      <c r="H1698" s="17" t="str">
        <f aca="false">IF(I1698&lt;&gt;"OK","",IF(G1698=0,"",F1698/G1698))</f>
        <v/>
      </c>
      <c r="I1698" s="20" t="str">
        <f aca="true">IF(B1698="","",IF(ISNA(MATCH(B1698,ListaInsumos,0)),"Insumo no está en Insumos",IF(OR(D1698="",E1698="",F1698=""),"Faltan datos",IF(INDEX(UnidadesBase,MATCH(E1698,Unidades,0))&lt;&gt;INDEX(InsBase,MATCH(B1698,ListaInsumos,0)),"Unidad incompatible",IF(A1698="","Falta fecha","OK")))))</f>
        <v/>
      </c>
      <c r="J1698" s="15"/>
    </row>
    <row r="1699" customFormat="false" ht="15" hidden="false" customHeight="false" outlineLevel="0" collapsed="false">
      <c r="A1699" s="26"/>
      <c r="B1699" s="15"/>
      <c r="C1699" s="15"/>
      <c r="D1699" s="27"/>
      <c r="E1699" s="15"/>
      <c r="F1699" s="28"/>
      <c r="G1699" s="25" t="str">
        <f aca="true">IF(OR(D1699="",E1699=""),"",IFERROR(D1699*INDEX(UnidadesFactor,MATCH(E1699,Unidades,0)),""))</f>
        <v/>
      </c>
      <c r="H1699" s="17" t="str">
        <f aca="false">IF(I1699&lt;&gt;"OK","",IF(G1699=0,"",F1699/G1699))</f>
        <v/>
      </c>
      <c r="I1699" s="20" t="str">
        <f aca="true">IF(B1699="","",IF(ISNA(MATCH(B1699,ListaInsumos,0)),"Insumo no está en Insumos",IF(OR(D1699="",E1699="",F1699=""),"Faltan datos",IF(INDEX(UnidadesBase,MATCH(E1699,Unidades,0))&lt;&gt;INDEX(InsBase,MATCH(B1699,ListaInsumos,0)),"Unidad incompatible",IF(A1699="","Falta fecha","OK")))))</f>
        <v/>
      </c>
      <c r="J1699" s="15"/>
    </row>
    <row r="1700" customFormat="false" ht="15" hidden="false" customHeight="false" outlineLevel="0" collapsed="false">
      <c r="A1700" s="26"/>
      <c r="B1700" s="15"/>
      <c r="C1700" s="15"/>
      <c r="D1700" s="27"/>
      <c r="E1700" s="15"/>
      <c r="F1700" s="28"/>
      <c r="G1700" s="25" t="str">
        <f aca="true">IF(OR(D1700="",E1700=""),"",IFERROR(D1700*INDEX(UnidadesFactor,MATCH(E1700,Unidades,0)),""))</f>
        <v/>
      </c>
      <c r="H1700" s="17" t="str">
        <f aca="false">IF(I1700&lt;&gt;"OK","",IF(G1700=0,"",F1700/G1700))</f>
        <v/>
      </c>
      <c r="I1700" s="20" t="str">
        <f aca="true">IF(B1700="","",IF(ISNA(MATCH(B1700,ListaInsumos,0)),"Insumo no está en Insumos",IF(OR(D1700="",E1700="",F1700=""),"Faltan datos",IF(INDEX(UnidadesBase,MATCH(E1700,Unidades,0))&lt;&gt;INDEX(InsBase,MATCH(B1700,ListaInsumos,0)),"Unidad incompatible",IF(A1700="","Falta fecha","OK")))))</f>
        <v/>
      </c>
      <c r="J1700" s="15"/>
    </row>
    <row r="1701" customFormat="false" ht="15" hidden="false" customHeight="false" outlineLevel="0" collapsed="false">
      <c r="A1701" s="26"/>
      <c r="B1701" s="15"/>
      <c r="C1701" s="15"/>
      <c r="D1701" s="27"/>
      <c r="E1701" s="15"/>
      <c r="F1701" s="28"/>
      <c r="G1701" s="25" t="str">
        <f aca="true">IF(OR(D1701="",E1701=""),"",IFERROR(D1701*INDEX(UnidadesFactor,MATCH(E1701,Unidades,0)),""))</f>
        <v/>
      </c>
      <c r="H1701" s="17" t="str">
        <f aca="false">IF(I1701&lt;&gt;"OK","",IF(G1701=0,"",F1701/G1701))</f>
        <v/>
      </c>
      <c r="I1701" s="20" t="str">
        <f aca="true">IF(B1701="","",IF(ISNA(MATCH(B1701,ListaInsumos,0)),"Insumo no está en Insumos",IF(OR(D1701="",E1701="",F1701=""),"Faltan datos",IF(INDEX(UnidadesBase,MATCH(E1701,Unidades,0))&lt;&gt;INDEX(InsBase,MATCH(B1701,ListaInsumos,0)),"Unidad incompatible",IF(A1701="","Falta fecha","OK")))))</f>
        <v/>
      </c>
      <c r="J1701" s="15"/>
    </row>
    <row r="1702" customFormat="false" ht="15" hidden="false" customHeight="false" outlineLevel="0" collapsed="false">
      <c r="A1702" s="26"/>
      <c r="B1702" s="15"/>
      <c r="C1702" s="15"/>
      <c r="D1702" s="27"/>
      <c r="E1702" s="15"/>
      <c r="F1702" s="28"/>
      <c r="G1702" s="25" t="str">
        <f aca="true">IF(OR(D1702="",E1702=""),"",IFERROR(D1702*INDEX(UnidadesFactor,MATCH(E1702,Unidades,0)),""))</f>
        <v/>
      </c>
      <c r="H1702" s="17" t="str">
        <f aca="false">IF(I1702&lt;&gt;"OK","",IF(G1702=0,"",F1702/G1702))</f>
        <v/>
      </c>
      <c r="I1702" s="20" t="str">
        <f aca="true">IF(B1702="","",IF(ISNA(MATCH(B1702,ListaInsumos,0)),"Insumo no está en Insumos",IF(OR(D1702="",E1702="",F1702=""),"Faltan datos",IF(INDEX(UnidadesBase,MATCH(E1702,Unidades,0))&lt;&gt;INDEX(InsBase,MATCH(B1702,ListaInsumos,0)),"Unidad incompatible",IF(A1702="","Falta fecha","OK")))))</f>
        <v/>
      </c>
      <c r="J1702" s="15"/>
    </row>
    <row r="1703" customFormat="false" ht="15" hidden="false" customHeight="false" outlineLevel="0" collapsed="false">
      <c r="A1703" s="26"/>
      <c r="B1703" s="15"/>
      <c r="C1703" s="15"/>
      <c r="D1703" s="27"/>
      <c r="E1703" s="15"/>
      <c r="F1703" s="28"/>
      <c r="G1703" s="25" t="str">
        <f aca="true">IF(OR(D1703="",E1703=""),"",IFERROR(D1703*INDEX(UnidadesFactor,MATCH(E1703,Unidades,0)),""))</f>
        <v/>
      </c>
      <c r="H1703" s="17" t="str">
        <f aca="false">IF(I1703&lt;&gt;"OK","",IF(G1703=0,"",F1703/G1703))</f>
        <v/>
      </c>
      <c r="I1703" s="20" t="str">
        <f aca="true">IF(B1703="","",IF(ISNA(MATCH(B1703,ListaInsumos,0)),"Insumo no está en Insumos",IF(OR(D1703="",E1703="",F1703=""),"Faltan datos",IF(INDEX(UnidadesBase,MATCH(E1703,Unidades,0))&lt;&gt;INDEX(InsBase,MATCH(B1703,ListaInsumos,0)),"Unidad incompatible",IF(A1703="","Falta fecha","OK")))))</f>
        <v/>
      </c>
      <c r="J1703" s="15"/>
    </row>
    <row r="1704" customFormat="false" ht="15" hidden="false" customHeight="false" outlineLevel="0" collapsed="false">
      <c r="A1704" s="26"/>
      <c r="B1704" s="15"/>
      <c r="C1704" s="15"/>
      <c r="D1704" s="27"/>
      <c r="E1704" s="15"/>
      <c r="F1704" s="28"/>
      <c r="G1704" s="25" t="str">
        <f aca="true">IF(OR(D1704="",E1704=""),"",IFERROR(D1704*INDEX(UnidadesFactor,MATCH(E1704,Unidades,0)),""))</f>
        <v/>
      </c>
      <c r="H1704" s="17" t="str">
        <f aca="false">IF(I1704&lt;&gt;"OK","",IF(G1704=0,"",F1704/G1704))</f>
        <v/>
      </c>
      <c r="I1704" s="20" t="str">
        <f aca="true">IF(B1704="","",IF(ISNA(MATCH(B1704,ListaInsumos,0)),"Insumo no está en Insumos",IF(OR(D1704="",E1704="",F1704=""),"Faltan datos",IF(INDEX(UnidadesBase,MATCH(E1704,Unidades,0))&lt;&gt;INDEX(InsBase,MATCH(B1704,ListaInsumos,0)),"Unidad incompatible",IF(A1704="","Falta fecha","OK")))))</f>
        <v/>
      </c>
      <c r="J1704" s="15"/>
    </row>
    <row r="1705" customFormat="false" ht="15" hidden="false" customHeight="false" outlineLevel="0" collapsed="false">
      <c r="A1705" s="26"/>
      <c r="B1705" s="15"/>
      <c r="C1705" s="15"/>
      <c r="D1705" s="27"/>
      <c r="E1705" s="15"/>
      <c r="F1705" s="28"/>
      <c r="G1705" s="25" t="str">
        <f aca="true">IF(OR(D1705="",E1705=""),"",IFERROR(D1705*INDEX(UnidadesFactor,MATCH(E1705,Unidades,0)),""))</f>
        <v/>
      </c>
      <c r="H1705" s="17" t="str">
        <f aca="false">IF(I1705&lt;&gt;"OK","",IF(G1705=0,"",F1705/G1705))</f>
        <v/>
      </c>
      <c r="I1705" s="20" t="str">
        <f aca="true">IF(B1705="","",IF(ISNA(MATCH(B1705,ListaInsumos,0)),"Insumo no está en Insumos",IF(OR(D1705="",E1705="",F1705=""),"Faltan datos",IF(INDEX(UnidadesBase,MATCH(E1705,Unidades,0))&lt;&gt;INDEX(InsBase,MATCH(B1705,ListaInsumos,0)),"Unidad incompatible",IF(A1705="","Falta fecha","OK")))))</f>
        <v/>
      </c>
      <c r="J1705" s="15"/>
    </row>
    <row r="1706" customFormat="false" ht="15" hidden="false" customHeight="false" outlineLevel="0" collapsed="false">
      <c r="A1706" s="26"/>
      <c r="B1706" s="15"/>
      <c r="C1706" s="15"/>
      <c r="D1706" s="27"/>
      <c r="E1706" s="15"/>
      <c r="F1706" s="28"/>
      <c r="G1706" s="25" t="str">
        <f aca="true">IF(OR(D1706="",E1706=""),"",IFERROR(D1706*INDEX(UnidadesFactor,MATCH(E1706,Unidades,0)),""))</f>
        <v/>
      </c>
      <c r="H1706" s="17" t="str">
        <f aca="false">IF(I1706&lt;&gt;"OK","",IF(G1706=0,"",F1706/G1706))</f>
        <v/>
      </c>
      <c r="I1706" s="20" t="str">
        <f aca="true">IF(B1706="","",IF(ISNA(MATCH(B1706,ListaInsumos,0)),"Insumo no está en Insumos",IF(OR(D1706="",E1706="",F1706=""),"Faltan datos",IF(INDEX(UnidadesBase,MATCH(E1706,Unidades,0))&lt;&gt;INDEX(InsBase,MATCH(B1706,ListaInsumos,0)),"Unidad incompatible",IF(A1706="","Falta fecha","OK")))))</f>
        <v/>
      </c>
      <c r="J1706" s="15"/>
    </row>
    <row r="1707" customFormat="false" ht="15" hidden="false" customHeight="false" outlineLevel="0" collapsed="false">
      <c r="A1707" s="26"/>
      <c r="B1707" s="15"/>
      <c r="C1707" s="15"/>
      <c r="D1707" s="27"/>
      <c r="E1707" s="15"/>
      <c r="F1707" s="28"/>
      <c r="G1707" s="25" t="str">
        <f aca="true">IF(OR(D1707="",E1707=""),"",IFERROR(D1707*INDEX(UnidadesFactor,MATCH(E1707,Unidades,0)),""))</f>
        <v/>
      </c>
      <c r="H1707" s="17" t="str">
        <f aca="false">IF(I1707&lt;&gt;"OK","",IF(G1707=0,"",F1707/G1707))</f>
        <v/>
      </c>
      <c r="I1707" s="20" t="str">
        <f aca="true">IF(B1707="","",IF(ISNA(MATCH(B1707,ListaInsumos,0)),"Insumo no está en Insumos",IF(OR(D1707="",E1707="",F1707=""),"Faltan datos",IF(INDEX(UnidadesBase,MATCH(E1707,Unidades,0))&lt;&gt;INDEX(InsBase,MATCH(B1707,ListaInsumos,0)),"Unidad incompatible",IF(A1707="","Falta fecha","OK")))))</f>
        <v/>
      </c>
      <c r="J1707" s="15"/>
    </row>
    <row r="1708" customFormat="false" ht="15" hidden="false" customHeight="false" outlineLevel="0" collapsed="false">
      <c r="A1708" s="26"/>
      <c r="B1708" s="15"/>
      <c r="C1708" s="15"/>
      <c r="D1708" s="27"/>
      <c r="E1708" s="15"/>
      <c r="F1708" s="28"/>
      <c r="G1708" s="25" t="str">
        <f aca="true">IF(OR(D1708="",E1708=""),"",IFERROR(D1708*INDEX(UnidadesFactor,MATCH(E1708,Unidades,0)),""))</f>
        <v/>
      </c>
      <c r="H1708" s="17" t="str">
        <f aca="false">IF(I1708&lt;&gt;"OK","",IF(G1708=0,"",F1708/G1708))</f>
        <v/>
      </c>
      <c r="I1708" s="20" t="str">
        <f aca="true">IF(B1708="","",IF(ISNA(MATCH(B1708,ListaInsumos,0)),"Insumo no está en Insumos",IF(OR(D1708="",E1708="",F1708=""),"Faltan datos",IF(INDEX(UnidadesBase,MATCH(E1708,Unidades,0))&lt;&gt;INDEX(InsBase,MATCH(B1708,ListaInsumos,0)),"Unidad incompatible",IF(A1708="","Falta fecha","OK")))))</f>
        <v/>
      </c>
      <c r="J1708" s="15"/>
    </row>
    <row r="1709" customFormat="false" ht="15" hidden="false" customHeight="false" outlineLevel="0" collapsed="false">
      <c r="A1709" s="26"/>
      <c r="B1709" s="15"/>
      <c r="C1709" s="15"/>
      <c r="D1709" s="27"/>
      <c r="E1709" s="15"/>
      <c r="F1709" s="28"/>
      <c r="G1709" s="25" t="str">
        <f aca="true">IF(OR(D1709="",E1709=""),"",IFERROR(D1709*INDEX(UnidadesFactor,MATCH(E1709,Unidades,0)),""))</f>
        <v/>
      </c>
      <c r="H1709" s="17" t="str">
        <f aca="false">IF(I1709&lt;&gt;"OK","",IF(G1709=0,"",F1709/G1709))</f>
        <v/>
      </c>
      <c r="I1709" s="20" t="str">
        <f aca="true">IF(B1709="","",IF(ISNA(MATCH(B1709,ListaInsumos,0)),"Insumo no está en Insumos",IF(OR(D1709="",E1709="",F1709=""),"Faltan datos",IF(INDEX(UnidadesBase,MATCH(E1709,Unidades,0))&lt;&gt;INDEX(InsBase,MATCH(B1709,ListaInsumos,0)),"Unidad incompatible",IF(A1709="","Falta fecha","OK")))))</f>
        <v/>
      </c>
      <c r="J1709" s="15"/>
    </row>
    <row r="1710" customFormat="false" ht="15" hidden="false" customHeight="false" outlineLevel="0" collapsed="false">
      <c r="A1710" s="26"/>
      <c r="B1710" s="15"/>
      <c r="C1710" s="15"/>
      <c r="D1710" s="27"/>
      <c r="E1710" s="15"/>
      <c r="F1710" s="28"/>
      <c r="G1710" s="25" t="str">
        <f aca="true">IF(OR(D1710="",E1710=""),"",IFERROR(D1710*INDEX(UnidadesFactor,MATCH(E1710,Unidades,0)),""))</f>
        <v/>
      </c>
      <c r="H1710" s="17" t="str">
        <f aca="false">IF(I1710&lt;&gt;"OK","",IF(G1710=0,"",F1710/G1710))</f>
        <v/>
      </c>
      <c r="I1710" s="20" t="str">
        <f aca="true">IF(B1710="","",IF(ISNA(MATCH(B1710,ListaInsumos,0)),"Insumo no está en Insumos",IF(OR(D1710="",E1710="",F1710=""),"Faltan datos",IF(INDEX(UnidadesBase,MATCH(E1710,Unidades,0))&lt;&gt;INDEX(InsBase,MATCH(B1710,ListaInsumos,0)),"Unidad incompatible",IF(A1710="","Falta fecha","OK")))))</f>
        <v/>
      </c>
      <c r="J1710" s="15"/>
    </row>
    <row r="1711" customFormat="false" ht="15" hidden="false" customHeight="false" outlineLevel="0" collapsed="false">
      <c r="A1711" s="26"/>
      <c r="B1711" s="15"/>
      <c r="C1711" s="15"/>
      <c r="D1711" s="27"/>
      <c r="E1711" s="15"/>
      <c r="F1711" s="28"/>
      <c r="G1711" s="25" t="str">
        <f aca="true">IF(OR(D1711="",E1711=""),"",IFERROR(D1711*INDEX(UnidadesFactor,MATCH(E1711,Unidades,0)),""))</f>
        <v/>
      </c>
      <c r="H1711" s="17" t="str">
        <f aca="false">IF(I1711&lt;&gt;"OK","",IF(G1711=0,"",F1711/G1711))</f>
        <v/>
      </c>
      <c r="I1711" s="20" t="str">
        <f aca="true">IF(B1711="","",IF(ISNA(MATCH(B1711,ListaInsumos,0)),"Insumo no está en Insumos",IF(OR(D1711="",E1711="",F1711=""),"Faltan datos",IF(INDEX(UnidadesBase,MATCH(E1711,Unidades,0))&lt;&gt;INDEX(InsBase,MATCH(B1711,ListaInsumos,0)),"Unidad incompatible",IF(A1711="","Falta fecha","OK")))))</f>
        <v/>
      </c>
      <c r="J1711" s="15"/>
    </row>
    <row r="1712" customFormat="false" ht="15" hidden="false" customHeight="false" outlineLevel="0" collapsed="false">
      <c r="A1712" s="26"/>
      <c r="B1712" s="15"/>
      <c r="C1712" s="15"/>
      <c r="D1712" s="27"/>
      <c r="E1712" s="15"/>
      <c r="F1712" s="28"/>
      <c r="G1712" s="25" t="str">
        <f aca="true">IF(OR(D1712="",E1712=""),"",IFERROR(D1712*INDEX(UnidadesFactor,MATCH(E1712,Unidades,0)),""))</f>
        <v/>
      </c>
      <c r="H1712" s="17" t="str">
        <f aca="false">IF(I1712&lt;&gt;"OK","",IF(G1712=0,"",F1712/G1712))</f>
        <v/>
      </c>
      <c r="I1712" s="20" t="str">
        <f aca="true">IF(B1712="","",IF(ISNA(MATCH(B1712,ListaInsumos,0)),"Insumo no está en Insumos",IF(OR(D1712="",E1712="",F1712=""),"Faltan datos",IF(INDEX(UnidadesBase,MATCH(E1712,Unidades,0))&lt;&gt;INDEX(InsBase,MATCH(B1712,ListaInsumos,0)),"Unidad incompatible",IF(A1712="","Falta fecha","OK")))))</f>
        <v/>
      </c>
      <c r="J1712" s="15"/>
    </row>
    <row r="1713" customFormat="false" ht="15" hidden="false" customHeight="false" outlineLevel="0" collapsed="false">
      <c r="A1713" s="26"/>
      <c r="B1713" s="15"/>
      <c r="C1713" s="15"/>
      <c r="D1713" s="27"/>
      <c r="E1713" s="15"/>
      <c r="F1713" s="28"/>
      <c r="G1713" s="25" t="str">
        <f aca="true">IF(OR(D1713="",E1713=""),"",IFERROR(D1713*INDEX(UnidadesFactor,MATCH(E1713,Unidades,0)),""))</f>
        <v/>
      </c>
      <c r="H1713" s="17" t="str">
        <f aca="false">IF(I1713&lt;&gt;"OK","",IF(G1713=0,"",F1713/G1713))</f>
        <v/>
      </c>
      <c r="I1713" s="20" t="str">
        <f aca="true">IF(B1713="","",IF(ISNA(MATCH(B1713,ListaInsumos,0)),"Insumo no está en Insumos",IF(OR(D1713="",E1713="",F1713=""),"Faltan datos",IF(INDEX(UnidadesBase,MATCH(E1713,Unidades,0))&lt;&gt;INDEX(InsBase,MATCH(B1713,ListaInsumos,0)),"Unidad incompatible",IF(A1713="","Falta fecha","OK")))))</f>
        <v/>
      </c>
      <c r="J1713" s="15"/>
    </row>
    <row r="1714" customFormat="false" ht="15" hidden="false" customHeight="false" outlineLevel="0" collapsed="false">
      <c r="A1714" s="26"/>
      <c r="B1714" s="15"/>
      <c r="C1714" s="15"/>
      <c r="D1714" s="27"/>
      <c r="E1714" s="15"/>
      <c r="F1714" s="28"/>
      <c r="G1714" s="25" t="str">
        <f aca="true">IF(OR(D1714="",E1714=""),"",IFERROR(D1714*INDEX(UnidadesFactor,MATCH(E1714,Unidades,0)),""))</f>
        <v/>
      </c>
      <c r="H1714" s="17" t="str">
        <f aca="false">IF(I1714&lt;&gt;"OK","",IF(G1714=0,"",F1714/G1714))</f>
        <v/>
      </c>
      <c r="I1714" s="20" t="str">
        <f aca="true">IF(B1714="","",IF(ISNA(MATCH(B1714,ListaInsumos,0)),"Insumo no está en Insumos",IF(OR(D1714="",E1714="",F1714=""),"Faltan datos",IF(INDEX(UnidadesBase,MATCH(E1714,Unidades,0))&lt;&gt;INDEX(InsBase,MATCH(B1714,ListaInsumos,0)),"Unidad incompatible",IF(A1714="","Falta fecha","OK")))))</f>
        <v/>
      </c>
      <c r="J1714" s="15"/>
    </row>
    <row r="1715" customFormat="false" ht="15" hidden="false" customHeight="false" outlineLevel="0" collapsed="false">
      <c r="A1715" s="26"/>
      <c r="B1715" s="15"/>
      <c r="C1715" s="15"/>
      <c r="D1715" s="27"/>
      <c r="E1715" s="15"/>
      <c r="F1715" s="28"/>
      <c r="G1715" s="25" t="str">
        <f aca="true">IF(OR(D1715="",E1715=""),"",IFERROR(D1715*INDEX(UnidadesFactor,MATCH(E1715,Unidades,0)),""))</f>
        <v/>
      </c>
      <c r="H1715" s="17" t="str">
        <f aca="false">IF(I1715&lt;&gt;"OK","",IF(G1715=0,"",F1715/G1715))</f>
        <v/>
      </c>
      <c r="I1715" s="20" t="str">
        <f aca="true">IF(B1715="","",IF(ISNA(MATCH(B1715,ListaInsumos,0)),"Insumo no está en Insumos",IF(OR(D1715="",E1715="",F1715=""),"Faltan datos",IF(INDEX(UnidadesBase,MATCH(E1715,Unidades,0))&lt;&gt;INDEX(InsBase,MATCH(B1715,ListaInsumos,0)),"Unidad incompatible",IF(A1715="","Falta fecha","OK")))))</f>
        <v/>
      </c>
      <c r="J1715" s="15"/>
    </row>
    <row r="1716" customFormat="false" ht="15" hidden="false" customHeight="false" outlineLevel="0" collapsed="false">
      <c r="A1716" s="26"/>
      <c r="B1716" s="15"/>
      <c r="C1716" s="15"/>
      <c r="D1716" s="27"/>
      <c r="E1716" s="15"/>
      <c r="F1716" s="28"/>
      <c r="G1716" s="25" t="str">
        <f aca="true">IF(OR(D1716="",E1716=""),"",IFERROR(D1716*INDEX(UnidadesFactor,MATCH(E1716,Unidades,0)),""))</f>
        <v/>
      </c>
      <c r="H1716" s="17" t="str">
        <f aca="false">IF(I1716&lt;&gt;"OK","",IF(G1716=0,"",F1716/G1716))</f>
        <v/>
      </c>
      <c r="I1716" s="20" t="str">
        <f aca="true">IF(B1716="","",IF(ISNA(MATCH(B1716,ListaInsumos,0)),"Insumo no está en Insumos",IF(OR(D1716="",E1716="",F1716=""),"Faltan datos",IF(INDEX(UnidadesBase,MATCH(E1716,Unidades,0))&lt;&gt;INDEX(InsBase,MATCH(B1716,ListaInsumos,0)),"Unidad incompatible",IF(A1716="","Falta fecha","OK")))))</f>
        <v/>
      </c>
      <c r="J1716" s="15"/>
    </row>
    <row r="1717" customFormat="false" ht="15" hidden="false" customHeight="false" outlineLevel="0" collapsed="false">
      <c r="A1717" s="26"/>
      <c r="B1717" s="15"/>
      <c r="C1717" s="15"/>
      <c r="D1717" s="27"/>
      <c r="E1717" s="15"/>
      <c r="F1717" s="28"/>
      <c r="G1717" s="25" t="str">
        <f aca="true">IF(OR(D1717="",E1717=""),"",IFERROR(D1717*INDEX(UnidadesFactor,MATCH(E1717,Unidades,0)),""))</f>
        <v/>
      </c>
      <c r="H1717" s="17" t="str">
        <f aca="false">IF(I1717&lt;&gt;"OK","",IF(G1717=0,"",F1717/G1717))</f>
        <v/>
      </c>
      <c r="I1717" s="20" t="str">
        <f aca="true">IF(B1717="","",IF(ISNA(MATCH(B1717,ListaInsumos,0)),"Insumo no está en Insumos",IF(OR(D1717="",E1717="",F1717=""),"Faltan datos",IF(INDEX(UnidadesBase,MATCH(E1717,Unidades,0))&lt;&gt;INDEX(InsBase,MATCH(B1717,ListaInsumos,0)),"Unidad incompatible",IF(A1717="","Falta fecha","OK")))))</f>
        <v/>
      </c>
      <c r="J1717" s="15"/>
    </row>
    <row r="1718" customFormat="false" ht="15" hidden="false" customHeight="false" outlineLevel="0" collapsed="false">
      <c r="A1718" s="26"/>
      <c r="B1718" s="15"/>
      <c r="C1718" s="15"/>
      <c r="D1718" s="27"/>
      <c r="E1718" s="15"/>
      <c r="F1718" s="28"/>
      <c r="G1718" s="25" t="str">
        <f aca="true">IF(OR(D1718="",E1718=""),"",IFERROR(D1718*INDEX(UnidadesFactor,MATCH(E1718,Unidades,0)),""))</f>
        <v/>
      </c>
      <c r="H1718" s="17" t="str">
        <f aca="false">IF(I1718&lt;&gt;"OK","",IF(G1718=0,"",F1718/G1718))</f>
        <v/>
      </c>
      <c r="I1718" s="20" t="str">
        <f aca="true">IF(B1718="","",IF(ISNA(MATCH(B1718,ListaInsumos,0)),"Insumo no está en Insumos",IF(OR(D1718="",E1718="",F1718=""),"Faltan datos",IF(INDEX(UnidadesBase,MATCH(E1718,Unidades,0))&lt;&gt;INDEX(InsBase,MATCH(B1718,ListaInsumos,0)),"Unidad incompatible",IF(A1718="","Falta fecha","OK")))))</f>
        <v/>
      </c>
      <c r="J1718" s="15"/>
    </row>
    <row r="1719" customFormat="false" ht="15" hidden="false" customHeight="false" outlineLevel="0" collapsed="false">
      <c r="A1719" s="26"/>
      <c r="B1719" s="15"/>
      <c r="C1719" s="15"/>
      <c r="D1719" s="27"/>
      <c r="E1719" s="15"/>
      <c r="F1719" s="28"/>
      <c r="G1719" s="25" t="str">
        <f aca="true">IF(OR(D1719="",E1719=""),"",IFERROR(D1719*INDEX(UnidadesFactor,MATCH(E1719,Unidades,0)),""))</f>
        <v/>
      </c>
      <c r="H1719" s="17" t="str">
        <f aca="false">IF(I1719&lt;&gt;"OK","",IF(G1719=0,"",F1719/G1719))</f>
        <v/>
      </c>
      <c r="I1719" s="20" t="str">
        <f aca="true">IF(B1719="","",IF(ISNA(MATCH(B1719,ListaInsumos,0)),"Insumo no está en Insumos",IF(OR(D1719="",E1719="",F1719=""),"Faltan datos",IF(INDEX(UnidadesBase,MATCH(E1719,Unidades,0))&lt;&gt;INDEX(InsBase,MATCH(B1719,ListaInsumos,0)),"Unidad incompatible",IF(A1719="","Falta fecha","OK")))))</f>
        <v/>
      </c>
      <c r="J1719" s="15"/>
    </row>
    <row r="1720" customFormat="false" ht="15" hidden="false" customHeight="false" outlineLevel="0" collapsed="false">
      <c r="A1720" s="26"/>
      <c r="B1720" s="15"/>
      <c r="C1720" s="15"/>
      <c r="D1720" s="27"/>
      <c r="E1720" s="15"/>
      <c r="F1720" s="28"/>
      <c r="G1720" s="25" t="str">
        <f aca="true">IF(OR(D1720="",E1720=""),"",IFERROR(D1720*INDEX(UnidadesFactor,MATCH(E1720,Unidades,0)),""))</f>
        <v/>
      </c>
      <c r="H1720" s="17" t="str">
        <f aca="false">IF(I1720&lt;&gt;"OK","",IF(G1720=0,"",F1720/G1720))</f>
        <v/>
      </c>
      <c r="I1720" s="20" t="str">
        <f aca="true">IF(B1720="","",IF(ISNA(MATCH(B1720,ListaInsumos,0)),"Insumo no está en Insumos",IF(OR(D1720="",E1720="",F1720=""),"Faltan datos",IF(INDEX(UnidadesBase,MATCH(E1720,Unidades,0))&lt;&gt;INDEX(InsBase,MATCH(B1720,ListaInsumos,0)),"Unidad incompatible",IF(A1720="","Falta fecha","OK")))))</f>
        <v/>
      </c>
      <c r="J1720" s="15"/>
    </row>
    <row r="1721" customFormat="false" ht="15" hidden="false" customHeight="false" outlineLevel="0" collapsed="false">
      <c r="A1721" s="26"/>
      <c r="B1721" s="15"/>
      <c r="C1721" s="15"/>
      <c r="D1721" s="27"/>
      <c r="E1721" s="15"/>
      <c r="F1721" s="28"/>
      <c r="G1721" s="25" t="str">
        <f aca="true">IF(OR(D1721="",E1721=""),"",IFERROR(D1721*INDEX(UnidadesFactor,MATCH(E1721,Unidades,0)),""))</f>
        <v/>
      </c>
      <c r="H1721" s="17" t="str">
        <f aca="false">IF(I1721&lt;&gt;"OK","",IF(G1721=0,"",F1721/G1721))</f>
        <v/>
      </c>
      <c r="I1721" s="20" t="str">
        <f aca="true">IF(B1721="","",IF(ISNA(MATCH(B1721,ListaInsumos,0)),"Insumo no está en Insumos",IF(OR(D1721="",E1721="",F1721=""),"Faltan datos",IF(INDEX(UnidadesBase,MATCH(E1721,Unidades,0))&lt;&gt;INDEX(InsBase,MATCH(B1721,ListaInsumos,0)),"Unidad incompatible",IF(A1721="","Falta fecha","OK")))))</f>
        <v/>
      </c>
      <c r="J1721" s="15"/>
    </row>
    <row r="1722" customFormat="false" ht="15" hidden="false" customHeight="false" outlineLevel="0" collapsed="false">
      <c r="A1722" s="26"/>
      <c r="B1722" s="15"/>
      <c r="C1722" s="15"/>
      <c r="D1722" s="27"/>
      <c r="E1722" s="15"/>
      <c r="F1722" s="28"/>
      <c r="G1722" s="25" t="str">
        <f aca="true">IF(OR(D1722="",E1722=""),"",IFERROR(D1722*INDEX(UnidadesFactor,MATCH(E1722,Unidades,0)),""))</f>
        <v/>
      </c>
      <c r="H1722" s="17" t="str">
        <f aca="false">IF(I1722&lt;&gt;"OK","",IF(G1722=0,"",F1722/G1722))</f>
        <v/>
      </c>
      <c r="I1722" s="20" t="str">
        <f aca="true">IF(B1722="","",IF(ISNA(MATCH(B1722,ListaInsumos,0)),"Insumo no está en Insumos",IF(OR(D1722="",E1722="",F1722=""),"Faltan datos",IF(INDEX(UnidadesBase,MATCH(E1722,Unidades,0))&lt;&gt;INDEX(InsBase,MATCH(B1722,ListaInsumos,0)),"Unidad incompatible",IF(A1722="","Falta fecha","OK")))))</f>
        <v/>
      </c>
      <c r="J1722" s="15"/>
    </row>
    <row r="1723" customFormat="false" ht="15" hidden="false" customHeight="false" outlineLevel="0" collapsed="false">
      <c r="A1723" s="26"/>
      <c r="B1723" s="15"/>
      <c r="C1723" s="15"/>
      <c r="D1723" s="27"/>
      <c r="E1723" s="15"/>
      <c r="F1723" s="28"/>
      <c r="G1723" s="25" t="str">
        <f aca="true">IF(OR(D1723="",E1723=""),"",IFERROR(D1723*INDEX(UnidadesFactor,MATCH(E1723,Unidades,0)),""))</f>
        <v/>
      </c>
      <c r="H1723" s="17" t="str">
        <f aca="false">IF(I1723&lt;&gt;"OK","",IF(G1723=0,"",F1723/G1723))</f>
        <v/>
      </c>
      <c r="I1723" s="20" t="str">
        <f aca="true">IF(B1723="","",IF(ISNA(MATCH(B1723,ListaInsumos,0)),"Insumo no está en Insumos",IF(OR(D1723="",E1723="",F1723=""),"Faltan datos",IF(INDEX(UnidadesBase,MATCH(E1723,Unidades,0))&lt;&gt;INDEX(InsBase,MATCH(B1723,ListaInsumos,0)),"Unidad incompatible",IF(A1723="","Falta fecha","OK")))))</f>
        <v/>
      </c>
      <c r="J1723" s="15"/>
    </row>
    <row r="1724" customFormat="false" ht="15" hidden="false" customHeight="false" outlineLevel="0" collapsed="false">
      <c r="A1724" s="26"/>
      <c r="B1724" s="15"/>
      <c r="C1724" s="15"/>
      <c r="D1724" s="27"/>
      <c r="E1724" s="15"/>
      <c r="F1724" s="28"/>
      <c r="G1724" s="25" t="str">
        <f aca="true">IF(OR(D1724="",E1724=""),"",IFERROR(D1724*INDEX(UnidadesFactor,MATCH(E1724,Unidades,0)),""))</f>
        <v/>
      </c>
      <c r="H1724" s="17" t="str">
        <f aca="false">IF(I1724&lt;&gt;"OK","",IF(G1724=0,"",F1724/G1724))</f>
        <v/>
      </c>
      <c r="I1724" s="20" t="str">
        <f aca="true">IF(B1724="","",IF(ISNA(MATCH(B1724,ListaInsumos,0)),"Insumo no está en Insumos",IF(OR(D1724="",E1724="",F1724=""),"Faltan datos",IF(INDEX(UnidadesBase,MATCH(E1724,Unidades,0))&lt;&gt;INDEX(InsBase,MATCH(B1724,ListaInsumos,0)),"Unidad incompatible",IF(A1724="","Falta fecha","OK")))))</f>
        <v/>
      </c>
      <c r="J1724" s="15"/>
    </row>
    <row r="1725" customFormat="false" ht="15" hidden="false" customHeight="false" outlineLevel="0" collapsed="false">
      <c r="A1725" s="26"/>
      <c r="B1725" s="15"/>
      <c r="C1725" s="15"/>
      <c r="D1725" s="27"/>
      <c r="E1725" s="15"/>
      <c r="F1725" s="28"/>
      <c r="G1725" s="25" t="str">
        <f aca="true">IF(OR(D1725="",E1725=""),"",IFERROR(D1725*INDEX(UnidadesFactor,MATCH(E1725,Unidades,0)),""))</f>
        <v/>
      </c>
      <c r="H1725" s="17" t="str">
        <f aca="false">IF(I1725&lt;&gt;"OK","",IF(G1725=0,"",F1725/G1725))</f>
        <v/>
      </c>
      <c r="I1725" s="20" t="str">
        <f aca="true">IF(B1725="","",IF(ISNA(MATCH(B1725,ListaInsumos,0)),"Insumo no está en Insumos",IF(OR(D1725="",E1725="",F1725=""),"Faltan datos",IF(INDEX(UnidadesBase,MATCH(E1725,Unidades,0))&lt;&gt;INDEX(InsBase,MATCH(B1725,ListaInsumos,0)),"Unidad incompatible",IF(A1725="","Falta fecha","OK")))))</f>
        <v/>
      </c>
      <c r="J1725" s="15"/>
    </row>
    <row r="1726" customFormat="false" ht="15" hidden="false" customHeight="false" outlineLevel="0" collapsed="false">
      <c r="A1726" s="26"/>
      <c r="B1726" s="15"/>
      <c r="C1726" s="15"/>
      <c r="D1726" s="27"/>
      <c r="E1726" s="15"/>
      <c r="F1726" s="28"/>
      <c r="G1726" s="25" t="str">
        <f aca="true">IF(OR(D1726="",E1726=""),"",IFERROR(D1726*INDEX(UnidadesFactor,MATCH(E1726,Unidades,0)),""))</f>
        <v/>
      </c>
      <c r="H1726" s="17" t="str">
        <f aca="false">IF(I1726&lt;&gt;"OK","",IF(G1726=0,"",F1726/G1726))</f>
        <v/>
      </c>
      <c r="I1726" s="20" t="str">
        <f aca="true">IF(B1726="","",IF(ISNA(MATCH(B1726,ListaInsumos,0)),"Insumo no está en Insumos",IF(OR(D1726="",E1726="",F1726=""),"Faltan datos",IF(INDEX(UnidadesBase,MATCH(E1726,Unidades,0))&lt;&gt;INDEX(InsBase,MATCH(B1726,ListaInsumos,0)),"Unidad incompatible",IF(A1726="","Falta fecha","OK")))))</f>
        <v/>
      </c>
      <c r="J1726" s="15"/>
    </row>
    <row r="1727" customFormat="false" ht="15" hidden="false" customHeight="false" outlineLevel="0" collapsed="false">
      <c r="A1727" s="26"/>
      <c r="B1727" s="15"/>
      <c r="C1727" s="15"/>
      <c r="D1727" s="27"/>
      <c r="E1727" s="15"/>
      <c r="F1727" s="28"/>
      <c r="G1727" s="25" t="str">
        <f aca="true">IF(OR(D1727="",E1727=""),"",IFERROR(D1727*INDEX(UnidadesFactor,MATCH(E1727,Unidades,0)),""))</f>
        <v/>
      </c>
      <c r="H1727" s="17" t="str">
        <f aca="false">IF(I1727&lt;&gt;"OK","",IF(G1727=0,"",F1727/G1727))</f>
        <v/>
      </c>
      <c r="I1727" s="20" t="str">
        <f aca="true">IF(B1727="","",IF(ISNA(MATCH(B1727,ListaInsumos,0)),"Insumo no está en Insumos",IF(OR(D1727="",E1727="",F1727=""),"Faltan datos",IF(INDEX(UnidadesBase,MATCH(E1727,Unidades,0))&lt;&gt;INDEX(InsBase,MATCH(B1727,ListaInsumos,0)),"Unidad incompatible",IF(A1727="","Falta fecha","OK")))))</f>
        <v/>
      </c>
      <c r="J1727" s="15"/>
    </row>
    <row r="1728" customFormat="false" ht="15" hidden="false" customHeight="false" outlineLevel="0" collapsed="false">
      <c r="A1728" s="26"/>
      <c r="B1728" s="15"/>
      <c r="C1728" s="15"/>
      <c r="D1728" s="27"/>
      <c r="E1728" s="15"/>
      <c r="F1728" s="28"/>
      <c r="G1728" s="25" t="str">
        <f aca="true">IF(OR(D1728="",E1728=""),"",IFERROR(D1728*INDEX(UnidadesFactor,MATCH(E1728,Unidades,0)),""))</f>
        <v/>
      </c>
      <c r="H1728" s="17" t="str">
        <f aca="false">IF(I1728&lt;&gt;"OK","",IF(G1728=0,"",F1728/G1728))</f>
        <v/>
      </c>
      <c r="I1728" s="20" t="str">
        <f aca="true">IF(B1728="","",IF(ISNA(MATCH(B1728,ListaInsumos,0)),"Insumo no está en Insumos",IF(OR(D1728="",E1728="",F1728=""),"Faltan datos",IF(INDEX(UnidadesBase,MATCH(E1728,Unidades,0))&lt;&gt;INDEX(InsBase,MATCH(B1728,ListaInsumos,0)),"Unidad incompatible",IF(A1728="","Falta fecha","OK")))))</f>
        <v/>
      </c>
      <c r="J1728" s="15"/>
    </row>
    <row r="1729" customFormat="false" ht="15" hidden="false" customHeight="false" outlineLevel="0" collapsed="false">
      <c r="A1729" s="26"/>
      <c r="B1729" s="15"/>
      <c r="C1729" s="15"/>
      <c r="D1729" s="27"/>
      <c r="E1729" s="15"/>
      <c r="F1729" s="28"/>
      <c r="G1729" s="25" t="str">
        <f aca="true">IF(OR(D1729="",E1729=""),"",IFERROR(D1729*INDEX(UnidadesFactor,MATCH(E1729,Unidades,0)),""))</f>
        <v/>
      </c>
      <c r="H1729" s="17" t="str">
        <f aca="false">IF(I1729&lt;&gt;"OK","",IF(G1729=0,"",F1729/G1729))</f>
        <v/>
      </c>
      <c r="I1729" s="20" t="str">
        <f aca="true">IF(B1729="","",IF(ISNA(MATCH(B1729,ListaInsumos,0)),"Insumo no está en Insumos",IF(OR(D1729="",E1729="",F1729=""),"Faltan datos",IF(INDEX(UnidadesBase,MATCH(E1729,Unidades,0))&lt;&gt;INDEX(InsBase,MATCH(B1729,ListaInsumos,0)),"Unidad incompatible",IF(A1729="","Falta fecha","OK")))))</f>
        <v/>
      </c>
      <c r="J1729" s="15"/>
    </row>
    <row r="1730" customFormat="false" ht="15" hidden="false" customHeight="false" outlineLevel="0" collapsed="false">
      <c r="A1730" s="26"/>
      <c r="B1730" s="15"/>
      <c r="C1730" s="15"/>
      <c r="D1730" s="27"/>
      <c r="E1730" s="15"/>
      <c r="F1730" s="28"/>
      <c r="G1730" s="25" t="str">
        <f aca="true">IF(OR(D1730="",E1730=""),"",IFERROR(D1730*INDEX(UnidadesFactor,MATCH(E1730,Unidades,0)),""))</f>
        <v/>
      </c>
      <c r="H1730" s="17" t="str">
        <f aca="false">IF(I1730&lt;&gt;"OK","",IF(G1730=0,"",F1730/G1730))</f>
        <v/>
      </c>
      <c r="I1730" s="20" t="str">
        <f aca="true">IF(B1730="","",IF(ISNA(MATCH(B1730,ListaInsumos,0)),"Insumo no está en Insumos",IF(OR(D1730="",E1730="",F1730=""),"Faltan datos",IF(INDEX(UnidadesBase,MATCH(E1730,Unidades,0))&lt;&gt;INDEX(InsBase,MATCH(B1730,ListaInsumos,0)),"Unidad incompatible",IF(A1730="","Falta fecha","OK")))))</f>
        <v/>
      </c>
      <c r="J1730" s="15"/>
    </row>
    <row r="1731" customFormat="false" ht="15" hidden="false" customHeight="false" outlineLevel="0" collapsed="false">
      <c r="A1731" s="26"/>
      <c r="B1731" s="15"/>
      <c r="C1731" s="15"/>
      <c r="D1731" s="27"/>
      <c r="E1731" s="15"/>
      <c r="F1731" s="28"/>
      <c r="G1731" s="25" t="str">
        <f aca="true">IF(OR(D1731="",E1731=""),"",IFERROR(D1731*INDEX(UnidadesFactor,MATCH(E1731,Unidades,0)),""))</f>
        <v/>
      </c>
      <c r="H1731" s="17" t="str">
        <f aca="false">IF(I1731&lt;&gt;"OK","",IF(G1731=0,"",F1731/G1731))</f>
        <v/>
      </c>
      <c r="I1731" s="20" t="str">
        <f aca="true">IF(B1731="","",IF(ISNA(MATCH(B1731,ListaInsumos,0)),"Insumo no está en Insumos",IF(OR(D1731="",E1731="",F1731=""),"Faltan datos",IF(INDEX(UnidadesBase,MATCH(E1731,Unidades,0))&lt;&gt;INDEX(InsBase,MATCH(B1731,ListaInsumos,0)),"Unidad incompatible",IF(A1731="","Falta fecha","OK")))))</f>
        <v/>
      </c>
      <c r="J1731" s="15"/>
    </row>
    <row r="1732" customFormat="false" ht="15" hidden="false" customHeight="false" outlineLevel="0" collapsed="false">
      <c r="A1732" s="26"/>
      <c r="B1732" s="15"/>
      <c r="C1732" s="15"/>
      <c r="D1732" s="27"/>
      <c r="E1732" s="15"/>
      <c r="F1732" s="28"/>
      <c r="G1732" s="25" t="str">
        <f aca="true">IF(OR(D1732="",E1732=""),"",IFERROR(D1732*INDEX(UnidadesFactor,MATCH(E1732,Unidades,0)),""))</f>
        <v/>
      </c>
      <c r="H1732" s="17" t="str">
        <f aca="false">IF(I1732&lt;&gt;"OK","",IF(G1732=0,"",F1732/G1732))</f>
        <v/>
      </c>
      <c r="I1732" s="20" t="str">
        <f aca="true">IF(B1732="","",IF(ISNA(MATCH(B1732,ListaInsumos,0)),"Insumo no está en Insumos",IF(OR(D1732="",E1732="",F1732=""),"Faltan datos",IF(INDEX(UnidadesBase,MATCH(E1732,Unidades,0))&lt;&gt;INDEX(InsBase,MATCH(B1732,ListaInsumos,0)),"Unidad incompatible",IF(A1732="","Falta fecha","OK")))))</f>
        <v/>
      </c>
      <c r="J1732" s="15"/>
    </row>
    <row r="1733" customFormat="false" ht="15" hidden="false" customHeight="false" outlineLevel="0" collapsed="false">
      <c r="A1733" s="26"/>
      <c r="B1733" s="15"/>
      <c r="C1733" s="15"/>
      <c r="D1733" s="27"/>
      <c r="E1733" s="15"/>
      <c r="F1733" s="28"/>
      <c r="G1733" s="25" t="str">
        <f aca="true">IF(OR(D1733="",E1733=""),"",IFERROR(D1733*INDEX(UnidadesFactor,MATCH(E1733,Unidades,0)),""))</f>
        <v/>
      </c>
      <c r="H1733" s="17" t="str">
        <f aca="false">IF(I1733&lt;&gt;"OK","",IF(G1733=0,"",F1733/G1733))</f>
        <v/>
      </c>
      <c r="I1733" s="20" t="str">
        <f aca="true">IF(B1733="","",IF(ISNA(MATCH(B1733,ListaInsumos,0)),"Insumo no está en Insumos",IF(OR(D1733="",E1733="",F1733=""),"Faltan datos",IF(INDEX(UnidadesBase,MATCH(E1733,Unidades,0))&lt;&gt;INDEX(InsBase,MATCH(B1733,ListaInsumos,0)),"Unidad incompatible",IF(A1733="","Falta fecha","OK")))))</f>
        <v/>
      </c>
      <c r="J1733" s="15"/>
    </row>
    <row r="1734" customFormat="false" ht="15" hidden="false" customHeight="false" outlineLevel="0" collapsed="false">
      <c r="A1734" s="26"/>
      <c r="B1734" s="15"/>
      <c r="C1734" s="15"/>
      <c r="D1734" s="27"/>
      <c r="E1734" s="15"/>
      <c r="F1734" s="28"/>
      <c r="G1734" s="25" t="str">
        <f aca="true">IF(OR(D1734="",E1734=""),"",IFERROR(D1734*INDEX(UnidadesFactor,MATCH(E1734,Unidades,0)),""))</f>
        <v/>
      </c>
      <c r="H1734" s="17" t="str">
        <f aca="false">IF(I1734&lt;&gt;"OK","",IF(G1734=0,"",F1734/G1734))</f>
        <v/>
      </c>
      <c r="I1734" s="20" t="str">
        <f aca="true">IF(B1734="","",IF(ISNA(MATCH(B1734,ListaInsumos,0)),"Insumo no está en Insumos",IF(OR(D1734="",E1734="",F1734=""),"Faltan datos",IF(INDEX(UnidadesBase,MATCH(E1734,Unidades,0))&lt;&gt;INDEX(InsBase,MATCH(B1734,ListaInsumos,0)),"Unidad incompatible",IF(A1734="","Falta fecha","OK")))))</f>
        <v/>
      </c>
      <c r="J1734" s="15"/>
    </row>
    <row r="1735" customFormat="false" ht="15" hidden="false" customHeight="false" outlineLevel="0" collapsed="false">
      <c r="A1735" s="26"/>
      <c r="B1735" s="15"/>
      <c r="C1735" s="15"/>
      <c r="D1735" s="27"/>
      <c r="E1735" s="15"/>
      <c r="F1735" s="28"/>
      <c r="G1735" s="25" t="str">
        <f aca="true">IF(OR(D1735="",E1735=""),"",IFERROR(D1735*INDEX(UnidadesFactor,MATCH(E1735,Unidades,0)),""))</f>
        <v/>
      </c>
      <c r="H1735" s="17" t="str">
        <f aca="false">IF(I1735&lt;&gt;"OK","",IF(G1735=0,"",F1735/G1735))</f>
        <v/>
      </c>
      <c r="I1735" s="20" t="str">
        <f aca="true">IF(B1735="","",IF(ISNA(MATCH(B1735,ListaInsumos,0)),"Insumo no está en Insumos",IF(OR(D1735="",E1735="",F1735=""),"Faltan datos",IF(INDEX(UnidadesBase,MATCH(E1735,Unidades,0))&lt;&gt;INDEX(InsBase,MATCH(B1735,ListaInsumos,0)),"Unidad incompatible",IF(A1735="","Falta fecha","OK")))))</f>
        <v/>
      </c>
      <c r="J1735" s="15"/>
    </row>
    <row r="1736" customFormat="false" ht="15" hidden="false" customHeight="false" outlineLevel="0" collapsed="false">
      <c r="A1736" s="26"/>
      <c r="B1736" s="15"/>
      <c r="C1736" s="15"/>
      <c r="D1736" s="27"/>
      <c r="E1736" s="15"/>
      <c r="F1736" s="28"/>
      <c r="G1736" s="25" t="str">
        <f aca="true">IF(OR(D1736="",E1736=""),"",IFERROR(D1736*INDEX(UnidadesFactor,MATCH(E1736,Unidades,0)),""))</f>
        <v/>
      </c>
      <c r="H1736" s="17" t="str">
        <f aca="false">IF(I1736&lt;&gt;"OK","",IF(G1736=0,"",F1736/G1736))</f>
        <v/>
      </c>
      <c r="I1736" s="20" t="str">
        <f aca="true">IF(B1736="","",IF(ISNA(MATCH(B1736,ListaInsumos,0)),"Insumo no está en Insumos",IF(OR(D1736="",E1736="",F1736=""),"Faltan datos",IF(INDEX(UnidadesBase,MATCH(E1736,Unidades,0))&lt;&gt;INDEX(InsBase,MATCH(B1736,ListaInsumos,0)),"Unidad incompatible",IF(A1736="","Falta fecha","OK")))))</f>
        <v/>
      </c>
      <c r="J1736" s="15"/>
    </row>
    <row r="1737" customFormat="false" ht="15" hidden="false" customHeight="false" outlineLevel="0" collapsed="false">
      <c r="A1737" s="26"/>
      <c r="B1737" s="15"/>
      <c r="C1737" s="15"/>
      <c r="D1737" s="27"/>
      <c r="E1737" s="15"/>
      <c r="F1737" s="28"/>
      <c r="G1737" s="25" t="str">
        <f aca="true">IF(OR(D1737="",E1737=""),"",IFERROR(D1737*INDEX(UnidadesFactor,MATCH(E1737,Unidades,0)),""))</f>
        <v/>
      </c>
      <c r="H1737" s="17" t="str">
        <f aca="false">IF(I1737&lt;&gt;"OK","",IF(G1737=0,"",F1737/G1737))</f>
        <v/>
      </c>
      <c r="I1737" s="20" t="str">
        <f aca="true">IF(B1737="","",IF(ISNA(MATCH(B1737,ListaInsumos,0)),"Insumo no está en Insumos",IF(OR(D1737="",E1737="",F1737=""),"Faltan datos",IF(INDEX(UnidadesBase,MATCH(E1737,Unidades,0))&lt;&gt;INDEX(InsBase,MATCH(B1737,ListaInsumos,0)),"Unidad incompatible",IF(A1737="","Falta fecha","OK")))))</f>
        <v/>
      </c>
      <c r="J1737" s="15"/>
    </row>
    <row r="1738" customFormat="false" ht="15" hidden="false" customHeight="false" outlineLevel="0" collapsed="false">
      <c r="A1738" s="26"/>
      <c r="B1738" s="15"/>
      <c r="C1738" s="15"/>
      <c r="D1738" s="27"/>
      <c r="E1738" s="15"/>
      <c r="F1738" s="28"/>
      <c r="G1738" s="25" t="str">
        <f aca="true">IF(OR(D1738="",E1738=""),"",IFERROR(D1738*INDEX(UnidadesFactor,MATCH(E1738,Unidades,0)),""))</f>
        <v/>
      </c>
      <c r="H1738" s="17" t="str">
        <f aca="false">IF(I1738&lt;&gt;"OK","",IF(G1738=0,"",F1738/G1738))</f>
        <v/>
      </c>
      <c r="I1738" s="20" t="str">
        <f aca="true">IF(B1738="","",IF(ISNA(MATCH(B1738,ListaInsumos,0)),"Insumo no está en Insumos",IF(OR(D1738="",E1738="",F1738=""),"Faltan datos",IF(INDEX(UnidadesBase,MATCH(E1738,Unidades,0))&lt;&gt;INDEX(InsBase,MATCH(B1738,ListaInsumos,0)),"Unidad incompatible",IF(A1738="","Falta fecha","OK")))))</f>
        <v/>
      </c>
      <c r="J1738" s="15"/>
    </row>
    <row r="1739" customFormat="false" ht="15" hidden="false" customHeight="false" outlineLevel="0" collapsed="false">
      <c r="A1739" s="26"/>
      <c r="B1739" s="15"/>
      <c r="C1739" s="15"/>
      <c r="D1739" s="27"/>
      <c r="E1739" s="15"/>
      <c r="F1739" s="28"/>
      <c r="G1739" s="25" t="str">
        <f aca="true">IF(OR(D1739="",E1739=""),"",IFERROR(D1739*INDEX(UnidadesFactor,MATCH(E1739,Unidades,0)),""))</f>
        <v/>
      </c>
      <c r="H1739" s="17" t="str">
        <f aca="false">IF(I1739&lt;&gt;"OK","",IF(G1739=0,"",F1739/G1739))</f>
        <v/>
      </c>
      <c r="I1739" s="20" t="str">
        <f aca="true">IF(B1739="","",IF(ISNA(MATCH(B1739,ListaInsumos,0)),"Insumo no está en Insumos",IF(OR(D1739="",E1739="",F1739=""),"Faltan datos",IF(INDEX(UnidadesBase,MATCH(E1739,Unidades,0))&lt;&gt;INDEX(InsBase,MATCH(B1739,ListaInsumos,0)),"Unidad incompatible",IF(A1739="","Falta fecha","OK")))))</f>
        <v/>
      </c>
      <c r="J1739" s="15"/>
    </row>
    <row r="1740" customFormat="false" ht="15" hidden="false" customHeight="false" outlineLevel="0" collapsed="false">
      <c r="A1740" s="26"/>
      <c r="B1740" s="15"/>
      <c r="C1740" s="15"/>
      <c r="D1740" s="27"/>
      <c r="E1740" s="15"/>
      <c r="F1740" s="28"/>
      <c r="G1740" s="25" t="str">
        <f aca="true">IF(OR(D1740="",E1740=""),"",IFERROR(D1740*INDEX(UnidadesFactor,MATCH(E1740,Unidades,0)),""))</f>
        <v/>
      </c>
      <c r="H1740" s="17" t="str">
        <f aca="false">IF(I1740&lt;&gt;"OK","",IF(G1740=0,"",F1740/G1740))</f>
        <v/>
      </c>
      <c r="I1740" s="20" t="str">
        <f aca="true">IF(B1740="","",IF(ISNA(MATCH(B1740,ListaInsumos,0)),"Insumo no está en Insumos",IF(OR(D1740="",E1740="",F1740=""),"Faltan datos",IF(INDEX(UnidadesBase,MATCH(E1740,Unidades,0))&lt;&gt;INDEX(InsBase,MATCH(B1740,ListaInsumos,0)),"Unidad incompatible",IF(A1740="","Falta fecha","OK")))))</f>
        <v/>
      </c>
      <c r="J1740" s="15"/>
    </row>
    <row r="1741" customFormat="false" ht="15" hidden="false" customHeight="false" outlineLevel="0" collapsed="false">
      <c r="A1741" s="26"/>
      <c r="B1741" s="15"/>
      <c r="C1741" s="15"/>
      <c r="D1741" s="27"/>
      <c r="E1741" s="15"/>
      <c r="F1741" s="28"/>
      <c r="G1741" s="25" t="str">
        <f aca="true">IF(OR(D1741="",E1741=""),"",IFERROR(D1741*INDEX(UnidadesFactor,MATCH(E1741,Unidades,0)),""))</f>
        <v/>
      </c>
      <c r="H1741" s="17" t="str">
        <f aca="false">IF(I1741&lt;&gt;"OK","",IF(G1741=0,"",F1741/G1741))</f>
        <v/>
      </c>
      <c r="I1741" s="20" t="str">
        <f aca="true">IF(B1741="","",IF(ISNA(MATCH(B1741,ListaInsumos,0)),"Insumo no está en Insumos",IF(OR(D1741="",E1741="",F1741=""),"Faltan datos",IF(INDEX(UnidadesBase,MATCH(E1741,Unidades,0))&lt;&gt;INDEX(InsBase,MATCH(B1741,ListaInsumos,0)),"Unidad incompatible",IF(A1741="","Falta fecha","OK")))))</f>
        <v/>
      </c>
      <c r="J1741" s="15"/>
    </row>
    <row r="1742" customFormat="false" ht="15" hidden="false" customHeight="false" outlineLevel="0" collapsed="false">
      <c r="A1742" s="26"/>
      <c r="B1742" s="15"/>
      <c r="C1742" s="15"/>
      <c r="D1742" s="27"/>
      <c r="E1742" s="15"/>
      <c r="F1742" s="28"/>
      <c r="G1742" s="25" t="str">
        <f aca="true">IF(OR(D1742="",E1742=""),"",IFERROR(D1742*INDEX(UnidadesFactor,MATCH(E1742,Unidades,0)),""))</f>
        <v/>
      </c>
      <c r="H1742" s="17" t="str">
        <f aca="false">IF(I1742&lt;&gt;"OK","",IF(G1742=0,"",F1742/G1742))</f>
        <v/>
      </c>
      <c r="I1742" s="20" t="str">
        <f aca="true">IF(B1742="","",IF(ISNA(MATCH(B1742,ListaInsumos,0)),"Insumo no está en Insumos",IF(OR(D1742="",E1742="",F1742=""),"Faltan datos",IF(INDEX(UnidadesBase,MATCH(E1742,Unidades,0))&lt;&gt;INDEX(InsBase,MATCH(B1742,ListaInsumos,0)),"Unidad incompatible",IF(A1742="","Falta fecha","OK")))))</f>
        <v/>
      </c>
      <c r="J1742" s="15"/>
    </row>
    <row r="1743" customFormat="false" ht="15" hidden="false" customHeight="false" outlineLevel="0" collapsed="false">
      <c r="A1743" s="26"/>
      <c r="B1743" s="15"/>
      <c r="C1743" s="15"/>
      <c r="D1743" s="27"/>
      <c r="E1743" s="15"/>
      <c r="F1743" s="28"/>
      <c r="G1743" s="25" t="str">
        <f aca="true">IF(OR(D1743="",E1743=""),"",IFERROR(D1743*INDEX(UnidadesFactor,MATCH(E1743,Unidades,0)),""))</f>
        <v/>
      </c>
      <c r="H1743" s="17" t="str">
        <f aca="false">IF(I1743&lt;&gt;"OK","",IF(G1743=0,"",F1743/G1743))</f>
        <v/>
      </c>
      <c r="I1743" s="20" t="str">
        <f aca="true">IF(B1743="","",IF(ISNA(MATCH(B1743,ListaInsumos,0)),"Insumo no está en Insumos",IF(OR(D1743="",E1743="",F1743=""),"Faltan datos",IF(INDEX(UnidadesBase,MATCH(E1743,Unidades,0))&lt;&gt;INDEX(InsBase,MATCH(B1743,ListaInsumos,0)),"Unidad incompatible",IF(A1743="","Falta fecha","OK")))))</f>
        <v/>
      </c>
      <c r="J1743" s="15"/>
    </row>
    <row r="1744" customFormat="false" ht="15" hidden="false" customHeight="false" outlineLevel="0" collapsed="false">
      <c r="A1744" s="26"/>
      <c r="B1744" s="15"/>
      <c r="C1744" s="15"/>
      <c r="D1744" s="27"/>
      <c r="E1744" s="15"/>
      <c r="F1744" s="28"/>
      <c r="G1744" s="25" t="str">
        <f aca="true">IF(OR(D1744="",E1744=""),"",IFERROR(D1744*INDEX(UnidadesFactor,MATCH(E1744,Unidades,0)),""))</f>
        <v/>
      </c>
      <c r="H1744" s="17" t="str">
        <f aca="false">IF(I1744&lt;&gt;"OK","",IF(G1744=0,"",F1744/G1744))</f>
        <v/>
      </c>
      <c r="I1744" s="20" t="str">
        <f aca="true">IF(B1744="","",IF(ISNA(MATCH(B1744,ListaInsumos,0)),"Insumo no está en Insumos",IF(OR(D1744="",E1744="",F1744=""),"Faltan datos",IF(INDEX(UnidadesBase,MATCH(E1744,Unidades,0))&lt;&gt;INDEX(InsBase,MATCH(B1744,ListaInsumos,0)),"Unidad incompatible",IF(A1744="","Falta fecha","OK")))))</f>
        <v/>
      </c>
      <c r="J1744" s="15"/>
    </row>
    <row r="1745" customFormat="false" ht="15" hidden="false" customHeight="false" outlineLevel="0" collapsed="false">
      <c r="A1745" s="26"/>
      <c r="B1745" s="15"/>
      <c r="C1745" s="15"/>
      <c r="D1745" s="27"/>
      <c r="E1745" s="15"/>
      <c r="F1745" s="28"/>
      <c r="G1745" s="25" t="str">
        <f aca="true">IF(OR(D1745="",E1745=""),"",IFERROR(D1745*INDEX(UnidadesFactor,MATCH(E1745,Unidades,0)),""))</f>
        <v/>
      </c>
      <c r="H1745" s="17" t="str">
        <f aca="false">IF(I1745&lt;&gt;"OK","",IF(G1745=0,"",F1745/G1745))</f>
        <v/>
      </c>
      <c r="I1745" s="20" t="str">
        <f aca="true">IF(B1745="","",IF(ISNA(MATCH(B1745,ListaInsumos,0)),"Insumo no está en Insumos",IF(OR(D1745="",E1745="",F1745=""),"Faltan datos",IF(INDEX(UnidadesBase,MATCH(E1745,Unidades,0))&lt;&gt;INDEX(InsBase,MATCH(B1745,ListaInsumos,0)),"Unidad incompatible",IF(A1745="","Falta fecha","OK")))))</f>
        <v/>
      </c>
      <c r="J1745" s="15"/>
    </row>
    <row r="1746" customFormat="false" ht="15" hidden="false" customHeight="false" outlineLevel="0" collapsed="false">
      <c r="A1746" s="26"/>
      <c r="B1746" s="15"/>
      <c r="C1746" s="15"/>
      <c r="D1746" s="27"/>
      <c r="E1746" s="15"/>
      <c r="F1746" s="28"/>
      <c r="G1746" s="25" t="str">
        <f aca="true">IF(OR(D1746="",E1746=""),"",IFERROR(D1746*INDEX(UnidadesFactor,MATCH(E1746,Unidades,0)),""))</f>
        <v/>
      </c>
      <c r="H1746" s="17" t="str">
        <f aca="false">IF(I1746&lt;&gt;"OK","",IF(G1746=0,"",F1746/G1746))</f>
        <v/>
      </c>
      <c r="I1746" s="20" t="str">
        <f aca="true">IF(B1746="","",IF(ISNA(MATCH(B1746,ListaInsumos,0)),"Insumo no está en Insumos",IF(OR(D1746="",E1746="",F1746=""),"Faltan datos",IF(INDEX(UnidadesBase,MATCH(E1746,Unidades,0))&lt;&gt;INDEX(InsBase,MATCH(B1746,ListaInsumos,0)),"Unidad incompatible",IF(A1746="","Falta fecha","OK")))))</f>
        <v/>
      </c>
      <c r="J1746" s="15"/>
    </row>
    <row r="1747" customFormat="false" ht="15" hidden="false" customHeight="false" outlineLevel="0" collapsed="false">
      <c r="A1747" s="26"/>
      <c r="B1747" s="15"/>
      <c r="C1747" s="15"/>
      <c r="D1747" s="27"/>
      <c r="E1747" s="15"/>
      <c r="F1747" s="28"/>
      <c r="G1747" s="25" t="str">
        <f aca="true">IF(OR(D1747="",E1747=""),"",IFERROR(D1747*INDEX(UnidadesFactor,MATCH(E1747,Unidades,0)),""))</f>
        <v/>
      </c>
      <c r="H1747" s="17" t="str">
        <f aca="false">IF(I1747&lt;&gt;"OK","",IF(G1747=0,"",F1747/G1747))</f>
        <v/>
      </c>
      <c r="I1747" s="20" t="str">
        <f aca="true">IF(B1747="","",IF(ISNA(MATCH(B1747,ListaInsumos,0)),"Insumo no está en Insumos",IF(OR(D1747="",E1747="",F1747=""),"Faltan datos",IF(INDEX(UnidadesBase,MATCH(E1747,Unidades,0))&lt;&gt;INDEX(InsBase,MATCH(B1747,ListaInsumos,0)),"Unidad incompatible",IF(A1747="","Falta fecha","OK")))))</f>
        <v/>
      </c>
      <c r="J1747" s="15"/>
    </row>
    <row r="1748" customFormat="false" ht="15" hidden="false" customHeight="false" outlineLevel="0" collapsed="false">
      <c r="A1748" s="26"/>
      <c r="B1748" s="15"/>
      <c r="C1748" s="15"/>
      <c r="D1748" s="27"/>
      <c r="E1748" s="15"/>
      <c r="F1748" s="28"/>
      <c r="G1748" s="25" t="str">
        <f aca="true">IF(OR(D1748="",E1748=""),"",IFERROR(D1748*INDEX(UnidadesFactor,MATCH(E1748,Unidades,0)),""))</f>
        <v/>
      </c>
      <c r="H1748" s="17" t="str">
        <f aca="false">IF(I1748&lt;&gt;"OK","",IF(G1748=0,"",F1748/G1748))</f>
        <v/>
      </c>
      <c r="I1748" s="20" t="str">
        <f aca="true">IF(B1748="","",IF(ISNA(MATCH(B1748,ListaInsumos,0)),"Insumo no está en Insumos",IF(OR(D1748="",E1748="",F1748=""),"Faltan datos",IF(INDEX(UnidadesBase,MATCH(E1748,Unidades,0))&lt;&gt;INDEX(InsBase,MATCH(B1748,ListaInsumos,0)),"Unidad incompatible",IF(A1748="","Falta fecha","OK")))))</f>
        <v/>
      </c>
      <c r="J1748" s="15"/>
    </row>
    <row r="1749" customFormat="false" ht="15" hidden="false" customHeight="false" outlineLevel="0" collapsed="false">
      <c r="A1749" s="26"/>
      <c r="B1749" s="15"/>
      <c r="C1749" s="15"/>
      <c r="D1749" s="27"/>
      <c r="E1749" s="15"/>
      <c r="F1749" s="28"/>
      <c r="G1749" s="25" t="str">
        <f aca="true">IF(OR(D1749="",E1749=""),"",IFERROR(D1749*INDEX(UnidadesFactor,MATCH(E1749,Unidades,0)),""))</f>
        <v/>
      </c>
      <c r="H1749" s="17" t="str">
        <f aca="false">IF(I1749&lt;&gt;"OK","",IF(G1749=0,"",F1749/G1749))</f>
        <v/>
      </c>
      <c r="I1749" s="20" t="str">
        <f aca="true">IF(B1749="","",IF(ISNA(MATCH(B1749,ListaInsumos,0)),"Insumo no está en Insumos",IF(OR(D1749="",E1749="",F1749=""),"Faltan datos",IF(INDEX(UnidadesBase,MATCH(E1749,Unidades,0))&lt;&gt;INDEX(InsBase,MATCH(B1749,ListaInsumos,0)),"Unidad incompatible",IF(A1749="","Falta fecha","OK")))))</f>
        <v/>
      </c>
      <c r="J1749" s="15"/>
    </row>
    <row r="1750" customFormat="false" ht="15" hidden="false" customHeight="false" outlineLevel="0" collapsed="false">
      <c r="A1750" s="26"/>
      <c r="B1750" s="15"/>
      <c r="C1750" s="15"/>
      <c r="D1750" s="27"/>
      <c r="E1750" s="15"/>
      <c r="F1750" s="28"/>
      <c r="G1750" s="25" t="str">
        <f aca="true">IF(OR(D1750="",E1750=""),"",IFERROR(D1750*INDEX(UnidadesFactor,MATCH(E1750,Unidades,0)),""))</f>
        <v/>
      </c>
      <c r="H1750" s="17" t="str">
        <f aca="false">IF(I1750&lt;&gt;"OK","",IF(G1750=0,"",F1750/G1750))</f>
        <v/>
      </c>
      <c r="I1750" s="20" t="str">
        <f aca="true">IF(B1750="","",IF(ISNA(MATCH(B1750,ListaInsumos,0)),"Insumo no está en Insumos",IF(OR(D1750="",E1750="",F1750=""),"Faltan datos",IF(INDEX(UnidadesBase,MATCH(E1750,Unidades,0))&lt;&gt;INDEX(InsBase,MATCH(B1750,ListaInsumos,0)),"Unidad incompatible",IF(A1750="","Falta fecha","OK")))))</f>
        <v/>
      </c>
      <c r="J1750" s="15"/>
    </row>
    <row r="1751" customFormat="false" ht="15" hidden="false" customHeight="false" outlineLevel="0" collapsed="false">
      <c r="A1751" s="26"/>
      <c r="B1751" s="15"/>
      <c r="C1751" s="15"/>
      <c r="D1751" s="27"/>
      <c r="E1751" s="15"/>
      <c r="F1751" s="28"/>
      <c r="G1751" s="25" t="str">
        <f aca="true">IF(OR(D1751="",E1751=""),"",IFERROR(D1751*INDEX(UnidadesFactor,MATCH(E1751,Unidades,0)),""))</f>
        <v/>
      </c>
      <c r="H1751" s="17" t="str">
        <f aca="false">IF(I1751&lt;&gt;"OK","",IF(G1751=0,"",F1751/G1751))</f>
        <v/>
      </c>
      <c r="I1751" s="20" t="str">
        <f aca="true">IF(B1751="","",IF(ISNA(MATCH(B1751,ListaInsumos,0)),"Insumo no está en Insumos",IF(OR(D1751="",E1751="",F1751=""),"Faltan datos",IF(INDEX(UnidadesBase,MATCH(E1751,Unidades,0))&lt;&gt;INDEX(InsBase,MATCH(B1751,ListaInsumos,0)),"Unidad incompatible",IF(A1751="","Falta fecha","OK")))))</f>
        <v/>
      </c>
      <c r="J1751" s="15"/>
    </row>
    <row r="1752" customFormat="false" ht="15" hidden="false" customHeight="false" outlineLevel="0" collapsed="false">
      <c r="A1752" s="26"/>
      <c r="B1752" s="15"/>
      <c r="C1752" s="15"/>
      <c r="D1752" s="27"/>
      <c r="E1752" s="15"/>
      <c r="F1752" s="28"/>
      <c r="G1752" s="25" t="str">
        <f aca="true">IF(OR(D1752="",E1752=""),"",IFERROR(D1752*INDEX(UnidadesFactor,MATCH(E1752,Unidades,0)),""))</f>
        <v/>
      </c>
      <c r="H1752" s="17" t="str">
        <f aca="false">IF(I1752&lt;&gt;"OK","",IF(G1752=0,"",F1752/G1752))</f>
        <v/>
      </c>
      <c r="I1752" s="20" t="str">
        <f aca="true">IF(B1752="","",IF(ISNA(MATCH(B1752,ListaInsumos,0)),"Insumo no está en Insumos",IF(OR(D1752="",E1752="",F1752=""),"Faltan datos",IF(INDEX(UnidadesBase,MATCH(E1752,Unidades,0))&lt;&gt;INDEX(InsBase,MATCH(B1752,ListaInsumos,0)),"Unidad incompatible",IF(A1752="","Falta fecha","OK")))))</f>
        <v/>
      </c>
      <c r="J1752" s="15"/>
    </row>
    <row r="1753" customFormat="false" ht="15" hidden="false" customHeight="false" outlineLevel="0" collapsed="false">
      <c r="A1753" s="26"/>
      <c r="B1753" s="15"/>
      <c r="C1753" s="15"/>
      <c r="D1753" s="27"/>
      <c r="E1753" s="15"/>
      <c r="F1753" s="28"/>
      <c r="G1753" s="25" t="str">
        <f aca="true">IF(OR(D1753="",E1753=""),"",IFERROR(D1753*INDEX(UnidadesFactor,MATCH(E1753,Unidades,0)),""))</f>
        <v/>
      </c>
      <c r="H1753" s="17" t="str">
        <f aca="false">IF(I1753&lt;&gt;"OK","",IF(G1753=0,"",F1753/G1753))</f>
        <v/>
      </c>
      <c r="I1753" s="20" t="str">
        <f aca="true">IF(B1753="","",IF(ISNA(MATCH(B1753,ListaInsumos,0)),"Insumo no está en Insumos",IF(OR(D1753="",E1753="",F1753=""),"Faltan datos",IF(INDEX(UnidadesBase,MATCH(E1753,Unidades,0))&lt;&gt;INDEX(InsBase,MATCH(B1753,ListaInsumos,0)),"Unidad incompatible",IF(A1753="","Falta fecha","OK")))))</f>
        <v/>
      </c>
      <c r="J1753" s="15"/>
    </row>
    <row r="1754" customFormat="false" ht="15" hidden="false" customHeight="false" outlineLevel="0" collapsed="false">
      <c r="A1754" s="26"/>
      <c r="B1754" s="15"/>
      <c r="C1754" s="15"/>
      <c r="D1754" s="27"/>
      <c r="E1754" s="15"/>
      <c r="F1754" s="28"/>
      <c r="G1754" s="25" t="str">
        <f aca="true">IF(OR(D1754="",E1754=""),"",IFERROR(D1754*INDEX(UnidadesFactor,MATCH(E1754,Unidades,0)),""))</f>
        <v/>
      </c>
      <c r="H1754" s="17" t="str">
        <f aca="false">IF(I1754&lt;&gt;"OK","",IF(G1754=0,"",F1754/G1754))</f>
        <v/>
      </c>
      <c r="I1754" s="20" t="str">
        <f aca="true">IF(B1754="","",IF(ISNA(MATCH(B1754,ListaInsumos,0)),"Insumo no está en Insumos",IF(OR(D1754="",E1754="",F1754=""),"Faltan datos",IF(INDEX(UnidadesBase,MATCH(E1754,Unidades,0))&lt;&gt;INDEX(InsBase,MATCH(B1754,ListaInsumos,0)),"Unidad incompatible",IF(A1754="","Falta fecha","OK")))))</f>
        <v/>
      </c>
      <c r="J1754" s="15"/>
    </row>
    <row r="1755" customFormat="false" ht="15" hidden="false" customHeight="false" outlineLevel="0" collapsed="false">
      <c r="A1755" s="26"/>
      <c r="B1755" s="15"/>
      <c r="C1755" s="15"/>
      <c r="D1755" s="27"/>
      <c r="E1755" s="15"/>
      <c r="F1755" s="28"/>
      <c r="G1755" s="25" t="str">
        <f aca="true">IF(OR(D1755="",E1755=""),"",IFERROR(D1755*INDEX(UnidadesFactor,MATCH(E1755,Unidades,0)),""))</f>
        <v/>
      </c>
      <c r="H1755" s="17" t="str">
        <f aca="false">IF(I1755&lt;&gt;"OK","",IF(G1755=0,"",F1755/G1755))</f>
        <v/>
      </c>
      <c r="I1755" s="20" t="str">
        <f aca="true">IF(B1755="","",IF(ISNA(MATCH(B1755,ListaInsumos,0)),"Insumo no está en Insumos",IF(OR(D1755="",E1755="",F1755=""),"Faltan datos",IF(INDEX(UnidadesBase,MATCH(E1755,Unidades,0))&lt;&gt;INDEX(InsBase,MATCH(B1755,ListaInsumos,0)),"Unidad incompatible",IF(A1755="","Falta fecha","OK")))))</f>
        <v/>
      </c>
      <c r="J1755" s="15"/>
    </row>
    <row r="1756" customFormat="false" ht="15" hidden="false" customHeight="false" outlineLevel="0" collapsed="false">
      <c r="A1756" s="26"/>
      <c r="B1756" s="15"/>
      <c r="C1756" s="15"/>
      <c r="D1756" s="27"/>
      <c r="E1756" s="15"/>
      <c r="F1756" s="28"/>
      <c r="G1756" s="25" t="str">
        <f aca="true">IF(OR(D1756="",E1756=""),"",IFERROR(D1756*INDEX(UnidadesFactor,MATCH(E1756,Unidades,0)),""))</f>
        <v/>
      </c>
      <c r="H1756" s="17" t="str">
        <f aca="false">IF(I1756&lt;&gt;"OK","",IF(G1756=0,"",F1756/G1756))</f>
        <v/>
      </c>
      <c r="I1756" s="20" t="str">
        <f aca="true">IF(B1756="","",IF(ISNA(MATCH(B1756,ListaInsumos,0)),"Insumo no está en Insumos",IF(OR(D1756="",E1756="",F1756=""),"Faltan datos",IF(INDEX(UnidadesBase,MATCH(E1756,Unidades,0))&lt;&gt;INDEX(InsBase,MATCH(B1756,ListaInsumos,0)),"Unidad incompatible",IF(A1756="","Falta fecha","OK")))))</f>
        <v/>
      </c>
      <c r="J1756" s="15"/>
    </row>
    <row r="1757" customFormat="false" ht="15" hidden="false" customHeight="false" outlineLevel="0" collapsed="false">
      <c r="A1757" s="26"/>
      <c r="B1757" s="15"/>
      <c r="C1757" s="15"/>
      <c r="D1757" s="27"/>
      <c r="E1757" s="15"/>
      <c r="F1757" s="28"/>
      <c r="G1757" s="25" t="str">
        <f aca="true">IF(OR(D1757="",E1757=""),"",IFERROR(D1757*INDEX(UnidadesFactor,MATCH(E1757,Unidades,0)),""))</f>
        <v/>
      </c>
      <c r="H1757" s="17" t="str">
        <f aca="false">IF(I1757&lt;&gt;"OK","",IF(G1757=0,"",F1757/G1757))</f>
        <v/>
      </c>
      <c r="I1757" s="20" t="str">
        <f aca="true">IF(B1757="","",IF(ISNA(MATCH(B1757,ListaInsumos,0)),"Insumo no está en Insumos",IF(OR(D1757="",E1757="",F1757=""),"Faltan datos",IF(INDEX(UnidadesBase,MATCH(E1757,Unidades,0))&lt;&gt;INDEX(InsBase,MATCH(B1757,ListaInsumos,0)),"Unidad incompatible",IF(A1757="","Falta fecha","OK")))))</f>
        <v/>
      </c>
      <c r="J1757" s="15"/>
    </row>
    <row r="1758" customFormat="false" ht="15" hidden="false" customHeight="false" outlineLevel="0" collapsed="false">
      <c r="A1758" s="26"/>
      <c r="B1758" s="15"/>
      <c r="C1758" s="15"/>
      <c r="D1758" s="27"/>
      <c r="E1758" s="15"/>
      <c r="F1758" s="28"/>
      <c r="G1758" s="25" t="str">
        <f aca="true">IF(OR(D1758="",E1758=""),"",IFERROR(D1758*INDEX(UnidadesFactor,MATCH(E1758,Unidades,0)),""))</f>
        <v/>
      </c>
      <c r="H1758" s="17" t="str">
        <f aca="false">IF(I1758&lt;&gt;"OK","",IF(G1758=0,"",F1758/G1758))</f>
        <v/>
      </c>
      <c r="I1758" s="20" t="str">
        <f aca="true">IF(B1758="","",IF(ISNA(MATCH(B1758,ListaInsumos,0)),"Insumo no está en Insumos",IF(OR(D1758="",E1758="",F1758=""),"Faltan datos",IF(INDEX(UnidadesBase,MATCH(E1758,Unidades,0))&lt;&gt;INDEX(InsBase,MATCH(B1758,ListaInsumos,0)),"Unidad incompatible",IF(A1758="","Falta fecha","OK")))))</f>
        <v/>
      </c>
      <c r="J1758" s="15"/>
    </row>
    <row r="1759" customFormat="false" ht="15" hidden="false" customHeight="false" outlineLevel="0" collapsed="false">
      <c r="A1759" s="26"/>
      <c r="B1759" s="15"/>
      <c r="C1759" s="15"/>
      <c r="D1759" s="27"/>
      <c r="E1759" s="15"/>
      <c r="F1759" s="28"/>
      <c r="G1759" s="25" t="str">
        <f aca="true">IF(OR(D1759="",E1759=""),"",IFERROR(D1759*INDEX(UnidadesFactor,MATCH(E1759,Unidades,0)),""))</f>
        <v/>
      </c>
      <c r="H1759" s="17" t="str">
        <f aca="false">IF(I1759&lt;&gt;"OK","",IF(G1759=0,"",F1759/G1759))</f>
        <v/>
      </c>
      <c r="I1759" s="20" t="str">
        <f aca="true">IF(B1759="","",IF(ISNA(MATCH(B1759,ListaInsumos,0)),"Insumo no está en Insumos",IF(OR(D1759="",E1759="",F1759=""),"Faltan datos",IF(INDEX(UnidadesBase,MATCH(E1759,Unidades,0))&lt;&gt;INDEX(InsBase,MATCH(B1759,ListaInsumos,0)),"Unidad incompatible",IF(A1759="","Falta fecha","OK")))))</f>
        <v/>
      </c>
      <c r="J1759" s="15"/>
    </row>
    <row r="1760" customFormat="false" ht="15" hidden="false" customHeight="false" outlineLevel="0" collapsed="false">
      <c r="A1760" s="26"/>
      <c r="B1760" s="15"/>
      <c r="C1760" s="15"/>
      <c r="D1760" s="27"/>
      <c r="E1760" s="15"/>
      <c r="F1760" s="28"/>
      <c r="G1760" s="25" t="str">
        <f aca="true">IF(OR(D1760="",E1760=""),"",IFERROR(D1760*INDEX(UnidadesFactor,MATCH(E1760,Unidades,0)),""))</f>
        <v/>
      </c>
      <c r="H1760" s="17" t="str">
        <f aca="false">IF(I1760&lt;&gt;"OK","",IF(G1760=0,"",F1760/G1760))</f>
        <v/>
      </c>
      <c r="I1760" s="20" t="str">
        <f aca="true">IF(B1760="","",IF(ISNA(MATCH(B1760,ListaInsumos,0)),"Insumo no está en Insumos",IF(OR(D1760="",E1760="",F1760=""),"Faltan datos",IF(INDEX(UnidadesBase,MATCH(E1760,Unidades,0))&lt;&gt;INDEX(InsBase,MATCH(B1760,ListaInsumos,0)),"Unidad incompatible",IF(A1760="","Falta fecha","OK")))))</f>
        <v/>
      </c>
      <c r="J1760" s="15"/>
    </row>
    <row r="1761" customFormat="false" ht="15" hidden="false" customHeight="false" outlineLevel="0" collapsed="false">
      <c r="A1761" s="26"/>
      <c r="B1761" s="15"/>
      <c r="C1761" s="15"/>
      <c r="D1761" s="27"/>
      <c r="E1761" s="15"/>
      <c r="F1761" s="28"/>
      <c r="G1761" s="25" t="str">
        <f aca="true">IF(OR(D1761="",E1761=""),"",IFERROR(D1761*INDEX(UnidadesFactor,MATCH(E1761,Unidades,0)),""))</f>
        <v/>
      </c>
      <c r="H1761" s="17" t="str">
        <f aca="false">IF(I1761&lt;&gt;"OK","",IF(G1761=0,"",F1761/G1761))</f>
        <v/>
      </c>
      <c r="I1761" s="20" t="str">
        <f aca="true">IF(B1761="","",IF(ISNA(MATCH(B1761,ListaInsumos,0)),"Insumo no está en Insumos",IF(OR(D1761="",E1761="",F1761=""),"Faltan datos",IF(INDEX(UnidadesBase,MATCH(E1761,Unidades,0))&lt;&gt;INDEX(InsBase,MATCH(B1761,ListaInsumos,0)),"Unidad incompatible",IF(A1761="","Falta fecha","OK")))))</f>
        <v/>
      </c>
      <c r="J1761" s="15"/>
    </row>
    <row r="1762" customFormat="false" ht="15" hidden="false" customHeight="false" outlineLevel="0" collapsed="false">
      <c r="A1762" s="26"/>
      <c r="B1762" s="15"/>
      <c r="C1762" s="15"/>
      <c r="D1762" s="27"/>
      <c r="E1762" s="15"/>
      <c r="F1762" s="28"/>
      <c r="G1762" s="25" t="str">
        <f aca="true">IF(OR(D1762="",E1762=""),"",IFERROR(D1762*INDEX(UnidadesFactor,MATCH(E1762,Unidades,0)),""))</f>
        <v/>
      </c>
      <c r="H1762" s="17" t="str">
        <f aca="false">IF(I1762&lt;&gt;"OK","",IF(G1762=0,"",F1762/G1762))</f>
        <v/>
      </c>
      <c r="I1762" s="20" t="str">
        <f aca="true">IF(B1762="","",IF(ISNA(MATCH(B1762,ListaInsumos,0)),"Insumo no está en Insumos",IF(OR(D1762="",E1762="",F1762=""),"Faltan datos",IF(INDEX(UnidadesBase,MATCH(E1762,Unidades,0))&lt;&gt;INDEX(InsBase,MATCH(B1762,ListaInsumos,0)),"Unidad incompatible",IF(A1762="","Falta fecha","OK")))))</f>
        <v/>
      </c>
      <c r="J1762" s="15"/>
    </row>
    <row r="1763" customFormat="false" ht="15" hidden="false" customHeight="false" outlineLevel="0" collapsed="false">
      <c r="A1763" s="26"/>
      <c r="B1763" s="15"/>
      <c r="C1763" s="15"/>
      <c r="D1763" s="27"/>
      <c r="E1763" s="15"/>
      <c r="F1763" s="28"/>
      <c r="G1763" s="25" t="str">
        <f aca="true">IF(OR(D1763="",E1763=""),"",IFERROR(D1763*INDEX(UnidadesFactor,MATCH(E1763,Unidades,0)),""))</f>
        <v/>
      </c>
      <c r="H1763" s="17" t="str">
        <f aca="false">IF(I1763&lt;&gt;"OK","",IF(G1763=0,"",F1763/G1763))</f>
        <v/>
      </c>
      <c r="I1763" s="20" t="str">
        <f aca="true">IF(B1763="","",IF(ISNA(MATCH(B1763,ListaInsumos,0)),"Insumo no está en Insumos",IF(OR(D1763="",E1763="",F1763=""),"Faltan datos",IF(INDEX(UnidadesBase,MATCH(E1763,Unidades,0))&lt;&gt;INDEX(InsBase,MATCH(B1763,ListaInsumos,0)),"Unidad incompatible",IF(A1763="","Falta fecha","OK")))))</f>
        <v/>
      </c>
      <c r="J1763" s="15"/>
    </row>
    <row r="1764" customFormat="false" ht="15" hidden="false" customHeight="false" outlineLevel="0" collapsed="false">
      <c r="A1764" s="26"/>
      <c r="B1764" s="15"/>
      <c r="C1764" s="15"/>
      <c r="D1764" s="27"/>
      <c r="E1764" s="15"/>
      <c r="F1764" s="28"/>
      <c r="G1764" s="25" t="str">
        <f aca="true">IF(OR(D1764="",E1764=""),"",IFERROR(D1764*INDEX(UnidadesFactor,MATCH(E1764,Unidades,0)),""))</f>
        <v/>
      </c>
      <c r="H1764" s="17" t="str">
        <f aca="false">IF(I1764&lt;&gt;"OK","",IF(G1764=0,"",F1764/G1764))</f>
        <v/>
      </c>
      <c r="I1764" s="20" t="str">
        <f aca="true">IF(B1764="","",IF(ISNA(MATCH(B1764,ListaInsumos,0)),"Insumo no está en Insumos",IF(OR(D1764="",E1764="",F1764=""),"Faltan datos",IF(INDEX(UnidadesBase,MATCH(E1764,Unidades,0))&lt;&gt;INDEX(InsBase,MATCH(B1764,ListaInsumos,0)),"Unidad incompatible",IF(A1764="","Falta fecha","OK")))))</f>
        <v/>
      </c>
      <c r="J1764" s="15"/>
    </row>
    <row r="1765" customFormat="false" ht="15" hidden="false" customHeight="false" outlineLevel="0" collapsed="false">
      <c r="A1765" s="26"/>
      <c r="B1765" s="15"/>
      <c r="C1765" s="15"/>
      <c r="D1765" s="27"/>
      <c r="E1765" s="15"/>
      <c r="F1765" s="28"/>
      <c r="G1765" s="25" t="str">
        <f aca="true">IF(OR(D1765="",E1765=""),"",IFERROR(D1765*INDEX(UnidadesFactor,MATCH(E1765,Unidades,0)),""))</f>
        <v/>
      </c>
      <c r="H1765" s="17" t="str">
        <f aca="false">IF(I1765&lt;&gt;"OK","",IF(G1765=0,"",F1765/G1765))</f>
        <v/>
      </c>
      <c r="I1765" s="20" t="str">
        <f aca="true">IF(B1765="","",IF(ISNA(MATCH(B1765,ListaInsumos,0)),"Insumo no está en Insumos",IF(OR(D1765="",E1765="",F1765=""),"Faltan datos",IF(INDEX(UnidadesBase,MATCH(E1765,Unidades,0))&lt;&gt;INDEX(InsBase,MATCH(B1765,ListaInsumos,0)),"Unidad incompatible",IF(A1765="","Falta fecha","OK")))))</f>
        <v/>
      </c>
      <c r="J1765" s="15"/>
    </row>
    <row r="1766" customFormat="false" ht="15" hidden="false" customHeight="false" outlineLevel="0" collapsed="false">
      <c r="A1766" s="26"/>
      <c r="B1766" s="15"/>
      <c r="C1766" s="15"/>
      <c r="D1766" s="27"/>
      <c r="E1766" s="15"/>
      <c r="F1766" s="28"/>
      <c r="G1766" s="25" t="str">
        <f aca="true">IF(OR(D1766="",E1766=""),"",IFERROR(D1766*INDEX(UnidadesFactor,MATCH(E1766,Unidades,0)),""))</f>
        <v/>
      </c>
      <c r="H1766" s="17" t="str">
        <f aca="false">IF(I1766&lt;&gt;"OK","",IF(G1766=0,"",F1766/G1766))</f>
        <v/>
      </c>
      <c r="I1766" s="20" t="str">
        <f aca="true">IF(B1766="","",IF(ISNA(MATCH(B1766,ListaInsumos,0)),"Insumo no está en Insumos",IF(OR(D1766="",E1766="",F1766=""),"Faltan datos",IF(INDEX(UnidadesBase,MATCH(E1766,Unidades,0))&lt;&gt;INDEX(InsBase,MATCH(B1766,ListaInsumos,0)),"Unidad incompatible",IF(A1766="","Falta fecha","OK")))))</f>
        <v/>
      </c>
      <c r="J1766" s="15"/>
    </row>
    <row r="1767" customFormat="false" ht="15" hidden="false" customHeight="false" outlineLevel="0" collapsed="false">
      <c r="A1767" s="26"/>
      <c r="B1767" s="15"/>
      <c r="C1767" s="15"/>
      <c r="D1767" s="27"/>
      <c r="E1767" s="15"/>
      <c r="F1767" s="28"/>
      <c r="G1767" s="25" t="str">
        <f aca="true">IF(OR(D1767="",E1767=""),"",IFERROR(D1767*INDEX(UnidadesFactor,MATCH(E1767,Unidades,0)),""))</f>
        <v/>
      </c>
      <c r="H1767" s="17" t="str">
        <f aca="false">IF(I1767&lt;&gt;"OK","",IF(G1767=0,"",F1767/G1767))</f>
        <v/>
      </c>
      <c r="I1767" s="20" t="str">
        <f aca="true">IF(B1767="","",IF(ISNA(MATCH(B1767,ListaInsumos,0)),"Insumo no está en Insumos",IF(OR(D1767="",E1767="",F1767=""),"Faltan datos",IF(INDEX(UnidadesBase,MATCH(E1767,Unidades,0))&lt;&gt;INDEX(InsBase,MATCH(B1767,ListaInsumos,0)),"Unidad incompatible",IF(A1767="","Falta fecha","OK")))))</f>
        <v/>
      </c>
      <c r="J1767" s="15"/>
    </row>
    <row r="1768" customFormat="false" ht="15" hidden="false" customHeight="false" outlineLevel="0" collapsed="false">
      <c r="A1768" s="26"/>
      <c r="B1768" s="15"/>
      <c r="C1768" s="15"/>
      <c r="D1768" s="27"/>
      <c r="E1768" s="15"/>
      <c r="F1768" s="28"/>
      <c r="G1768" s="25" t="str">
        <f aca="true">IF(OR(D1768="",E1768=""),"",IFERROR(D1768*INDEX(UnidadesFactor,MATCH(E1768,Unidades,0)),""))</f>
        <v/>
      </c>
      <c r="H1768" s="17" t="str">
        <f aca="false">IF(I1768&lt;&gt;"OK","",IF(G1768=0,"",F1768/G1768))</f>
        <v/>
      </c>
      <c r="I1768" s="20" t="str">
        <f aca="true">IF(B1768="","",IF(ISNA(MATCH(B1768,ListaInsumos,0)),"Insumo no está en Insumos",IF(OR(D1768="",E1768="",F1768=""),"Faltan datos",IF(INDEX(UnidadesBase,MATCH(E1768,Unidades,0))&lt;&gt;INDEX(InsBase,MATCH(B1768,ListaInsumos,0)),"Unidad incompatible",IF(A1768="","Falta fecha","OK")))))</f>
        <v/>
      </c>
      <c r="J1768" s="15"/>
    </row>
    <row r="1769" customFormat="false" ht="15" hidden="false" customHeight="false" outlineLevel="0" collapsed="false">
      <c r="A1769" s="26"/>
      <c r="B1769" s="15"/>
      <c r="C1769" s="15"/>
      <c r="D1769" s="27"/>
      <c r="E1769" s="15"/>
      <c r="F1769" s="28"/>
      <c r="G1769" s="25" t="str">
        <f aca="true">IF(OR(D1769="",E1769=""),"",IFERROR(D1769*INDEX(UnidadesFactor,MATCH(E1769,Unidades,0)),""))</f>
        <v/>
      </c>
      <c r="H1769" s="17" t="str">
        <f aca="false">IF(I1769&lt;&gt;"OK","",IF(G1769=0,"",F1769/G1769))</f>
        <v/>
      </c>
      <c r="I1769" s="20" t="str">
        <f aca="true">IF(B1769="","",IF(ISNA(MATCH(B1769,ListaInsumos,0)),"Insumo no está en Insumos",IF(OR(D1769="",E1769="",F1769=""),"Faltan datos",IF(INDEX(UnidadesBase,MATCH(E1769,Unidades,0))&lt;&gt;INDEX(InsBase,MATCH(B1769,ListaInsumos,0)),"Unidad incompatible",IF(A1769="","Falta fecha","OK")))))</f>
        <v/>
      </c>
      <c r="J1769" s="15"/>
    </row>
    <row r="1770" customFormat="false" ht="15" hidden="false" customHeight="false" outlineLevel="0" collapsed="false">
      <c r="A1770" s="26"/>
      <c r="B1770" s="15"/>
      <c r="C1770" s="15"/>
      <c r="D1770" s="27"/>
      <c r="E1770" s="15"/>
      <c r="F1770" s="28"/>
      <c r="G1770" s="25" t="str">
        <f aca="true">IF(OR(D1770="",E1770=""),"",IFERROR(D1770*INDEX(UnidadesFactor,MATCH(E1770,Unidades,0)),""))</f>
        <v/>
      </c>
      <c r="H1770" s="17" t="str">
        <f aca="false">IF(I1770&lt;&gt;"OK","",IF(G1770=0,"",F1770/G1770))</f>
        <v/>
      </c>
      <c r="I1770" s="20" t="str">
        <f aca="true">IF(B1770="","",IF(ISNA(MATCH(B1770,ListaInsumos,0)),"Insumo no está en Insumos",IF(OR(D1770="",E1770="",F1770=""),"Faltan datos",IF(INDEX(UnidadesBase,MATCH(E1770,Unidades,0))&lt;&gt;INDEX(InsBase,MATCH(B1770,ListaInsumos,0)),"Unidad incompatible",IF(A1770="","Falta fecha","OK")))))</f>
        <v/>
      </c>
      <c r="J1770" s="15"/>
    </row>
    <row r="1771" customFormat="false" ht="15" hidden="false" customHeight="false" outlineLevel="0" collapsed="false">
      <c r="A1771" s="26"/>
      <c r="B1771" s="15"/>
      <c r="C1771" s="15"/>
      <c r="D1771" s="27"/>
      <c r="E1771" s="15"/>
      <c r="F1771" s="28"/>
      <c r="G1771" s="25" t="str">
        <f aca="true">IF(OR(D1771="",E1771=""),"",IFERROR(D1771*INDEX(UnidadesFactor,MATCH(E1771,Unidades,0)),""))</f>
        <v/>
      </c>
      <c r="H1771" s="17" t="str">
        <f aca="false">IF(I1771&lt;&gt;"OK","",IF(G1771=0,"",F1771/G1771))</f>
        <v/>
      </c>
      <c r="I1771" s="20" t="str">
        <f aca="true">IF(B1771="","",IF(ISNA(MATCH(B1771,ListaInsumos,0)),"Insumo no está en Insumos",IF(OR(D1771="",E1771="",F1771=""),"Faltan datos",IF(INDEX(UnidadesBase,MATCH(E1771,Unidades,0))&lt;&gt;INDEX(InsBase,MATCH(B1771,ListaInsumos,0)),"Unidad incompatible",IF(A1771="","Falta fecha","OK")))))</f>
        <v/>
      </c>
      <c r="J1771" s="15"/>
    </row>
    <row r="1772" customFormat="false" ht="15" hidden="false" customHeight="false" outlineLevel="0" collapsed="false">
      <c r="A1772" s="26"/>
      <c r="B1772" s="15"/>
      <c r="C1772" s="15"/>
      <c r="D1772" s="27"/>
      <c r="E1772" s="15"/>
      <c r="F1772" s="28"/>
      <c r="G1772" s="25" t="str">
        <f aca="true">IF(OR(D1772="",E1772=""),"",IFERROR(D1772*INDEX(UnidadesFactor,MATCH(E1772,Unidades,0)),""))</f>
        <v/>
      </c>
      <c r="H1772" s="17" t="str">
        <f aca="false">IF(I1772&lt;&gt;"OK","",IF(G1772=0,"",F1772/G1772))</f>
        <v/>
      </c>
      <c r="I1772" s="20" t="str">
        <f aca="true">IF(B1772="","",IF(ISNA(MATCH(B1772,ListaInsumos,0)),"Insumo no está en Insumos",IF(OR(D1772="",E1772="",F1772=""),"Faltan datos",IF(INDEX(UnidadesBase,MATCH(E1772,Unidades,0))&lt;&gt;INDEX(InsBase,MATCH(B1772,ListaInsumos,0)),"Unidad incompatible",IF(A1772="","Falta fecha","OK")))))</f>
        <v/>
      </c>
      <c r="J1772" s="15"/>
    </row>
    <row r="1773" customFormat="false" ht="15" hidden="false" customHeight="false" outlineLevel="0" collapsed="false">
      <c r="A1773" s="26"/>
      <c r="B1773" s="15"/>
      <c r="C1773" s="15"/>
      <c r="D1773" s="27"/>
      <c r="E1773" s="15"/>
      <c r="F1773" s="28"/>
      <c r="G1773" s="25" t="str">
        <f aca="true">IF(OR(D1773="",E1773=""),"",IFERROR(D1773*INDEX(UnidadesFactor,MATCH(E1773,Unidades,0)),""))</f>
        <v/>
      </c>
      <c r="H1773" s="17" t="str">
        <f aca="false">IF(I1773&lt;&gt;"OK","",IF(G1773=0,"",F1773/G1773))</f>
        <v/>
      </c>
      <c r="I1773" s="20" t="str">
        <f aca="true">IF(B1773="","",IF(ISNA(MATCH(B1773,ListaInsumos,0)),"Insumo no está en Insumos",IF(OR(D1773="",E1773="",F1773=""),"Faltan datos",IF(INDEX(UnidadesBase,MATCH(E1773,Unidades,0))&lt;&gt;INDEX(InsBase,MATCH(B1773,ListaInsumos,0)),"Unidad incompatible",IF(A1773="","Falta fecha","OK")))))</f>
        <v/>
      </c>
      <c r="J1773" s="15"/>
    </row>
    <row r="1774" customFormat="false" ht="15" hidden="false" customHeight="false" outlineLevel="0" collapsed="false">
      <c r="A1774" s="26"/>
      <c r="B1774" s="15"/>
      <c r="C1774" s="15"/>
      <c r="D1774" s="27"/>
      <c r="E1774" s="15"/>
      <c r="F1774" s="28"/>
      <c r="G1774" s="25" t="str">
        <f aca="true">IF(OR(D1774="",E1774=""),"",IFERROR(D1774*INDEX(UnidadesFactor,MATCH(E1774,Unidades,0)),""))</f>
        <v/>
      </c>
      <c r="H1774" s="17" t="str">
        <f aca="false">IF(I1774&lt;&gt;"OK","",IF(G1774=0,"",F1774/G1774))</f>
        <v/>
      </c>
      <c r="I1774" s="20" t="str">
        <f aca="true">IF(B1774="","",IF(ISNA(MATCH(B1774,ListaInsumos,0)),"Insumo no está en Insumos",IF(OR(D1774="",E1774="",F1774=""),"Faltan datos",IF(INDEX(UnidadesBase,MATCH(E1774,Unidades,0))&lt;&gt;INDEX(InsBase,MATCH(B1774,ListaInsumos,0)),"Unidad incompatible",IF(A1774="","Falta fecha","OK")))))</f>
        <v/>
      </c>
      <c r="J1774" s="15"/>
    </row>
    <row r="1775" customFormat="false" ht="15" hidden="false" customHeight="false" outlineLevel="0" collapsed="false">
      <c r="A1775" s="26"/>
      <c r="B1775" s="15"/>
      <c r="C1775" s="15"/>
      <c r="D1775" s="27"/>
      <c r="E1775" s="15"/>
      <c r="F1775" s="28"/>
      <c r="G1775" s="25" t="str">
        <f aca="true">IF(OR(D1775="",E1775=""),"",IFERROR(D1775*INDEX(UnidadesFactor,MATCH(E1775,Unidades,0)),""))</f>
        <v/>
      </c>
      <c r="H1775" s="17" t="str">
        <f aca="false">IF(I1775&lt;&gt;"OK","",IF(G1775=0,"",F1775/G1775))</f>
        <v/>
      </c>
      <c r="I1775" s="20" t="str">
        <f aca="true">IF(B1775="","",IF(ISNA(MATCH(B1775,ListaInsumos,0)),"Insumo no está en Insumos",IF(OR(D1775="",E1775="",F1775=""),"Faltan datos",IF(INDEX(UnidadesBase,MATCH(E1775,Unidades,0))&lt;&gt;INDEX(InsBase,MATCH(B1775,ListaInsumos,0)),"Unidad incompatible",IF(A1775="","Falta fecha","OK")))))</f>
        <v/>
      </c>
      <c r="J1775" s="15"/>
    </row>
    <row r="1776" customFormat="false" ht="15" hidden="false" customHeight="false" outlineLevel="0" collapsed="false">
      <c r="A1776" s="26"/>
      <c r="B1776" s="15"/>
      <c r="C1776" s="15"/>
      <c r="D1776" s="27"/>
      <c r="E1776" s="15"/>
      <c r="F1776" s="28"/>
      <c r="G1776" s="25" t="str">
        <f aca="true">IF(OR(D1776="",E1776=""),"",IFERROR(D1776*INDEX(UnidadesFactor,MATCH(E1776,Unidades,0)),""))</f>
        <v/>
      </c>
      <c r="H1776" s="17" t="str">
        <f aca="false">IF(I1776&lt;&gt;"OK","",IF(G1776=0,"",F1776/G1776))</f>
        <v/>
      </c>
      <c r="I1776" s="20" t="str">
        <f aca="true">IF(B1776="","",IF(ISNA(MATCH(B1776,ListaInsumos,0)),"Insumo no está en Insumos",IF(OR(D1776="",E1776="",F1776=""),"Faltan datos",IF(INDEX(UnidadesBase,MATCH(E1776,Unidades,0))&lt;&gt;INDEX(InsBase,MATCH(B1776,ListaInsumos,0)),"Unidad incompatible",IF(A1776="","Falta fecha","OK")))))</f>
        <v/>
      </c>
      <c r="J1776" s="15"/>
    </row>
    <row r="1777" customFormat="false" ht="15" hidden="false" customHeight="false" outlineLevel="0" collapsed="false">
      <c r="A1777" s="26"/>
      <c r="B1777" s="15"/>
      <c r="C1777" s="15"/>
      <c r="D1777" s="27"/>
      <c r="E1777" s="15"/>
      <c r="F1777" s="28"/>
      <c r="G1777" s="25" t="str">
        <f aca="true">IF(OR(D1777="",E1777=""),"",IFERROR(D1777*INDEX(UnidadesFactor,MATCH(E1777,Unidades,0)),""))</f>
        <v/>
      </c>
      <c r="H1777" s="17" t="str">
        <f aca="false">IF(I1777&lt;&gt;"OK","",IF(G1777=0,"",F1777/G1777))</f>
        <v/>
      </c>
      <c r="I1777" s="20" t="str">
        <f aca="true">IF(B1777="","",IF(ISNA(MATCH(B1777,ListaInsumos,0)),"Insumo no está en Insumos",IF(OR(D1777="",E1777="",F1777=""),"Faltan datos",IF(INDEX(UnidadesBase,MATCH(E1777,Unidades,0))&lt;&gt;INDEX(InsBase,MATCH(B1777,ListaInsumos,0)),"Unidad incompatible",IF(A1777="","Falta fecha","OK")))))</f>
        <v/>
      </c>
      <c r="J1777" s="15"/>
    </row>
    <row r="1778" customFormat="false" ht="15" hidden="false" customHeight="false" outlineLevel="0" collapsed="false">
      <c r="A1778" s="26"/>
      <c r="B1778" s="15"/>
      <c r="C1778" s="15"/>
      <c r="D1778" s="27"/>
      <c r="E1778" s="15"/>
      <c r="F1778" s="28"/>
      <c r="G1778" s="25" t="str">
        <f aca="true">IF(OR(D1778="",E1778=""),"",IFERROR(D1778*INDEX(UnidadesFactor,MATCH(E1778,Unidades,0)),""))</f>
        <v/>
      </c>
      <c r="H1778" s="17" t="str">
        <f aca="false">IF(I1778&lt;&gt;"OK","",IF(G1778=0,"",F1778/G1778))</f>
        <v/>
      </c>
      <c r="I1778" s="20" t="str">
        <f aca="true">IF(B1778="","",IF(ISNA(MATCH(B1778,ListaInsumos,0)),"Insumo no está en Insumos",IF(OR(D1778="",E1778="",F1778=""),"Faltan datos",IF(INDEX(UnidadesBase,MATCH(E1778,Unidades,0))&lt;&gt;INDEX(InsBase,MATCH(B1778,ListaInsumos,0)),"Unidad incompatible",IF(A1778="","Falta fecha","OK")))))</f>
        <v/>
      </c>
      <c r="J1778" s="15"/>
    </row>
    <row r="1779" customFormat="false" ht="15" hidden="false" customHeight="false" outlineLevel="0" collapsed="false">
      <c r="A1779" s="26"/>
      <c r="B1779" s="15"/>
      <c r="C1779" s="15"/>
      <c r="D1779" s="27"/>
      <c r="E1779" s="15"/>
      <c r="F1779" s="28"/>
      <c r="G1779" s="25" t="str">
        <f aca="true">IF(OR(D1779="",E1779=""),"",IFERROR(D1779*INDEX(UnidadesFactor,MATCH(E1779,Unidades,0)),""))</f>
        <v/>
      </c>
      <c r="H1779" s="17" t="str">
        <f aca="false">IF(I1779&lt;&gt;"OK","",IF(G1779=0,"",F1779/G1779))</f>
        <v/>
      </c>
      <c r="I1779" s="20" t="str">
        <f aca="true">IF(B1779="","",IF(ISNA(MATCH(B1779,ListaInsumos,0)),"Insumo no está en Insumos",IF(OR(D1779="",E1779="",F1779=""),"Faltan datos",IF(INDEX(UnidadesBase,MATCH(E1779,Unidades,0))&lt;&gt;INDEX(InsBase,MATCH(B1779,ListaInsumos,0)),"Unidad incompatible",IF(A1779="","Falta fecha","OK")))))</f>
        <v/>
      </c>
      <c r="J1779" s="15"/>
    </row>
    <row r="1780" customFormat="false" ht="15" hidden="false" customHeight="false" outlineLevel="0" collapsed="false">
      <c r="A1780" s="26"/>
      <c r="B1780" s="15"/>
      <c r="C1780" s="15"/>
      <c r="D1780" s="27"/>
      <c r="E1780" s="15"/>
      <c r="F1780" s="28"/>
      <c r="G1780" s="25" t="str">
        <f aca="true">IF(OR(D1780="",E1780=""),"",IFERROR(D1780*INDEX(UnidadesFactor,MATCH(E1780,Unidades,0)),""))</f>
        <v/>
      </c>
      <c r="H1780" s="17" t="str">
        <f aca="false">IF(I1780&lt;&gt;"OK","",IF(G1780=0,"",F1780/G1780))</f>
        <v/>
      </c>
      <c r="I1780" s="20" t="str">
        <f aca="true">IF(B1780="","",IF(ISNA(MATCH(B1780,ListaInsumos,0)),"Insumo no está en Insumos",IF(OR(D1780="",E1780="",F1780=""),"Faltan datos",IF(INDEX(UnidadesBase,MATCH(E1780,Unidades,0))&lt;&gt;INDEX(InsBase,MATCH(B1780,ListaInsumos,0)),"Unidad incompatible",IF(A1780="","Falta fecha","OK")))))</f>
        <v/>
      </c>
      <c r="J1780" s="15"/>
    </row>
    <row r="1781" customFormat="false" ht="15" hidden="false" customHeight="false" outlineLevel="0" collapsed="false">
      <c r="A1781" s="26"/>
      <c r="B1781" s="15"/>
      <c r="C1781" s="15"/>
      <c r="D1781" s="27"/>
      <c r="E1781" s="15"/>
      <c r="F1781" s="28"/>
      <c r="G1781" s="25" t="str">
        <f aca="true">IF(OR(D1781="",E1781=""),"",IFERROR(D1781*INDEX(UnidadesFactor,MATCH(E1781,Unidades,0)),""))</f>
        <v/>
      </c>
      <c r="H1781" s="17" t="str">
        <f aca="false">IF(I1781&lt;&gt;"OK","",IF(G1781=0,"",F1781/G1781))</f>
        <v/>
      </c>
      <c r="I1781" s="20" t="str">
        <f aca="true">IF(B1781="","",IF(ISNA(MATCH(B1781,ListaInsumos,0)),"Insumo no está en Insumos",IF(OR(D1781="",E1781="",F1781=""),"Faltan datos",IF(INDEX(UnidadesBase,MATCH(E1781,Unidades,0))&lt;&gt;INDEX(InsBase,MATCH(B1781,ListaInsumos,0)),"Unidad incompatible",IF(A1781="","Falta fecha","OK")))))</f>
        <v/>
      </c>
      <c r="J1781" s="15"/>
    </row>
    <row r="1782" customFormat="false" ht="15" hidden="false" customHeight="false" outlineLevel="0" collapsed="false">
      <c r="A1782" s="26"/>
      <c r="B1782" s="15"/>
      <c r="C1782" s="15"/>
      <c r="D1782" s="27"/>
      <c r="E1782" s="15"/>
      <c r="F1782" s="28"/>
      <c r="G1782" s="25" t="str">
        <f aca="true">IF(OR(D1782="",E1782=""),"",IFERROR(D1782*INDEX(UnidadesFactor,MATCH(E1782,Unidades,0)),""))</f>
        <v/>
      </c>
      <c r="H1782" s="17" t="str">
        <f aca="false">IF(I1782&lt;&gt;"OK","",IF(G1782=0,"",F1782/G1782))</f>
        <v/>
      </c>
      <c r="I1782" s="20" t="str">
        <f aca="true">IF(B1782="","",IF(ISNA(MATCH(B1782,ListaInsumos,0)),"Insumo no está en Insumos",IF(OR(D1782="",E1782="",F1782=""),"Faltan datos",IF(INDEX(UnidadesBase,MATCH(E1782,Unidades,0))&lt;&gt;INDEX(InsBase,MATCH(B1782,ListaInsumos,0)),"Unidad incompatible",IF(A1782="","Falta fecha","OK")))))</f>
        <v/>
      </c>
      <c r="J1782" s="15"/>
    </row>
    <row r="1783" customFormat="false" ht="15" hidden="false" customHeight="false" outlineLevel="0" collapsed="false">
      <c r="A1783" s="26"/>
      <c r="B1783" s="15"/>
      <c r="C1783" s="15"/>
      <c r="D1783" s="27"/>
      <c r="E1783" s="15"/>
      <c r="F1783" s="28"/>
      <c r="G1783" s="25" t="str">
        <f aca="true">IF(OR(D1783="",E1783=""),"",IFERROR(D1783*INDEX(UnidadesFactor,MATCH(E1783,Unidades,0)),""))</f>
        <v/>
      </c>
      <c r="H1783" s="17" t="str">
        <f aca="false">IF(I1783&lt;&gt;"OK","",IF(G1783=0,"",F1783/G1783))</f>
        <v/>
      </c>
      <c r="I1783" s="20" t="str">
        <f aca="true">IF(B1783="","",IF(ISNA(MATCH(B1783,ListaInsumos,0)),"Insumo no está en Insumos",IF(OR(D1783="",E1783="",F1783=""),"Faltan datos",IF(INDEX(UnidadesBase,MATCH(E1783,Unidades,0))&lt;&gt;INDEX(InsBase,MATCH(B1783,ListaInsumos,0)),"Unidad incompatible",IF(A1783="","Falta fecha","OK")))))</f>
        <v/>
      </c>
      <c r="J1783" s="15"/>
    </row>
    <row r="1784" customFormat="false" ht="15" hidden="false" customHeight="false" outlineLevel="0" collapsed="false">
      <c r="A1784" s="26"/>
      <c r="B1784" s="15"/>
      <c r="C1784" s="15"/>
      <c r="D1784" s="27"/>
      <c r="E1784" s="15"/>
      <c r="F1784" s="28"/>
      <c r="G1784" s="25" t="str">
        <f aca="true">IF(OR(D1784="",E1784=""),"",IFERROR(D1784*INDEX(UnidadesFactor,MATCH(E1784,Unidades,0)),""))</f>
        <v/>
      </c>
      <c r="H1784" s="17" t="str">
        <f aca="false">IF(I1784&lt;&gt;"OK","",IF(G1784=0,"",F1784/G1784))</f>
        <v/>
      </c>
      <c r="I1784" s="20" t="str">
        <f aca="true">IF(B1784="","",IF(ISNA(MATCH(B1784,ListaInsumos,0)),"Insumo no está en Insumos",IF(OR(D1784="",E1784="",F1784=""),"Faltan datos",IF(INDEX(UnidadesBase,MATCH(E1784,Unidades,0))&lt;&gt;INDEX(InsBase,MATCH(B1784,ListaInsumos,0)),"Unidad incompatible",IF(A1784="","Falta fecha","OK")))))</f>
        <v/>
      </c>
      <c r="J1784" s="15"/>
    </row>
    <row r="1785" customFormat="false" ht="15" hidden="false" customHeight="false" outlineLevel="0" collapsed="false">
      <c r="A1785" s="26"/>
      <c r="B1785" s="15"/>
      <c r="C1785" s="15"/>
      <c r="D1785" s="27"/>
      <c r="E1785" s="15"/>
      <c r="F1785" s="28"/>
      <c r="G1785" s="25" t="str">
        <f aca="true">IF(OR(D1785="",E1785=""),"",IFERROR(D1785*INDEX(UnidadesFactor,MATCH(E1785,Unidades,0)),""))</f>
        <v/>
      </c>
      <c r="H1785" s="17" t="str">
        <f aca="false">IF(I1785&lt;&gt;"OK","",IF(G1785=0,"",F1785/G1785))</f>
        <v/>
      </c>
      <c r="I1785" s="20" t="str">
        <f aca="true">IF(B1785="","",IF(ISNA(MATCH(B1785,ListaInsumos,0)),"Insumo no está en Insumos",IF(OR(D1785="",E1785="",F1785=""),"Faltan datos",IF(INDEX(UnidadesBase,MATCH(E1785,Unidades,0))&lt;&gt;INDEX(InsBase,MATCH(B1785,ListaInsumos,0)),"Unidad incompatible",IF(A1785="","Falta fecha","OK")))))</f>
        <v/>
      </c>
      <c r="J1785" s="15"/>
    </row>
    <row r="1786" customFormat="false" ht="15" hidden="false" customHeight="false" outlineLevel="0" collapsed="false">
      <c r="A1786" s="26"/>
      <c r="B1786" s="15"/>
      <c r="C1786" s="15"/>
      <c r="D1786" s="27"/>
      <c r="E1786" s="15"/>
      <c r="F1786" s="28"/>
      <c r="G1786" s="25" t="str">
        <f aca="true">IF(OR(D1786="",E1786=""),"",IFERROR(D1786*INDEX(UnidadesFactor,MATCH(E1786,Unidades,0)),""))</f>
        <v/>
      </c>
      <c r="H1786" s="17" t="str">
        <f aca="false">IF(I1786&lt;&gt;"OK","",IF(G1786=0,"",F1786/G1786))</f>
        <v/>
      </c>
      <c r="I1786" s="20" t="str">
        <f aca="true">IF(B1786="","",IF(ISNA(MATCH(B1786,ListaInsumos,0)),"Insumo no está en Insumos",IF(OR(D1786="",E1786="",F1786=""),"Faltan datos",IF(INDEX(UnidadesBase,MATCH(E1786,Unidades,0))&lt;&gt;INDEX(InsBase,MATCH(B1786,ListaInsumos,0)),"Unidad incompatible",IF(A1786="","Falta fecha","OK")))))</f>
        <v/>
      </c>
      <c r="J1786" s="15"/>
    </row>
    <row r="1787" customFormat="false" ht="15" hidden="false" customHeight="false" outlineLevel="0" collapsed="false">
      <c r="A1787" s="26"/>
      <c r="B1787" s="15"/>
      <c r="C1787" s="15"/>
      <c r="D1787" s="27"/>
      <c r="E1787" s="15"/>
      <c r="F1787" s="28"/>
      <c r="G1787" s="25" t="str">
        <f aca="true">IF(OR(D1787="",E1787=""),"",IFERROR(D1787*INDEX(UnidadesFactor,MATCH(E1787,Unidades,0)),""))</f>
        <v/>
      </c>
      <c r="H1787" s="17" t="str">
        <f aca="false">IF(I1787&lt;&gt;"OK","",IF(G1787=0,"",F1787/G1787))</f>
        <v/>
      </c>
      <c r="I1787" s="20" t="str">
        <f aca="true">IF(B1787="","",IF(ISNA(MATCH(B1787,ListaInsumos,0)),"Insumo no está en Insumos",IF(OR(D1787="",E1787="",F1787=""),"Faltan datos",IF(INDEX(UnidadesBase,MATCH(E1787,Unidades,0))&lt;&gt;INDEX(InsBase,MATCH(B1787,ListaInsumos,0)),"Unidad incompatible",IF(A1787="","Falta fecha","OK")))))</f>
        <v/>
      </c>
      <c r="J1787" s="15"/>
    </row>
    <row r="1788" customFormat="false" ht="15" hidden="false" customHeight="false" outlineLevel="0" collapsed="false">
      <c r="A1788" s="26"/>
      <c r="B1788" s="15"/>
      <c r="C1788" s="15"/>
      <c r="D1788" s="27"/>
      <c r="E1788" s="15"/>
      <c r="F1788" s="28"/>
      <c r="G1788" s="25" t="str">
        <f aca="true">IF(OR(D1788="",E1788=""),"",IFERROR(D1788*INDEX(UnidadesFactor,MATCH(E1788,Unidades,0)),""))</f>
        <v/>
      </c>
      <c r="H1788" s="17" t="str">
        <f aca="false">IF(I1788&lt;&gt;"OK","",IF(G1788=0,"",F1788/G1788))</f>
        <v/>
      </c>
      <c r="I1788" s="20" t="str">
        <f aca="true">IF(B1788="","",IF(ISNA(MATCH(B1788,ListaInsumos,0)),"Insumo no está en Insumos",IF(OR(D1788="",E1788="",F1788=""),"Faltan datos",IF(INDEX(UnidadesBase,MATCH(E1788,Unidades,0))&lt;&gt;INDEX(InsBase,MATCH(B1788,ListaInsumos,0)),"Unidad incompatible",IF(A1788="","Falta fecha","OK")))))</f>
        <v/>
      </c>
      <c r="J1788" s="15"/>
    </row>
    <row r="1789" customFormat="false" ht="15" hidden="false" customHeight="false" outlineLevel="0" collapsed="false">
      <c r="A1789" s="26"/>
      <c r="B1789" s="15"/>
      <c r="C1789" s="15"/>
      <c r="D1789" s="27"/>
      <c r="E1789" s="15"/>
      <c r="F1789" s="28"/>
      <c r="G1789" s="25" t="str">
        <f aca="true">IF(OR(D1789="",E1789=""),"",IFERROR(D1789*INDEX(UnidadesFactor,MATCH(E1789,Unidades,0)),""))</f>
        <v/>
      </c>
      <c r="H1789" s="17" t="str">
        <f aca="false">IF(I1789&lt;&gt;"OK","",IF(G1789=0,"",F1789/G1789))</f>
        <v/>
      </c>
      <c r="I1789" s="20" t="str">
        <f aca="true">IF(B1789="","",IF(ISNA(MATCH(B1789,ListaInsumos,0)),"Insumo no está en Insumos",IF(OR(D1789="",E1789="",F1789=""),"Faltan datos",IF(INDEX(UnidadesBase,MATCH(E1789,Unidades,0))&lt;&gt;INDEX(InsBase,MATCH(B1789,ListaInsumos,0)),"Unidad incompatible",IF(A1789="","Falta fecha","OK")))))</f>
        <v/>
      </c>
      <c r="J1789" s="15"/>
    </row>
    <row r="1790" customFormat="false" ht="15" hidden="false" customHeight="false" outlineLevel="0" collapsed="false">
      <c r="A1790" s="26"/>
      <c r="B1790" s="15"/>
      <c r="C1790" s="15"/>
      <c r="D1790" s="27"/>
      <c r="E1790" s="15"/>
      <c r="F1790" s="28"/>
      <c r="G1790" s="25" t="str">
        <f aca="true">IF(OR(D1790="",E1790=""),"",IFERROR(D1790*INDEX(UnidadesFactor,MATCH(E1790,Unidades,0)),""))</f>
        <v/>
      </c>
      <c r="H1790" s="17" t="str">
        <f aca="false">IF(I1790&lt;&gt;"OK","",IF(G1790=0,"",F1790/G1790))</f>
        <v/>
      </c>
      <c r="I1790" s="20" t="str">
        <f aca="true">IF(B1790="","",IF(ISNA(MATCH(B1790,ListaInsumos,0)),"Insumo no está en Insumos",IF(OR(D1790="",E1790="",F1790=""),"Faltan datos",IF(INDEX(UnidadesBase,MATCH(E1790,Unidades,0))&lt;&gt;INDEX(InsBase,MATCH(B1790,ListaInsumos,0)),"Unidad incompatible",IF(A1790="","Falta fecha","OK")))))</f>
        <v/>
      </c>
      <c r="J1790" s="15"/>
    </row>
    <row r="1791" customFormat="false" ht="15" hidden="false" customHeight="false" outlineLevel="0" collapsed="false">
      <c r="A1791" s="26"/>
      <c r="B1791" s="15"/>
      <c r="C1791" s="15"/>
      <c r="D1791" s="27"/>
      <c r="E1791" s="15"/>
      <c r="F1791" s="28"/>
      <c r="G1791" s="25" t="str">
        <f aca="true">IF(OR(D1791="",E1791=""),"",IFERROR(D1791*INDEX(UnidadesFactor,MATCH(E1791,Unidades,0)),""))</f>
        <v/>
      </c>
      <c r="H1791" s="17" t="str">
        <f aca="false">IF(I1791&lt;&gt;"OK","",IF(G1791=0,"",F1791/G1791))</f>
        <v/>
      </c>
      <c r="I1791" s="20" t="str">
        <f aca="true">IF(B1791="","",IF(ISNA(MATCH(B1791,ListaInsumos,0)),"Insumo no está en Insumos",IF(OR(D1791="",E1791="",F1791=""),"Faltan datos",IF(INDEX(UnidadesBase,MATCH(E1791,Unidades,0))&lt;&gt;INDEX(InsBase,MATCH(B1791,ListaInsumos,0)),"Unidad incompatible",IF(A1791="","Falta fecha","OK")))))</f>
        <v/>
      </c>
      <c r="J1791" s="15"/>
    </row>
    <row r="1792" customFormat="false" ht="15" hidden="false" customHeight="false" outlineLevel="0" collapsed="false">
      <c r="A1792" s="26"/>
      <c r="B1792" s="15"/>
      <c r="C1792" s="15"/>
      <c r="D1792" s="27"/>
      <c r="E1792" s="15"/>
      <c r="F1792" s="28"/>
      <c r="G1792" s="25" t="str">
        <f aca="true">IF(OR(D1792="",E1792=""),"",IFERROR(D1792*INDEX(UnidadesFactor,MATCH(E1792,Unidades,0)),""))</f>
        <v/>
      </c>
      <c r="H1792" s="17" t="str">
        <f aca="false">IF(I1792&lt;&gt;"OK","",IF(G1792=0,"",F1792/G1792))</f>
        <v/>
      </c>
      <c r="I1792" s="20" t="str">
        <f aca="true">IF(B1792="","",IF(ISNA(MATCH(B1792,ListaInsumos,0)),"Insumo no está en Insumos",IF(OR(D1792="",E1792="",F1792=""),"Faltan datos",IF(INDEX(UnidadesBase,MATCH(E1792,Unidades,0))&lt;&gt;INDEX(InsBase,MATCH(B1792,ListaInsumos,0)),"Unidad incompatible",IF(A1792="","Falta fecha","OK")))))</f>
        <v/>
      </c>
      <c r="J1792" s="15"/>
    </row>
    <row r="1793" customFormat="false" ht="15" hidden="false" customHeight="false" outlineLevel="0" collapsed="false">
      <c r="A1793" s="26"/>
      <c r="B1793" s="15"/>
      <c r="C1793" s="15"/>
      <c r="D1793" s="27"/>
      <c r="E1793" s="15"/>
      <c r="F1793" s="28"/>
      <c r="G1793" s="25" t="str">
        <f aca="true">IF(OR(D1793="",E1793=""),"",IFERROR(D1793*INDEX(UnidadesFactor,MATCH(E1793,Unidades,0)),""))</f>
        <v/>
      </c>
      <c r="H1793" s="17" t="str">
        <f aca="false">IF(I1793&lt;&gt;"OK","",IF(G1793=0,"",F1793/G1793))</f>
        <v/>
      </c>
      <c r="I1793" s="20" t="str">
        <f aca="true">IF(B1793="","",IF(ISNA(MATCH(B1793,ListaInsumos,0)),"Insumo no está en Insumos",IF(OR(D1793="",E1793="",F1793=""),"Faltan datos",IF(INDEX(UnidadesBase,MATCH(E1793,Unidades,0))&lt;&gt;INDEX(InsBase,MATCH(B1793,ListaInsumos,0)),"Unidad incompatible",IF(A1793="","Falta fecha","OK")))))</f>
        <v/>
      </c>
      <c r="J1793" s="15"/>
    </row>
    <row r="1794" customFormat="false" ht="15" hidden="false" customHeight="false" outlineLevel="0" collapsed="false">
      <c r="A1794" s="26"/>
      <c r="B1794" s="15"/>
      <c r="C1794" s="15"/>
      <c r="D1794" s="27"/>
      <c r="E1794" s="15"/>
      <c r="F1794" s="28"/>
      <c r="G1794" s="25" t="str">
        <f aca="true">IF(OR(D1794="",E1794=""),"",IFERROR(D1794*INDEX(UnidadesFactor,MATCH(E1794,Unidades,0)),""))</f>
        <v/>
      </c>
      <c r="H1794" s="17" t="str">
        <f aca="false">IF(I1794&lt;&gt;"OK","",IF(G1794=0,"",F1794/G1794))</f>
        <v/>
      </c>
      <c r="I1794" s="20" t="str">
        <f aca="true">IF(B1794="","",IF(ISNA(MATCH(B1794,ListaInsumos,0)),"Insumo no está en Insumos",IF(OR(D1794="",E1794="",F1794=""),"Faltan datos",IF(INDEX(UnidadesBase,MATCH(E1794,Unidades,0))&lt;&gt;INDEX(InsBase,MATCH(B1794,ListaInsumos,0)),"Unidad incompatible",IF(A1794="","Falta fecha","OK")))))</f>
        <v/>
      </c>
      <c r="J1794" s="15"/>
    </row>
    <row r="1795" customFormat="false" ht="15" hidden="false" customHeight="false" outlineLevel="0" collapsed="false">
      <c r="A1795" s="26"/>
      <c r="B1795" s="15"/>
      <c r="C1795" s="15"/>
      <c r="D1795" s="27"/>
      <c r="E1795" s="15"/>
      <c r="F1795" s="28"/>
      <c r="G1795" s="25" t="str">
        <f aca="true">IF(OR(D1795="",E1795=""),"",IFERROR(D1795*INDEX(UnidadesFactor,MATCH(E1795,Unidades,0)),""))</f>
        <v/>
      </c>
      <c r="H1795" s="17" t="str">
        <f aca="false">IF(I1795&lt;&gt;"OK","",IF(G1795=0,"",F1795/G1795))</f>
        <v/>
      </c>
      <c r="I1795" s="20" t="str">
        <f aca="true">IF(B1795="","",IF(ISNA(MATCH(B1795,ListaInsumos,0)),"Insumo no está en Insumos",IF(OR(D1795="",E1795="",F1795=""),"Faltan datos",IF(INDEX(UnidadesBase,MATCH(E1795,Unidades,0))&lt;&gt;INDEX(InsBase,MATCH(B1795,ListaInsumos,0)),"Unidad incompatible",IF(A1795="","Falta fecha","OK")))))</f>
        <v/>
      </c>
      <c r="J1795" s="15"/>
    </row>
    <row r="1796" customFormat="false" ht="15" hidden="false" customHeight="false" outlineLevel="0" collapsed="false">
      <c r="A1796" s="26"/>
      <c r="B1796" s="15"/>
      <c r="C1796" s="15"/>
      <c r="D1796" s="27"/>
      <c r="E1796" s="15"/>
      <c r="F1796" s="28"/>
      <c r="G1796" s="25" t="str">
        <f aca="true">IF(OR(D1796="",E1796=""),"",IFERROR(D1796*INDEX(UnidadesFactor,MATCH(E1796,Unidades,0)),""))</f>
        <v/>
      </c>
      <c r="H1796" s="17" t="str">
        <f aca="false">IF(I1796&lt;&gt;"OK","",IF(G1796=0,"",F1796/G1796))</f>
        <v/>
      </c>
      <c r="I1796" s="20" t="str">
        <f aca="true">IF(B1796="","",IF(ISNA(MATCH(B1796,ListaInsumos,0)),"Insumo no está en Insumos",IF(OR(D1796="",E1796="",F1796=""),"Faltan datos",IF(INDEX(UnidadesBase,MATCH(E1796,Unidades,0))&lt;&gt;INDEX(InsBase,MATCH(B1796,ListaInsumos,0)),"Unidad incompatible",IF(A1796="","Falta fecha","OK")))))</f>
        <v/>
      </c>
      <c r="J1796" s="15"/>
    </row>
    <row r="1797" customFormat="false" ht="15" hidden="false" customHeight="false" outlineLevel="0" collapsed="false">
      <c r="A1797" s="26"/>
      <c r="B1797" s="15"/>
      <c r="C1797" s="15"/>
      <c r="D1797" s="27"/>
      <c r="E1797" s="15"/>
      <c r="F1797" s="28"/>
      <c r="G1797" s="25" t="str">
        <f aca="true">IF(OR(D1797="",E1797=""),"",IFERROR(D1797*INDEX(UnidadesFactor,MATCH(E1797,Unidades,0)),""))</f>
        <v/>
      </c>
      <c r="H1797" s="17" t="str">
        <f aca="false">IF(I1797&lt;&gt;"OK","",IF(G1797=0,"",F1797/G1797))</f>
        <v/>
      </c>
      <c r="I1797" s="20" t="str">
        <f aca="true">IF(B1797="","",IF(ISNA(MATCH(B1797,ListaInsumos,0)),"Insumo no está en Insumos",IF(OR(D1797="",E1797="",F1797=""),"Faltan datos",IF(INDEX(UnidadesBase,MATCH(E1797,Unidades,0))&lt;&gt;INDEX(InsBase,MATCH(B1797,ListaInsumos,0)),"Unidad incompatible",IF(A1797="","Falta fecha","OK")))))</f>
        <v/>
      </c>
      <c r="J1797" s="15"/>
    </row>
    <row r="1798" customFormat="false" ht="15" hidden="false" customHeight="false" outlineLevel="0" collapsed="false">
      <c r="A1798" s="26"/>
      <c r="B1798" s="15"/>
      <c r="C1798" s="15"/>
      <c r="D1798" s="27"/>
      <c r="E1798" s="15"/>
      <c r="F1798" s="28"/>
      <c r="G1798" s="25" t="str">
        <f aca="true">IF(OR(D1798="",E1798=""),"",IFERROR(D1798*INDEX(UnidadesFactor,MATCH(E1798,Unidades,0)),""))</f>
        <v/>
      </c>
      <c r="H1798" s="17" t="str">
        <f aca="false">IF(I1798&lt;&gt;"OK","",IF(G1798=0,"",F1798/G1798))</f>
        <v/>
      </c>
      <c r="I1798" s="20" t="str">
        <f aca="true">IF(B1798="","",IF(ISNA(MATCH(B1798,ListaInsumos,0)),"Insumo no está en Insumos",IF(OR(D1798="",E1798="",F1798=""),"Faltan datos",IF(INDEX(UnidadesBase,MATCH(E1798,Unidades,0))&lt;&gt;INDEX(InsBase,MATCH(B1798,ListaInsumos,0)),"Unidad incompatible",IF(A1798="","Falta fecha","OK")))))</f>
        <v/>
      </c>
      <c r="J1798" s="15"/>
    </row>
    <row r="1799" customFormat="false" ht="15" hidden="false" customHeight="false" outlineLevel="0" collapsed="false">
      <c r="A1799" s="26"/>
      <c r="B1799" s="15"/>
      <c r="C1799" s="15"/>
      <c r="D1799" s="27"/>
      <c r="E1799" s="15"/>
      <c r="F1799" s="28"/>
      <c r="G1799" s="25" t="str">
        <f aca="true">IF(OR(D1799="",E1799=""),"",IFERROR(D1799*INDEX(UnidadesFactor,MATCH(E1799,Unidades,0)),""))</f>
        <v/>
      </c>
      <c r="H1799" s="17" t="str">
        <f aca="false">IF(I1799&lt;&gt;"OK","",IF(G1799=0,"",F1799/G1799))</f>
        <v/>
      </c>
      <c r="I1799" s="20" t="str">
        <f aca="true">IF(B1799="","",IF(ISNA(MATCH(B1799,ListaInsumos,0)),"Insumo no está en Insumos",IF(OR(D1799="",E1799="",F1799=""),"Faltan datos",IF(INDEX(UnidadesBase,MATCH(E1799,Unidades,0))&lt;&gt;INDEX(InsBase,MATCH(B1799,ListaInsumos,0)),"Unidad incompatible",IF(A1799="","Falta fecha","OK")))))</f>
        <v/>
      </c>
      <c r="J1799" s="15"/>
    </row>
    <row r="1800" customFormat="false" ht="15" hidden="false" customHeight="false" outlineLevel="0" collapsed="false">
      <c r="A1800" s="26"/>
      <c r="B1800" s="15"/>
      <c r="C1800" s="15"/>
      <c r="D1800" s="27"/>
      <c r="E1800" s="15"/>
      <c r="F1800" s="28"/>
      <c r="G1800" s="25" t="str">
        <f aca="true">IF(OR(D1800="",E1800=""),"",IFERROR(D1800*INDEX(UnidadesFactor,MATCH(E1800,Unidades,0)),""))</f>
        <v/>
      </c>
      <c r="H1800" s="17" t="str">
        <f aca="false">IF(I1800&lt;&gt;"OK","",IF(G1800=0,"",F1800/G1800))</f>
        <v/>
      </c>
      <c r="I1800" s="20" t="str">
        <f aca="true">IF(B1800="","",IF(ISNA(MATCH(B1800,ListaInsumos,0)),"Insumo no está en Insumos",IF(OR(D1800="",E1800="",F1800=""),"Faltan datos",IF(INDEX(UnidadesBase,MATCH(E1800,Unidades,0))&lt;&gt;INDEX(InsBase,MATCH(B1800,ListaInsumos,0)),"Unidad incompatible",IF(A1800="","Falta fecha","OK")))))</f>
        <v/>
      </c>
      <c r="J1800" s="15"/>
    </row>
    <row r="1801" customFormat="false" ht="15" hidden="false" customHeight="false" outlineLevel="0" collapsed="false">
      <c r="A1801" s="26"/>
      <c r="B1801" s="15"/>
      <c r="C1801" s="15"/>
      <c r="D1801" s="27"/>
      <c r="E1801" s="15"/>
      <c r="F1801" s="28"/>
      <c r="G1801" s="25" t="str">
        <f aca="true">IF(OR(D1801="",E1801=""),"",IFERROR(D1801*INDEX(UnidadesFactor,MATCH(E1801,Unidades,0)),""))</f>
        <v/>
      </c>
      <c r="H1801" s="17" t="str">
        <f aca="false">IF(I1801&lt;&gt;"OK","",IF(G1801=0,"",F1801/G1801))</f>
        <v/>
      </c>
      <c r="I1801" s="20" t="str">
        <f aca="true">IF(B1801="","",IF(ISNA(MATCH(B1801,ListaInsumos,0)),"Insumo no está en Insumos",IF(OR(D1801="",E1801="",F1801=""),"Faltan datos",IF(INDEX(UnidadesBase,MATCH(E1801,Unidades,0))&lt;&gt;INDEX(InsBase,MATCH(B1801,ListaInsumos,0)),"Unidad incompatible",IF(A1801="","Falta fecha","OK")))))</f>
        <v/>
      </c>
      <c r="J1801" s="15"/>
    </row>
    <row r="1802" customFormat="false" ht="15" hidden="false" customHeight="false" outlineLevel="0" collapsed="false">
      <c r="A1802" s="26"/>
      <c r="B1802" s="15"/>
      <c r="C1802" s="15"/>
      <c r="D1802" s="27"/>
      <c r="E1802" s="15"/>
      <c r="F1802" s="28"/>
      <c r="G1802" s="25" t="str">
        <f aca="true">IF(OR(D1802="",E1802=""),"",IFERROR(D1802*INDEX(UnidadesFactor,MATCH(E1802,Unidades,0)),""))</f>
        <v/>
      </c>
      <c r="H1802" s="17" t="str">
        <f aca="false">IF(I1802&lt;&gt;"OK","",IF(G1802=0,"",F1802/G1802))</f>
        <v/>
      </c>
      <c r="I1802" s="20" t="str">
        <f aca="true">IF(B1802="","",IF(ISNA(MATCH(B1802,ListaInsumos,0)),"Insumo no está en Insumos",IF(OR(D1802="",E1802="",F1802=""),"Faltan datos",IF(INDEX(UnidadesBase,MATCH(E1802,Unidades,0))&lt;&gt;INDEX(InsBase,MATCH(B1802,ListaInsumos,0)),"Unidad incompatible",IF(A1802="","Falta fecha","OK")))))</f>
        <v/>
      </c>
      <c r="J1802" s="15"/>
    </row>
    <row r="1803" customFormat="false" ht="15" hidden="false" customHeight="false" outlineLevel="0" collapsed="false">
      <c r="A1803" s="26"/>
      <c r="B1803" s="15"/>
      <c r="C1803" s="15"/>
      <c r="D1803" s="27"/>
      <c r="E1803" s="15"/>
      <c r="F1803" s="28"/>
      <c r="G1803" s="25" t="str">
        <f aca="true">IF(OR(D1803="",E1803=""),"",IFERROR(D1803*INDEX(UnidadesFactor,MATCH(E1803,Unidades,0)),""))</f>
        <v/>
      </c>
      <c r="H1803" s="17" t="str">
        <f aca="false">IF(I1803&lt;&gt;"OK","",IF(G1803=0,"",F1803/G1803))</f>
        <v/>
      </c>
      <c r="I1803" s="20" t="str">
        <f aca="true">IF(B1803="","",IF(ISNA(MATCH(B1803,ListaInsumos,0)),"Insumo no está en Insumos",IF(OR(D1803="",E1803="",F1803=""),"Faltan datos",IF(INDEX(UnidadesBase,MATCH(E1803,Unidades,0))&lt;&gt;INDEX(InsBase,MATCH(B1803,ListaInsumos,0)),"Unidad incompatible",IF(A1803="","Falta fecha","OK")))))</f>
        <v/>
      </c>
      <c r="J1803" s="15"/>
    </row>
    <row r="1804" customFormat="false" ht="15" hidden="false" customHeight="false" outlineLevel="0" collapsed="false">
      <c r="A1804" s="26"/>
      <c r="B1804" s="15"/>
      <c r="C1804" s="15"/>
      <c r="D1804" s="27"/>
      <c r="E1804" s="15"/>
      <c r="F1804" s="28"/>
      <c r="G1804" s="25" t="str">
        <f aca="true">IF(OR(D1804="",E1804=""),"",IFERROR(D1804*INDEX(UnidadesFactor,MATCH(E1804,Unidades,0)),""))</f>
        <v/>
      </c>
      <c r="H1804" s="17" t="str">
        <f aca="false">IF(I1804&lt;&gt;"OK","",IF(G1804=0,"",F1804/G1804))</f>
        <v/>
      </c>
      <c r="I1804" s="20" t="str">
        <f aca="true">IF(B1804="","",IF(ISNA(MATCH(B1804,ListaInsumos,0)),"Insumo no está en Insumos",IF(OR(D1804="",E1804="",F1804=""),"Faltan datos",IF(INDEX(UnidadesBase,MATCH(E1804,Unidades,0))&lt;&gt;INDEX(InsBase,MATCH(B1804,ListaInsumos,0)),"Unidad incompatible",IF(A1804="","Falta fecha","OK")))))</f>
        <v/>
      </c>
      <c r="J1804" s="15"/>
    </row>
    <row r="1805" customFormat="false" ht="15" hidden="false" customHeight="false" outlineLevel="0" collapsed="false">
      <c r="A1805" s="26"/>
      <c r="B1805" s="15"/>
      <c r="C1805" s="15"/>
      <c r="D1805" s="27"/>
      <c r="E1805" s="15"/>
      <c r="F1805" s="28"/>
      <c r="G1805" s="25" t="str">
        <f aca="true">IF(OR(D1805="",E1805=""),"",IFERROR(D1805*INDEX(UnidadesFactor,MATCH(E1805,Unidades,0)),""))</f>
        <v/>
      </c>
      <c r="H1805" s="17" t="str">
        <f aca="false">IF(I1805&lt;&gt;"OK","",IF(G1805=0,"",F1805/G1805))</f>
        <v/>
      </c>
      <c r="I1805" s="20" t="str">
        <f aca="true">IF(B1805="","",IF(ISNA(MATCH(B1805,ListaInsumos,0)),"Insumo no está en Insumos",IF(OR(D1805="",E1805="",F1805=""),"Faltan datos",IF(INDEX(UnidadesBase,MATCH(E1805,Unidades,0))&lt;&gt;INDEX(InsBase,MATCH(B1805,ListaInsumos,0)),"Unidad incompatible",IF(A1805="","Falta fecha","OK")))))</f>
        <v/>
      </c>
      <c r="J1805" s="15"/>
    </row>
    <row r="1806" customFormat="false" ht="15" hidden="false" customHeight="false" outlineLevel="0" collapsed="false">
      <c r="A1806" s="26"/>
      <c r="B1806" s="15"/>
      <c r="C1806" s="15"/>
      <c r="D1806" s="27"/>
      <c r="E1806" s="15"/>
      <c r="F1806" s="28"/>
      <c r="G1806" s="25" t="str">
        <f aca="true">IF(OR(D1806="",E1806=""),"",IFERROR(D1806*INDEX(UnidadesFactor,MATCH(E1806,Unidades,0)),""))</f>
        <v/>
      </c>
      <c r="H1806" s="17" t="str">
        <f aca="false">IF(I1806&lt;&gt;"OK","",IF(G1806=0,"",F1806/G1806))</f>
        <v/>
      </c>
      <c r="I1806" s="20" t="str">
        <f aca="true">IF(B1806="","",IF(ISNA(MATCH(B1806,ListaInsumos,0)),"Insumo no está en Insumos",IF(OR(D1806="",E1806="",F1806=""),"Faltan datos",IF(INDEX(UnidadesBase,MATCH(E1806,Unidades,0))&lt;&gt;INDEX(InsBase,MATCH(B1806,ListaInsumos,0)),"Unidad incompatible",IF(A1806="","Falta fecha","OK")))))</f>
        <v/>
      </c>
      <c r="J1806" s="15"/>
    </row>
    <row r="1807" customFormat="false" ht="15" hidden="false" customHeight="false" outlineLevel="0" collapsed="false">
      <c r="A1807" s="26"/>
      <c r="B1807" s="15"/>
      <c r="C1807" s="15"/>
      <c r="D1807" s="27"/>
      <c r="E1807" s="15"/>
      <c r="F1807" s="28"/>
      <c r="G1807" s="25" t="str">
        <f aca="true">IF(OR(D1807="",E1807=""),"",IFERROR(D1807*INDEX(UnidadesFactor,MATCH(E1807,Unidades,0)),""))</f>
        <v/>
      </c>
      <c r="H1807" s="17" t="str">
        <f aca="false">IF(I1807&lt;&gt;"OK","",IF(G1807=0,"",F1807/G1807))</f>
        <v/>
      </c>
      <c r="I1807" s="20" t="str">
        <f aca="true">IF(B1807="","",IF(ISNA(MATCH(B1807,ListaInsumos,0)),"Insumo no está en Insumos",IF(OR(D1807="",E1807="",F1807=""),"Faltan datos",IF(INDEX(UnidadesBase,MATCH(E1807,Unidades,0))&lt;&gt;INDEX(InsBase,MATCH(B1807,ListaInsumos,0)),"Unidad incompatible",IF(A1807="","Falta fecha","OK")))))</f>
        <v/>
      </c>
      <c r="J1807" s="15"/>
    </row>
    <row r="1808" customFormat="false" ht="15" hidden="false" customHeight="false" outlineLevel="0" collapsed="false">
      <c r="A1808" s="26"/>
      <c r="B1808" s="15"/>
      <c r="C1808" s="15"/>
      <c r="D1808" s="27"/>
      <c r="E1808" s="15"/>
      <c r="F1808" s="28"/>
      <c r="G1808" s="25" t="str">
        <f aca="true">IF(OR(D1808="",E1808=""),"",IFERROR(D1808*INDEX(UnidadesFactor,MATCH(E1808,Unidades,0)),""))</f>
        <v/>
      </c>
      <c r="H1808" s="17" t="str">
        <f aca="false">IF(I1808&lt;&gt;"OK","",IF(G1808=0,"",F1808/G1808))</f>
        <v/>
      </c>
      <c r="I1808" s="20" t="str">
        <f aca="true">IF(B1808="","",IF(ISNA(MATCH(B1808,ListaInsumos,0)),"Insumo no está en Insumos",IF(OR(D1808="",E1808="",F1808=""),"Faltan datos",IF(INDEX(UnidadesBase,MATCH(E1808,Unidades,0))&lt;&gt;INDEX(InsBase,MATCH(B1808,ListaInsumos,0)),"Unidad incompatible",IF(A1808="","Falta fecha","OK")))))</f>
        <v/>
      </c>
      <c r="J1808" s="15"/>
    </row>
    <row r="1809" customFormat="false" ht="15" hidden="false" customHeight="false" outlineLevel="0" collapsed="false">
      <c r="A1809" s="26"/>
      <c r="B1809" s="15"/>
      <c r="C1809" s="15"/>
      <c r="D1809" s="27"/>
      <c r="E1809" s="15"/>
      <c r="F1809" s="28"/>
      <c r="G1809" s="25" t="str">
        <f aca="true">IF(OR(D1809="",E1809=""),"",IFERROR(D1809*INDEX(UnidadesFactor,MATCH(E1809,Unidades,0)),""))</f>
        <v/>
      </c>
      <c r="H1809" s="17" t="str">
        <f aca="false">IF(I1809&lt;&gt;"OK","",IF(G1809=0,"",F1809/G1809))</f>
        <v/>
      </c>
      <c r="I1809" s="20" t="str">
        <f aca="true">IF(B1809="","",IF(ISNA(MATCH(B1809,ListaInsumos,0)),"Insumo no está en Insumos",IF(OR(D1809="",E1809="",F1809=""),"Faltan datos",IF(INDEX(UnidadesBase,MATCH(E1809,Unidades,0))&lt;&gt;INDEX(InsBase,MATCH(B1809,ListaInsumos,0)),"Unidad incompatible",IF(A1809="","Falta fecha","OK")))))</f>
        <v/>
      </c>
      <c r="J1809" s="15"/>
    </row>
    <row r="1810" customFormat="false" ht="15" hidden="false" customHeight="false" outlineLevel="0" collapsed="false">
      <c r="A1810" s="26"/>
      <c r="B1810" s="15"/>
      <c r="C1810" s="15"/>
      <c r="D1810" s="27"/>
      <c r="E1810" s="15"/>
      <c r="F1810" s="28"/>
      <c r="G1810" s="25" t="str">
        <f aca="true">IF(OR(D1810="",E1810=""),"",IFERROR(D1810*INDEX(UnidadesFactor,MATCH(E1810,Unidades,0)),""))</f>
        <v/>
      </c>
      <c r="H1810" s="17" t="str">
        <f aca="false">IF(I1810&lt;&gt;"OK","",IF(G1810=0,"",F1810/G1810))</f>
        <v/>
      </c>
      <c r="I1810" s="20" t="str">
        <f aca="true">IF(B1810="","",IF(ISNA(MATCH(B1810,ListaInsumos,0)),"Insumo no está en Insumos",IF(OR(D1810="",E1810="",F1810=""),"Faltan datos",IF(INDEX(UnidadesBase,MATCH(E1810,Unidades,0))&lt;&gt;INDEX(InsBase,MATCH(B1810,ListaInsumos,0)),"Unidad incompatible",IF(A1810="","Falta fecha","OK")))))</f>
        <v/>
      </c>
      <c r="J1810" s="15"/>
    </row>
    <row r="1811" customFormat="false" ht="15" hidden="false" customHeight="false" outlineLevel="0" collapsed="false">
      <c r="A1811" s="26"/>
      <c r="B1811" s="15"/>
      <c r="C1811" s="15"/>
      <c r="D1811" s="27"/>
      <c r="E1811" s="15"/>
      <c r="F1811" s="28"/>
      <c r="G1811" s="25" t="str">
        <f aca="true">IF(OR(D1811="",E1811=""),"",IFERROR(D1811*INDEX(UnidadesFactor,MATCH(E1811,Unidades,0)),""))</f>
        <v/>
      </c>
      <c r="H1811" s="17" t="str">
        <f aca="false">IF(I1811&lt;&gt;"OK","",IF(G1811=0,"",F1811/G1811))</f>
        <v/>
      </c>
      <c r="I1811" s="20" t="str">
        <f aca="true">IF(B1811="","",IF(ISNA(MATCH(B1811,ListaInsumos,0)),"Insumo no está en Insumos",IF(OR(D1811="",E1811="",F1811=""),"Faltan datos",IF(INDEX(UnidadesBase,MATCH(E1811,Unidades,0))&lt;&gt;INDEX(InsBase,MATCH(B1811,ListaInsumos,0)),"Unidad incompatible",IF(A1811="","Falta fecha","OK")))))</f>
        <v/>
      </c>
      <c r="J1811" s="15"/>
    </row>
    <row r="1812" customFormat="false" ht="15" hidden="false" customHeight="false" outlineLevel="0" collapsed="false">
      <c r="A1812" s="26"/>
      <c r="B1812" s="15"/>
      <c r="C1812" s="15"/>
      <c r="D1812" s="27"/>
      <c r="E1812" s="15"/>
      <c r="F1812" s="28"/>
      <c r="G1812" s="25" t="str">
        <f aca="true">IF(OR(D1812="",E1812=""),"",IFERROR(D1812*INDEX(UnidadesFactor,MATCH(E1812,Unidades,0)),""))</f>
        <v/>
      </c>
      <c r="H1812" s="17" t="str">
        <f aca="false">IF(I1812&lt;&gt;"OK","",IF(G1812=0,"",F1812/G1812))</f>
        <v/>
      </c>
      <c r="I1812" s="20" t="str">
        <f aca="true">IF(B1812="","",IF(ISNA(MATCH(B1812,ListaInsumos,0)),"Insumo no está en Insumos",IF(OR(D1812="",E1812="",F1812=""),"Faltan datos",IF(INDEX(UnidadesBase,MATCH(E1812,Unidades,0))&lt;&gt;INDEX(InsBase,MATCH(B1812,ListaInsumos,0)),"Unidad incompatible",IF(A1812="","Falta fecha","OK")))))</f>
        <v/>
      </c>
      <c r="J1812" s="15"/>
    </row>
    <row r="1813" customFormat="false" ht="15" hidden="false" customHeight="false" outlineLevel="0" collapsed="false">
      <c r="A1813" s="26"/>
      <c r="B1813" s="15"/>
      <c r="C1813" s="15"/>
      <c r="D1813" s="27"/>
      <c r="E1813" s="15"/>
      <c r="F1813" s="28"/>
      <c r="G1813" s="25" t="str">
        <f aca="true">IF(OR(D1813="",E1813=""),"",IFERROR(D1813*INDEX(UnidadesFactor,MATCH(E1813,Unidades,0)),""))</f>
        <v/>
      </c>
      <c r="H1813" s="17" t="str">
        <f aca="false">IF(I1813&lt;&gt;"OK","",IF(G1813=0,"",F1813/G1813))</f>
        <v/>
      </c>
      <c r="I1813" s="20" t="str">
        <f aca="true">IF(B1813="","",IF(ISNA(MATCH(B1813,ListaInsumos,0)),"Insumo no está en Insumos",IF(OR(D1813="",E1813="",F1813=""),"Faltan datos",IF(INDEX(UnidadesBase,MATCH(E1813,Unidades,0))&lt;&gt;INDEX(InsBase,MATCH(B1813,ListaInsumos,0)),"Unidad incompatible",IF(A1813="","Falta fecha","OK")))))</f>
        <v/>
      </c>
      <c r="J1813" s="15"/>
    </row>
    <row r="1814" customFormat="false" ht="15" hidden="false" customHeight="false" outlineLevel="0" collapsed="false">
      <c r="A1814" s="26"/>
      <c r="B1814" s="15"/>
      <c r="C1814" s="15"/>
      <c r="D1814" s="27"/>
      <c r="E1814" s="15"/>
      <c r="F1814" s="28"/>
      <c r="G1814" s="25" t="str">
        <f aca="true">IF(OR(D1814="",E1814=""),"",IFERROR(D1814*INDEX(UnidadesFactor,MATCH(E1814,Unidades,0)),""))</f>
        <v/>
      </c>
      <c r="H1814" s="17" t="str">
        <f aca="false">IF(I1814&lt;&gt;"OK","",IF(G1814=0,"",F1814/G1814))</f>
        <v/>
      </c>
      <c r="I1814" s="20" t="str">
        <f aca="true">IF(B1814="","",IF(ISNA(MATCH(B1814,ListaInsumos,0)),"Insumo no está en Insumos",IF(OR(D1814="",E1814="",F1814=""),"Faltan datos",IF(INDEX(UnidadesBase,MATCH(E1814,Unidades,0))&lt;&gt;INDEX(InsBase,MATCH(B1814,ListaInsumos,0)),"Unidad incompatible",IF(A1814="","Falta fecha","OK")))))</f>
        <v/>
      </c>
      <c r="J1814" s="15"/>
    </row>
    <row r="1815" customFormat="false" ht="15" hidden="false" customHeight="false" outlineLevel="0" collapsed="false">
      <c r="A1815" s="26"/>
      <c r="B1815" s="15"/>
      <c r="C1815" s="15"/>
      <c r="D1815" s="27"/>
      <c r="E1815" s="15"/>
      <c r="F1815" s="28"/>
      <c r="G1815" s="25" t="str">
        <f aca="true">IF(OR(D1815="",E1815=""),"",IFERROR(D1815*INDEX(UnidadesFactor,MATCH(E1815,Unidades,0)),""))</f>
        <v/>
      </c>
      <c r="H1815" s="17" t="str">
        <f aca="false">IF(I1815&lt;&gt;"OK","",IF(G1815=0,"",F1815/G1815))</f>
        <v/>
      </c>
      <c r="I1815" s="20" t="str">
        <f aca="true">IF(B1815="","",IF(ISNA(MATCH(B1815,ListaInsumos,0)),"Insumo no está en Insumos",IF(OR(D1815="",E1815="",F1815=""),"Faltan datos",IF(INDEX(UnidadesBase,MATCH(E1815,Unidades,0))&lt;&gt;INDEX(InsBase,MATCH(B1815,ListaInsumos,0)),"Unidad incompatible",IF(A1815="","Falta fecha","OK")))))</f>
        <v/>
      </c>
      <c r="J1815" s="15"/>
    </row>
    <row r="1816" customFormat="false" ht="15" hidden="false" customHeight="false" outlineLevel="0" collapsed="false">
      <c r="A1816" s="26"/>
      <c r="B1816" s="15"/>
      <c r="C1816" s="15"/>
      <c r="D1816" s="27"/>
      <c r="E1816" s="15"/>
      <c r="F1816" s="28"/>
      <c r="G1816" s="25" t="str">
        <f aca="true">IF(OR(D1816="",E1816=""),"",IFERROR(D1816*INDEX(UnidadesFactor,MATCH(E1816,Unidades,0)),""))</f>
        <v/>
      </c>
      <c r="H1816" s="17" t="str">
        <f aca="false">IF(I1816&lt;&gt;"OK","",IF(G1816=0,"",F1816/G1816))</f>
        <v/>
      </c>
      <c r="I1816" s="20" t="str">
        <f aca="true">IF(B1816="","",IF(ISNA(MATCH(B1816,ListaInsumos,0)),"Insumo no está en Insumos",IF(OR(D1816="",E1816="",F1816=""),"Faltan datos",IF(INDEX(UnidadesBase,MATCH(E1816,Unidades,0))&lt;&gt;INDEX(InsBase,MATCH(B1816,ListaInsumos,0)),"Unidad incompatible",IF(A1816="","Falta fecha","OK")))))</f>
        <v/>
      </c>
      <c r="J1816" s="15"/>
    </row>
    <row r="1817" customFormat="false" ht="15" hidden="false" customHeight="false" outlineLevel="0" collapsed="false">
      <c r="A1817" s="26"/>
      <c r="B1817" s="15"/>
      <c r="C1817" s="15"/>
      <c r="D1817" s="27"/>
      <c r="E1817" s="15"/>
      <c r="F1817" s="28"/>
      <c r="G1817" s="25" t="str">
        <f aca="true">IF(OR(D1817="",E1817=""),"",IFERROR(D1817*INDEX(UnidadesFactor,MATCH(E1817,Unidades,0)),""))</f>
        <v/>
      </c>
      <c r="H1817" s="17" t="str">
        <f aca="false">IF(I1817&lt;&gt;"OK","",IF(G1817=0,"",F1817/G1817))</f>
        <v/>
      </c>
      <c r="I1817" s="20" t="str">
        <f aca="true">IF(B1817="","",IF(ISNA(MATCH(B1817,ListaInsumos,0)),"Insumo no está en Insumos",IF(OR(D1817="",E1817="",F1817=""),"Faltan datos",IF(INDEX(UnidadesBase,MATCH(E1817,Unidades,0))&lt;&gt;INDEX(InsBase,MATCH(B1817,ListaInsumos,0)),"Unidad incompatible",IF(A1817="","Falta fecha","OK")))))</f>
        <v/>
      </c>
      <c r="J1817" s="15"/>
    </row>
    <row r="1818" customFormat="false" ht="15" hidden="false" customHeight="false" outlineLevel="0" collapsed="false">
      <c r="A1818" s="26"/>
      <c r="B1818" s="15"/>
      <c r="C1818" s="15"/>
      <c r="D1818" s="27"/>
      <c r="E1818" s="15"/>
      <c r="F1818" s="28"/>
      <c r="G1818" s="25" t="str">
        <f aca="true">IF(OR(D1818="",E1818=""),"",IFERROR(D1818*INDEX(UnidadesFactor,MATCH(E1818,Unidades,0)),""))</f>
        <v/>
      </c>
      <c r="H1818" s="17" t="str">
        <f aca="false">IF(I1818&lt;&gt;"OK","",IF(G1818=0,"",F1818/G1818))</f>
        <v/>
      </c>
      <c r="I1818" s="20" t="str">
        <f aca="true">IF(B1818="","",IF(ISNA(MATCH(B1818,ListaInsumos,0)),"Insumo no está en Insumos",IF(OR(D1818="",E1818="",F1818=""),"Faltan datos",IF(INDEX(UnidadesBase,MATCH(E1818,Unidades,0))&lt;&gt;INDEX(InsBase,MATCH(B1818,ListaInsumos,0)),"Unidad incompatible",IF(A1818="","Falta fecha","OK")))))</f>
        <v/>
      </c>
      <c r="J1818" s="15"/>
    </row>
    <row r="1819" customFormat="false" ht="15" hidden="false" customHeight="false" outlineLevel="0" collapsed="false">
      <c r="A1819" s="26"/>
      <c r="B1819" s="15"/>
      <c r="C1819" s="15"/>
      <c r="D1819" s="27"/>
      <c r="E1819" s="15"/>
      <c r="F1819" s="28"/>
      <c r="G1819" s="25" t="str">
        <f aca="true">IF(OR(D1819="",E1819=""),"",IFERROR(D1819*INDEX(UnidadesFactor,MATCH(E1819,Unidades,0)),""))</f>
        <v/>
      </c>
      <c r="H1819" s="17" t="str">
        <f aca="false">IF(I1819&lt;&gt;"OK","",IF(G1819=0,"",F1819/G1819))</f>
        <v/>
      </c>
      <c r="I1819" s="20" t="str">
        <f aca="true">IF(B1819="","",IF(ISNA(MATCH(B1819,ListaInsumos,0)),"Insumo no está en Insumos",IF(OR(D1819="",E1819="",F1819=""),"Faltan datos",IF(INDEX(UnidadesBase,MATCH(E1819,Unidades,0))&lt;&gt;INDEX(InsBase,MATCH(B1819,ListaInsumos,0)),"Unidad incompatible",IF(A1819="","Falta fecha","OK")))))</f>
        <v/>
      </c>
      <c r="J1819" s="15"/>
    </row>
    <row r="1820" customFormat="false" ht="15" hidden="false" customHeight="false" outlineLevel="0" collapsed="false">
      <c r="A1820" s="26"/>
      <c r="B1820" s="15"/>
      <c r="C1820" s="15"/>
      <c r="D1820" s="27"/>
      <c r="E1820" s="15"/>
      <c r="F1820" s="28"/>
      <c r="G1820" s="25" t="str">
        <f aca="true">IF(OR(D1820="",E1820=""),"",IFERROR(D1820*INDEX(UnidadesFactor,MATCH(E1820,Unidades,0)),""))</f>
        <v/>
      </c>
      <c r="H1820" s="17" t="str">
        <f aca="false">IF(I1820&lt;&gt;"OK","",IF(G1820=0,"",F1820/G1820))</f>
        <v/>
      </c>
      <c r="I1820" s="20" t="str">
        <f aca="true">IF(B1820="","",IF(ISNA(MATCH(B1820,ListaInsumos,0)),"Insumo no está en Insumos",IF(OR(D1820="",E1820="",F1820=""),"Faltan datos",IF(INDEX(UnidadesBase,MATCH(E1820,Unidades,0))&lt;&gt;INDEX(InsBase,MATCH(B1820,ListaInsumos,0)),"Unidad incompatible",IF(A1820="","Falta fecha","OK")))))</f>
        <v/>
      </c>
      <c r="J1820" s="15"/>
    </row>
    <row r="1821" customFormat="false" ht="15" hidden="false" customHeight="false" outlineLevel="0" collapsed="false">
      <c r="A1821" s="26"/>
      <c r="B1821" s="15"/>
      <c r="C1821" s="15"/>
      <c r="D1821" s="27"/>
      <c r="E1821" s="15"/>
      <c r="F1821" s="28"/>
      <c r="G1821" s="25" t="str">
        <f aca="true">IF(OR(D1821="",E1821=""),"",IFERROR(D1821*INDEX(UnidadesFactor,MATCH(E1821,Unidades,0)),""))</f>
        <v/>
      </c>
      <c r="H1821" s="17" t="str">
        <f aca="false">IF(I1821&lt;&gt;"OK","",IF(G1821=0,"",F1821/G1821))</f>
        <v/>
      </c>
      <c r="I1821" s="20" t="str">
        <f aca="true">IF(B1821="","",IF(ISNA(MATCH(B1821,ListaInsumos,0)),"Insumo no está en Insumos",IF(OR(D1821="",E1821="",F1821=""),"Faltan datos",IF(INDEX(UnidadesBase,MATCH(E1821,Unidades,0))&lt;&gt;INDEX(InsBase,MATCH(B1821,ListaInsumos,0)),"Unidad incompatible",IF(A1821="","Falta fecha","OK")))))</f>
        <v/>
      </c>
      <c r="J1821" s="15"/>
    </row>
    <row r="1822" customFormat="false" ht="15" hidden="false" customHeight="false" outlineLevel="0" collapsed="false">
      <c r="A1822" s="26"/>
      <c r="B1822" s="15"/>
      <c r="C1822" s="15"/>
      <c r="D1822" s="27"/>
      <c r="E1822" s="15"/>
      <c r="F1822" s="28"/>
      <c r="G1822" s="25" t="str">
        <f aca="true">IF(OR(D1822="",E1822=""),"",IFERROR(D1822*INDEX(UnidadesFactor,MATCH(E1822,Unidades,0)),""))</f>
        <v/>
      </c>
      <c r="H1822" s="17" t="str">
        <f aca="false">IF(I1822&lt;&gt;"OK","",IF(G1822=0,"",F1822/G1822))</f>
        <v/>
      </c>
      <c r="I1822" s="20" t="str">
        <f aca="true">IF(B1822="","",IF(ISNA(MATCH(B1822,ListaInsumos,0)),"Insumo no está en Insumos",IF(OR(D1822="",E1822="",F1822=""),"Faltan datos",IF(INDEX(UnidadesBase,MATCH(E1822,Unidades,0))&lt;&gt;INDEX(InsBase,MATCH(B1822,ListaInsumos,0)),"Unidad incompatible",IF(A1822="","Falta fecha","OK")))))</f>
        <v/>
      </c>
      <c r="J1822" s="15"/>
    </row>
    <row r="1823" customFormat="false" ht="15" hidden="false" customHeight="false" outlineLevel="0" collapsed="false">
      <c r="A1823" s="26"/>
      <c r="B1823" s="15"/>
      <c r="C1823" s="15"/>
      <c r="D1823" s="27"/>
      <c r="E1823" s="15"/>
      <c r="F1823" s="28"/>
      <c r="G1823" s="25" t="str">
        <f aca="true">IF(OR(D1823="",E1823=""),"",IFERROR(D1823*INDEX(UnidadesFactor,MATCH(E1823,Unidades,0)),""))</f>
        <v/>
      </c>
      <c r="H1823" s="17" t="str">
        <f aca="false">IF(I1823&lt;&gt;"OK","",IF(G1823=0,"",F1823/G1823))</f>
        <v/>
      </c>
      <c r="I1823" s="20" t="str">
        <f aca="true">IF(B1823="","",IF(ISNA(MATCH(B1823,ListaInsumos,0)),"Insumo no está en Insumos",IF(OR(D1823="",E1823="",F1823=""),"Faltan datos",IF(INDEX(UnidadesBase,MATCH(E1823,Unidades,0))&lt;&gt;INDEX(InsBase,MATCH(B1823,ListaInsumos,0)),"Unidad incompatible",IF(A1823="","Falta fecha","OK")))))</f>
        <v/>
      </c>
      <c r="J1823" s="15"/>
    </row>
    <row r="1824" customFormat="false" ht="15" hidden="false" customHeight="false" outlineLevel="0" collapsed="false">
      <c r="A1824" s="26"/>
      <c r="B1824" s="15"/>
      <c r="C1824" s="15"/>
      <c r="D1824" s="27"/>
      <c r="E1824" s="15"/>
      <c r="F1824" s="28"/>
      <c r="G1824" s="25" t="str">
        <f aca="true">IF(OR(D1824="",E1824=""),"",IFERROR(D1824*INDEX(UnidadesFactor,MATCH(E1824,Unidades,0)),""))</f>
        <v/>
      </c>
      <c r="H1824" s="17" t="str">
        <f aca="false">IF(I1824&lt;&gt;"OK","",IF(G1824=0,"",F1824/G1824))</f>
        <v/>
      </c>
      <c r="I1824" s="20" t="str">
        <f aca="true">IF(B1824="","",IF(ISNA(MATCH(B1824,ListaInsumos,0)),"Insumo no está en Insumos",IF(OR(D1824="",E1824="",F1824=""),"Faltan datos",IF(INDEX(UnidadesBase,MATCH(E1824,Unidades,0))&lt;&gt;INDEX(InsBase,MATCH(B1824,ListaInsumos,0)),"Unidad incompatible",IF(A1824="","Falta fecha","OK")))))</f>
        <v/>
      </c>
      <c r="J1824" s="15"/>
    </row>
    <row r="1825" customFormat="false" ht="15" hidden="false" customHeight="false" outlineLevel="0" collapsed="false">
      <c r="A1825" s="26"/>
      <c r="B1825" s="15"/>
      <c r="C1825" s="15"/>
      <c r="D1825" s="27"/>
      <c r="E1825" s="15"/>
      <c r="F1825" s="28"/>
      <c r="G1825" s="25" t="str">
        <f aca="true">IF(OR(D1825="",E1825=""),"",IFERROR(D1825*INDEX(UnidadesFactor,MATCH(E1825,Unidades,0)),""))</f>
        <v/>
      </c>
      <c r="H1825" s="17" t="str">
        <f aca="false">IF(I1825&lt;&gt;"OK","",IF(G1825=0,"",F1825/G1825))</f>
        <v/>
      </c>
      <c r="I1825" s="20" t="str">
        <f aca="true">IF(B1825="","",IF(ISNA(MATCH(B1825,ListaInsumos,0)),"Insumo no está en Insumos",IF(OR(D1825="",E1825="",F1825=""),"Faltan datos",IF(INDEX(UnidadesBase,MATCH(E1825,Unidades,0))&lt;&gt;INDEX(InsBase,MATCH(B1825,ListaInsumos,0)),"Unidad incompatible",IF(A1825="","Falta fecha","OK")))))</f>
        <v/>
      </c>
      <c r="J1825" s="15"/>
    </row>
    <row r="1826" customFormat="false" ht="15" hidden="false" customHeight="false" outlineLevel="0" collapsed="false">
      <c r="A1826" s="26"/>
      <c r="B1826" s="15"/>
      <c r="C1826" s="15"/>
      <c r="D1826" s="27"/>
      <c r="E1826" s="15"/>
      <c r="F1826" s="28"/>
      <c r="G1826" s="25" t="str">
        <f aca="true">IF(OR(D1826="",E1826=""),"",IFERROR(D1826*INDEX(UnidadesFactor,MATCH(E1826,Unidades,0)),""))</f>
        <v/>
      </c>
      <c r="H1826" s="17" t="str">
        <f aca="false">IF(I1826&lt;&gt;"OK","",IF(G1826=0,"",F1826/G1826))</f>
        <v/>
      </c>
      <c r="I1826" s="20" t="str">
        <f aca="true">IF(B1826="","",IF(ISNA(MATCH(B1826,ListaInsumos,0)),"Insumo no está en Insumos",IF(OR(D1826="",E1826="",F1826=""),"Faltan datos",IF(INDEX(UnidadesBase,MATCH(E1826,Unidades,0))&lt;&gt;INDEX(InsBase,MATCH(B1826,ListaInsumos,0)),"Unidad incompatible",IF(A1826="","Falta fecha","OK")))))</f>
        <v/>
      </c>
      <c r="J1826" s="15"/>
    </row>
    <row r="1827" customFormat="false" ht="15" hidden="false" customHeight="false" outlineLevel="0" collapsed="false">
      <c r="A1827" s="26"/>
      <c r="B1827" s="15"/>
      <c r="C1827" s="15"/>
      <c r="D1827" s="27"/>
      <c r="E1827" s="15"/>
      <c r="F1827" s="28"/>
      <c r="G1827" s="25" t="str">
        <f aca="true">IF(OR(D1827="",E1827=""),"",IFERROR(D1827*INDEX(UnidadesFactor,MATCH(E1827,Unidades,0)),""))</f>
        <v/>
      </c>
      <c r="H1827" s="17" t="str">
        <f aca="false">IF(I1827&lt;&gt;"OK","",IF(G1827=0,"",F1827/G1827))</f>
        <v/>
      </c>
      <c r="I1827" s="20" t="str">
        <f aca="true">IF(B1827="","",IF(ISNA(MATCH(B1827,ListaInsumos,0)),"Insumo no está en Insumos",IF(OR(D1827="",E1827="",F1827=""),"Faltan datos",IF(INDEX(UnidadesBase,MATCH(E1827,Unidades,0))&lt;&gt;INDEX(InsBase,MATCH(B1827,ListaInsumos,0)),"Unidad incompatible",IF(A1827="","Falta fecha","OK")))))</f>
        <v/>
      </c>
      <c r="J1827" s="15"/>
    </row>
    <row r="1828" customFormat="false" ht="15" hidden="false" customHeight="false" outlineLevel="0" collapsed="false">
      <c r="A1828" s="26"/>
      <c r="B1828" s="15"/>
      <c r="C1828" s="15"/>
      <c r="D1828" s="27"/>
      <c r="E1828" s="15"/>
      <c r="F1828" s="28"/>
      <c r="G1828" s="25" t="str">
        <f aca="true">IF(OR(D1828="",E1828=""),"",IFERROR(D1828*INDEX(UnidadesFactor,MATCH(E1828,Unidades,0)),""))</f>
        <v/>
      </c>
      <c r="H1828" s="17" t="str">
        <f aca="false">IF(I1828&lt;&gt;"OK","",IF(G1828=0,"",F1828/G1828))</f>
        <v/>
      </c>
      <c r="I1828" s="20" t="str">
        <f aca="true">IF(B1828="","",IF(ISNA(MATCH(B1828,ListaInsumos,0)),"Insumo no está en Insumos",IF(OR(D1828="",E1828="",F1828=""),"Faltan datos",IF(INDEX(UnidadesBase,MATCH(E1828,Unidades,0))&lt;&gt;INDEX(InsBase,MATCH(B1828,ListaInsumos,0)),"Unidad incompatible",IF(A1828="","Falta fecha","OK")))))</f>
        <v/>
      </c>
      <c r="J1828" s="15"/>
    </row>
    <row r="1829" customFormat="false" ht="15" hidden="false" customHeight="false" outlineLevel="0" collapsed="false">
      <c r="A1829" s="26"/>
      <c r="B1829" s="15"/>
      <c r="C1829" s="15"/>
      <c r="D1829" s="27"/>
      <c r="E1829" s="15"/>
      <c r="F1829" s="28"/>
      <c r="G1829" s="25" t="str">
        <f aca="true">IF(OR(D1829="",E1829=""),"",IFERROR(D1829*INDEX(UnidadesFactor,MATCH(E1829,Unidades,0)),""))</f>
        <v/>
      </c>
      <c r="H1829" s="17" t="str">
        <f aca="false">IF(I1829&lt;&gt;"OK","",IF(G1829=0,"",F1829/G1829))</f>
        <v/>
      </c>
      <c r="I1829" s="20" t="str">
        <f aca="true">IF(B1829="","",IF(ISNA(MATCH(B1829,ListaInsumos,0)),"Insumo no está en Insumos",IF(OR(D1829="",E1829="",F1829=""),"Faltan datos",IF(INDEX(UnidadesBase,MATCH(E1829,Unidades,0))&lt;&gt;INDEX(InsBase,MATCH(B1829,ListaInsumos,0)),"Unidad incompatible",IF(A1829="","Falta fecha","OK")))))</f>
        <v/>
      </c>
      <c r="J1829" s="15"/>
    </row>
    <row r="1830" customFormat="false" ht="15" hidden="false" customHeight="false" outlineLevel="0" collapsed="false">
      <c r="A1830" s="26"/>
      <c r="B1830" s="15"/>
      <c r="C1830" s="15"/>
      <c r="D1830" s="27"/>
      <c r="E1830" s="15"/>
      <c r="F1830" s="28"/>
      <c r="G1830" s="25" t="str">
        <f aca="true">IF(OR(D1830="",E1830=""),"",IFERROR(D1830*INDEX(UnidadesFactor,MATCH(E1830,Unidades,0)),""))</f>
        <v/>
      </c>
      <c r="H1830" s="17" t="str">
        <f aca="false">IF(I1830&lt;&gt;"OK","",IF(G1830=0,"",F1830/G1830))</f>
        <v/>
      </c>
      <c r="I1830" s="20" t="str">
        <f aca="true">IF(B1830="","",IF(ISNA(MATCH(B1830,ListaInsumos,0)),"Insumo no está en Insumos",IF(OR(D1830="",E1830="",F1830=""),"Faltan datos",IF(INDEX(UnidadesBase,MATCH(E1830,Unidades,0))&lt;&gt;INDEX(InsBase,MATCH(B1830,ListaInsumos,0)),"Unidad incompatible",IF(A1830="","Falta fecha","OK")))))</f>
        <v/>
      </c>
      <c r="J1830" s="15"/>
    </row>
    <row r="1831" customFormat="false" ht="15" hidden="false" customHeight="false" outlineLevel="0" collapsed="false">
      <c r="A1831" s="26"/>
      <c r="B1831" s="15"/>
      <c r="C1831" s="15"/>
      <c r="D1831" s="27"/>
      <c r="E1831" s="15"/>
      <c r="F1831" s="28"/>
      <c r="G1831" s="25" t="str">
        <f aca="true">IF(OR(D1831="",E1831=""),"",IFERROR(D1831*INDEX(UnidadesFactor,MATCH(E1831,Unidades,0)),""))</f>
        <v/>
      </c>
      <c r="H1831" s="17" t="str">
        <f aca="false">IF(I1831&lt;&gt;"OK","",IF(G1831=0,"",F1831/G1831))</f>
        <v/>
      </c>
      <c r="I1831" s="20" t="str">
        <f aca="true">IF(B1831="","",IF(ISNA(MATCH(B1831,ListaInsumos,0)),"Insumo no está en Insumos",IF(OR(D1831="",E1831="",F1831=""),"Faltan datos",IF(INDEX(UnidadesBase,MATCH(E1831,Unidades,0))&lt;&gt;INDEX(InsBase,MATCH(B1831,ListaInsumos,0)),"Unidad incompatible",IF(A1831="","Falta fecha","OK")))))</f>
        <v/>
      </c>
      <c r="J1831" s="15"/>
    </row>
    <row r="1832" customFormat="false" ht="15" hidden="false" customHeight="false" outlineLevel="0" collapsed="false">
      <c r="A1832" s="26"/>
      <c r="B1832" s="15"/>
      <c r="C1832" s="15"/>
      <c r="D1832" s="27"/>
      <c r="E1832" s="15"/>
      <c r="F1832" s="28"/>
      <c r="G1832" s="25" t="str">
        <f aca="true">IF(OR(D1832="",E1832=""),"",IFERROR(D1832*INDEX(UnidadesFactor,MATCH(E1832,Unidades,0)),""))</f>
        <v/>
      </c>
      <c r="H1832" s="17" t="str">
        <f aca="false">IF(I1832&lt;&gt;"OK","",IF(G1832=0,"",F1832/G1832))</f>
        <v/>
      </c>
      <c r="I1832" s="20" t="str">
        <f aca="true">IF(B1832="","",IF(ISNA(MATCH(B1832,ListaInsumos,0)),"Insumo no está en Insumos",IF(OR(D1832="",E1832="",F1832=""),"Faltan datos",IF(INDEX(UnidadesBase,MATCH(E1832,Unidades,0))&lt;&gt;INDEX(InsBase,MATCH(B1832,ListaInsumos,0)),"Unidad incompatible",IF(A1832="","Falta fecha","OK")))))</f>
        <v/>
      </c>
      <c r="J1832" s="15"/>
    </row>
    <row r="1833" customFormat="false" ht="15" hidden="false" customHeight="false" outlineLevel="0" collapsed="false">
      <c r="A1833" s="26"/>
      <c r="B1833" s="15"/>
      <c r="C1833" s="15"/>
      <c r="D1833" s="27"/>
      <c r="E1833" s="15"/>
      <c r="F1833" s="28"/>
      <c r="G1833" s="25" t="str">
        <f aca="true">IF(OR(D1833="",E1833=""),"",IFERROR(D1833*INDEX(UnidadesFactor,MATCH(E1833,Unidades,0)),""))</f>
        <v/>
      </c>
      <c r="H1833" s="17" t="str">
        <f aca="false">IF(I1833&lt;&gt;"OK","",IF(G1833=0,"",F1833/G1833))</f>
        <v/>
      </c>
      <c r="I1833" s="20" t="str">
        <f aca="true">IF(B1833="","",IF(ISNA(MATCH(B1833,ListaInsumos,0)),"Insumo no está en Insumos",IF(OR(D1833="",E1833="",F1833=""),"Faltan datos",IF(INDEX(UnidadesBase,MATCH(E1833,Unidades,0))&lt;&gt;INDEX(InsBase,MATCH(B1833,ListaInsumos,0)),"Unidad incompatible",IF(A1833="","Falta fecha","OK")))))</f>
        <v/>
      </c>
      <c r="J1833" s="15"/>
    </row>
    <row r="1834" customFormat="false" ht="15" hidden="false" customHeight="false" outlineLevel="0" collapsed="false">
      <c r="A1834" s="26"/>
      <c r="B1834" s="15"/>
      <c r="C1834" s="15"/>
      <c r="D1834" s="27"/>
      <c r="E1834" s="15"/>
      <c r="F1834" s="28"/>
      <c r="G1834" s="25" t="str">
        <f aca="true">IF(OR(D1834="",E1834=""),"",IFERROR(D1834*INDEX(UnidadesFactor,MATCH(E1834,Unidades,0)),""))</f>
        <v/>
      </c>
      <c r="H1834" s="17" t="str">
        <f aca="false">IF(I1834&lt;&gt;"OK","",IF(G1834=0,"",F1834/G1834))</f>
        <v/>
      </c>
      <c r="I1834" s="20" t="str">
        <f aca="true">IF(B1834="","",IF(ISNA(MATCH(B1834,ListaInsumos,0)),"Insumo no está en Insumos",IF(OR(D1834="",E1834="",F1834=""),"Faltan datos",IF(INDEX(UnidadesBase,MATCH(E1834,Unidades,0))&lt;&gt;INDEX(InsBase,MATCH(B1834,ListaInsumos,0)),"Unidad incompatible",IF(A1834="","Falta fecha","OK")))))</f>
        <v/>
      </c>
      <c r="J1834" s="15"/>
    </row>
    <row r="1835" customFormat="false" ht="15" hidden="false" customHeight="false" outlineLevel="0" collapsed="false">
      <c r="A1835" s="26"/>
      <c r="B1835" s="15"/>
      <c r="C1835" s="15"/>
      <c r="D1835" s="27"/>
      <c r="E1835" s="15"/>
      <c r="F1835" s="28"/>
      <c r="G1835" s="25" t="str">
        <f aca="true">IF(OR(D1835="",E1835=""),"",IFERROR(D1835*INDEX(UnidadesFactor,MATCH(E1835,Unidades,0)),""))</f>
        <v/>
      </c>
      <c r="H1835" s="17" t="str">
        <f aca="false">IF(I1835&lt;&gt;"OK","",IF(G1835=0,"",F1835/G1835))</f>
        <v/>
      </c>
      <c r="I1835" s="20" t="str">
        <f aca="true">IF(B1835="","",IF(ISNA(MATCH(B1835,ListaInsumos,0)),"Insumo no está en Insumos",IF(OR(D1835="",E1835="",F1835=""),"Faltan datos",IF(INDEX(UnidadesBase,MATCH(E1835,Unidades,0))&lt;&gt;INDEX(InsBase,MATCH(B1835,ListaInsumos,0)),"Unidad incompatible",IF(A1835="","Falta fecha","OK")))))</f>
        <v/>
      </c>
      <c r="J1835" s="15"/>
    </row>
    <row r="1836" customFormat="false" ht="15" hidden="false" customHeight="false" outlineLevel="0" collapsed="false">
      <c r="A1836" s="26"/>
      <c r="B1836" s="15"/>
      <c r="C1836" s="15"/>
      <c r="D1836" s="27"/>
      <c r="E1836" s="15"/>
      <c r="F1836" s="28"/>
      <c r="G1836" s="25" t="str">
        <f aca="true">IF(OR(D1836="",E1836=""),"",IFERROR(D1836*INDEX(UnidadesFactor,MATCH(E1836,Unidades,0)),""))</f>
        <v/>
      </c>
      <c r="H1836" s="17" t="str">
        <f aca="false">IF(I1836&lt;&gt;"OK","",IF(G1836=0,"",F1836/G1836))</f>
        <v/>
      </c>
      <c r="I1836" s="20" t="str">
        <f aca="true">IF(B1836="","",IF(ISNA(MATCH(B1836,ListaInsumos,0)),"Insumo no está en Insumos",IF(OR(D1836="",E1836="",F1836=""),"Faltan datos",IF(INDEX(UnidadesBase,MATCH(E1836,Unidades,0))&lt;&gt;INDEX(InsBase,MATCH(B1836,ListaInsumos,0)),"Unidad incompatible",IF(A1836="","Falta fecha","OK")))))</f>
        <v/>
      </c>
      <c r="J1836" s="15"/>
    </row>
    <row r="1837" customFormat="false" ht="15" hidden="false" customHeight="false" outlineLevel="0" collapsed="false">
      <c r="A1837" s="26"/>
      <c r="B1837" s="15"/>
      <c r="C1837" s="15"/>
      <c r="D1837" s="27"/>
      <c r="E1837" s="15"/>
      <c r="F1837" s="28"/>
      <c r="G1837" s="25" t="str">
        <f aca="true">IF(OR(D1837="",E1837=""),"",IFERROR(D1837*INDEX(UnidadesFactor,MATCH(E1837,Unidades,0)),""))</f>
        <v/>
      </c>
      <c r="H1837" s="17" t="str">
        <f aca="false">IF(I1837&lt;&gt;"OK","",IF(G1837=0,"",F1837/G1837))</f>
        <v/>
      </c>
      <c r="I1837" s="20" t="str">
        <f aca="true">IF(B1837="","",IF(ISNA(MATCH(B1837,ListaInsumos,0)),"Insumo no está en Insumos",IF(OR(D1837="",E1837="",F1837=""),"Faltan datos",IF(INDEX(UnidadesBase,MATCH(E1837,Unidades,0))&lt;&gt;INDEX(InsBase,MATCH(B1837,ListaInsumos,0)),"Unidad incompatible",IF(A1837="","Falta fecha","OK")))))</f>
        <v/>
      </c>
      <c r="J1837" s="15"/>
    </row>
    <row r="1838" customFormat="false" ht="15" hidden="false" customHeight="false" outlineLevel="0" collapsed="false">
      <c r="A1838" s="26"/>
      <c r="B1838" s="15"/>
      <c r="C1838" s="15"/>
      <c r="D1838" s="27"/>
      <c r="E1838" s="15"/>
      <c r="F1838" s="28"/>
      <c r="G1838" s="25" t="str">
        <f aca="true">IF(OR(D1838="",E1838=""),"",IFERROR(D1838*INDEX(UnidadesFactor,MATCH(E1838,Unidades,0)),""))</f>
        <v/>
      </c>
      <c r="H1838" s="17" t="str">
        <f aca="false">IF(I1838&lt;&gt;"OK","",IF(G1838=0,"",F1838/G1838))</f>
        <v/>
      </c>
      <c r="I1838" s="20" t="str">
        <f aca="true">IF(B1838="","",IF(ISNA(MATCH(B1838,ListaInsumos,0)),"Insumo no está en Insumos",IF(OR(D1838="",E1838="",F1838=""),"Faltan datos",IF(INDEX(UnidadesBase,MATCH(E1838,Unidades,0))&lt;&gt;INDEX(InsBase,MATCH(B1838,ListaInsumos,0)),"Unidad incompatible",IF(A1838="","Falta fecha","OK")))))</f>
        <v/>
      </c>
      <c r="J1838" s="15"/>
    </row>
    <row r="1839" customFormat="false" ht="15" hidden="false" customHeight="false" outlineLevel="0" collapsed="false">
      <c r="A1839" s="26"/>
      <c r="B1839" s="15"/>
      <c r="C1839" s="15"/>
      <c r="D1839" s="27"/>
      <c r="E1839" s="15"/>
      <c r="F1839" s="28"/>
      <c r="G1839" s="25" t="str">
        <f aca="true">IF(OR(D1839="",E1839=""),"",IFERROR(D1839*INDEX(UnidadesFactor,MATCH(E1839,Unidades,0)),""))</f>
        <v/>
      </c>
      <c r="H1839" s="17" t="str">
        <f aca="false">IF(I1839&lt;&gt;"OK","",IF(G1839=0,"",F1839/G1839))</f>
        <v/>
      </c>
      <c r="I1839" s="20" t="str">
        <f aca="true">IF(B1839="","",IF(ISNA(MATCH(B1839,ListaInsumos,0)),"Insumo no está en Insumos",IF(OR(D1839="",E1839="",F1839=""),"Faltan datos",IF(INDEX(UnidadesBase,MATCH(E1839,Unidades,0))&lt;&gt;INDEX(InsBase,MATCH(B1839,ListaInsumos,0)),"Unidad incompatible",IF(A1839="","Falta fecha","OK")))))</f>
        <v/>
      </c>
      <c r="J1839" s="15"/>
    </row>
    <row r="1840" customFormat="false" ht="15" hidden="false" customHeight="false" outlineLevel="0" collapsed="false">
      <c r="A1840" s="26"/>
      <c r="B1840" s="15"/>
      <c r="C1840" s="15"/>
      <c r="D1840" s="27"/>
      <c r="E1840" s="15"/>
      <c r="F1840" s="28"/>
      <c r="G1840" s="25" t="str">
        <f aca="true">IF(OR(D1840="",E1840=""),"",IFERROR(D1840*INDEX(UnidadesFactor,MATCH(E1840,Unidades,0)),""))</f>
        <v/>
      </c>
      <c r="H1840" s="17" t="str">
        <f aca="false">IF(I1840&lt;&gt;"OK","",IF(G1840=0,"",F1840/G1840))</f>
        <v/>
      </c>
      <c r="I1840" s="20" t="str">
        <f aca="true">IF(B1840="","",IF(ISNA(MATCH(B1840,ListaInsumos,0)),"Insumo no está en Insumos",IF(OR(D1840="",E1840="",F1840=""),"Faltan datos",IF(INDEX(UnidadesBase,MATCH(E1840,Unidades,0))&lt;&gt;INDEX(InsBase,MATCH(B1840,ListaInsumos,0)),"Unidad incompatible",IF(A1840="","Falta fecha","OK")))))</f>
        <v/>
      </c>
      <c r="J1840" s="15"/>
    </row>
    <row r="1841" customFormat="false" ht="15" hidden="false" customHeight="false" outlineLevel="0" collapsed="false">
      <c r="A1841" s="26"/>
      <c r="B1841" s="15"/>
      <c r="C1841" s="15"/>
      <c r="D1841" s="27"/>
      <c r="E1841" s="15"/>
      <c r="F1841" s="28"/>
      <c r="G1841" s="25" t="str">
        <f aca="true">IF(OR(D1841="",E1841=""),"",IFERROR(D1841*INDEX(UnidadesFactor,MATCH(E1841,Unidades,0)),""))</f>
        <v/>
      </c>
      <c r="H1841" s="17" t="str">
        <f aca="false">IF(I1841&lt;&gt;"OK","",IF(G1841=0,"",F1841/G1841))</f>
        <v/>
      </c>
      <c r="I1841" s="20" t="str">
        <f aca="true">IF(B1841="","",IF(ISNA(MATCH(B1841,ListaInsumos,0)),"Insumo no está en Insumos",IF(OR(D1841="",E1841="",F1841=""),"Faltan datos",IF(INDEX(UnidadesBase,MATCH(E1841,Unidades,0))&lt;&gt;INDEX(InsBase,MATCH(B1841,ListaInsumos,0)),"Unidad incompatible",IF(A1841="","Falta fecha","OK")))))</f>
        <v/>
      </c>
      <c r="J1841" s="15"/>
    </row>
    <row r="1842" customFormat="false" ht="15" hidden="false" customHeight="false" outlineLevel="0" collapsed="false">
      <c r="A1842" s="26"/>
      <c r="B1842" s="15"/>
      <c r="C1842" s="15"/>
      <c r="D1842" s="27"/>
      <c r="E1842" s="15"/>
      <c r="F1842" s="28"/>
      <c r="G1842" s="25" t="str">
        <f aca="true">IF(OR(D1842="",E1842=""),"",IFERROR(D1842*INDEX(UnidadesFactor,MATCH(E1842,Unidades,0)),""))</f>
        <v/>
      </c>
      <c r="H1842" s="17" t="str">
        <f aca="false">IF(I1842&lt;&gt;"OK","",IF(G1842=0,"",F1842/G1842))</f>
        <v/>
      </c>
      <c r="I1842" s="20" t="str">
        <f aca="true">IF(B1842="","",IF(ISNA(MATCH(B1842,ListaInsumos,0)),"Insumo no está en Insumos",IF(OR(D1842="",E1842="",F1842=""),"Faltan datos",IF(INDEX(UnidadesBase,MATCH(E1842,Unidades,0))&lt;&gt;INDEX(InsBase,MATCH(B1842,ListaInsumos,0)),"Unidad incompatible",IF(A1842="","Falta fecha","OK")))))</f>
        <v/>
      </c>
      <c r="J1842" s="15"/>
    </row>
    <row r="1843" customFormat="false" ht="15" hidden="false" customHeight="false" outlineLevel="0" collapsed="false">
      <c r="A1843" s="26"/>
      <c r="B1843" s="15"/>
      <c r="C1843" s="15"/>
      <c r="D1843" s="27"/>
      <c r="E1843" s="15"/>
      <c r="F1843" s="28"/>
      <c r="G1843" s="25" t="str">
        <f aca="true">IF(OR(D1843="",E1843=""),"",IFERROR(D1843*INDEX(UnidadesFactor,MATCH(E1843,Unidades,0)),""))</f>
        <v/>
      </c>
      <c r="H1843" s="17" t="str">
        <f aca="false">IF(I1843&lt;&gt;"OK","",IF(G1843=0,"",F1843/G1843))</f>
        <v/>
      </c>
      <c r="I1843" s="20" t="str">
        <f aca="true">IF(B1843="","",IF(ISNA(MATCH(B1843,ListaInsumos,0)),"Insumo no está en Insumos",IF(OR(D1843="",E1843="",F1843=""),"Faltan datos",IF(INDEX(UnidadesBase,MATCH(E1843,Unidades,0))&lt;&gt;INDEX(InsBase,MATCH(B1843,ListaInsumos,0)),"Unidad incompatible",IF(A1843="","Falta fecha","OK")))))</f>
        <v/>
      </c>
      <c r="J1843" s="15"/>
    </row>
    <row r="1844" customFormat="false" ht="15" hidden="false" customHeight="false" outlineLevel="0" collapsed="false">
      <c r="A1844" s="26"/>
      <c r="B1844" s="15"/>
      <c r="C1844" s="15"/>
      <c r="D1844" s="27"/>
      <c r="E1844" s="15"/>
      <c r="F1844" s="28"/>
      <c r="G1844" s="25" t="str">
        <f aca="true">IF(OR(D1844="",E1844=""),"",IFERROR(D1844*INDEX(UnidadesFactor,MATCH(E1844,Unidades,0)),""))</f>
        <v/>
      </c>
      <c r="H1844" s="17" t="str">
        <f aca="false">IF(I1844&lt;&gt;"OK","",IF(G1844=0,"",F1844/G1844))</f>
        <v/>
      </c>
      <c r="I1844" s="20" t="str">
        <f aca="true">IF(B1844="","",IF(ISNA(MATCH(B1844,ListaInsumos,0)),"Insumo no está en Insumos",IF(OR(D1844="",E1844="",F1844=""),"Faltan datos",IF(INDEX(UnidadesBase,MATCH(E1844,Unidades,0))&lt;&gt;INDEX(InsBase,MATCH(B1844,ListaInsumos,0)),"Unidad incompatible",IF(A1844="","Falta fecha","OK")))))</f>
        <v/>
      </c>
      <c r="J1844" s="15"/>
    </row>
    <row r="1845" customFormat="false" ht="15" hidden="false" customHeight="false" outlineLevel="0" collapsed="false">
      <c r="A1845" s="26"/>
      <c r="B1845" s="15"/>
      <c r="C1845" s="15"/>
      <c r="D1845" s="27"/>
      <c r="E1845" s="15"/>
      <c r="F1845" s="28"/>
      <c r="G1845" s="25" t="str">
        <f aca="true">IF(OR(D1845="",E1845=""),"",IFERROR(D1845*INDEX(UnidadesFactor,MATCH(E1845,Unidades,0)),""))</f>
        <v/>
      </c>
      <c r="H1845" s="17" t="str">
        <f aca="false">IF(I1845&lt;&gt;"OK","",IF(G1845=0,"",F1845/G1845))</f>
        <v/>
      </c>
      <c r="I1845" s="20" t="str">
        <f aca="true">IF(B1845="","",IF(ISNA(MATCH(B1845,ListaInsumos,0)),"Insumo no está en Insumos",IF(OR(D1845="",E1845="",F1845=""),"Faltan datos",IF(INDEX(UnidadesBase,MATCH(E1845,Unidades,0))&lt;&gt;INDEX(InsBase,MATCH(B1845,ListaInsumos,0)),"Unidad incompatible",IF(A1845="","Falta fecha","OK")))))</f>
        <v/>
      </c>
      <c r="J1845" s="15"/>
    </row>
    <row r="1846" customFormat="false" ht="15" hidden="false" customHeight="false" outlineLevel="0" collapsed="false">
      <c r="A1846" s="26"/>
      <c r="B1846" s="15"/>
      <c r="C1846" s="15"/>
      <c r="D1846" s="27"/>
      <c r="E1846" s="15"/>
      <c r="F1846" s="28"/>
      <c r="G1846" s="25" t="str">
        <f aca="true">IF(OR(D1846="",E1846=""),"",IFERROR(D1846*INDEX(UnidadesFactor,MATCH(E1846,Unidades,0)),""))</f>
        <v/>
      </c>
      <c r="H1846" s="17" t="str">
        <f aca="false">IF(I1846&lt;&gt;"OK","",IF(G1846=0,"",F1846/G1846))</f>
        <v/>
      </c>
      <c r="I1846" s="20" t="str">
        <f aca="true">IF(B1846="","",IF(ISNA(MATCH(B1846,ListaInsumos,0)),"Insumo no está en Insumos",IF(OR(D1846="",E1846="",F1846=""),"Faltan datos",IF(INDEX(UnidadesBase,MATCH(E1846,Unidades,0))&lt;&gt;INDEX(InsBase,MATCH(B1846,ListaInsumos,0)),"Unidad incompatible",IF(A1846="","Falta fecha","OK")))))</f>
        <v/>
      </c>
      <c r="J1846" s="15"/>
    </row>
    <row r="1847" customFormat="false" ht="15" hidden="false" customHeight="false" outlineLevel="0" collapsed="false">
      <c r="A1847" s="26"/>
      <c r="B1847" s="15"/>
      <c r="C1847" s="15"/>
      <c r="D1847" s="27"/>
      <c r="E1847" s="15"/>
      <c r="F1847" s="28"/>
      <c r="G1847" s="25" t="str">
        <f aca="true">IF(OR(D1847="",E1847=""),"",IFERROR(D1847*INDEX(UnidadesFactor,MATCH(E1847,Unidades,0)),""))</f>
        <v/>
      </c>
      <c r="H1847" s="17" t="str">
        <f aca="false">IF(I1847&lt;&gt;"OK","",IF(G1847=0,"",F1847/G1847))</f>
        <v/>
      </c>
      <c r="I1847" s="20" t="str">
        <f aca="true">IF(B1847="","",IF(ISNA(MATCH(B1847,ListaInsumos,0)),"Insumo no está en Insumos",IF(OR(D1847="",E1847="",F1847=""),"Faltan datos",IF(INDEX(UnidadesBase,MATCH(E1847,Unidades,0))&lt;&gt;INDEX(InsBase,MATCH(B1847,ListaInsumos,0)),"Unidad incompatible",IF(A1847="","Falta fecha","OK")))))</f>
        <v/>
      </c>
      <c r="J1847" s="15"/>
    </row>
    <row r="1848" customFormat="false" ht="15" hidden="false" customHeight="false" outlineLevel="0" collapsed="false">
      <c r="A1848" s="26"/>
      <c r="B1848" s="15"/>
      <c r="C1848" s="15"/>
      <c r="D1848" s="27"/>
      <c r="E1848" s="15"/>
      <c r="F1848" s="28"/>
      <c r="G1848" s="25" t="str">
        <f aca="true">IF(OR(D1848="",E1848=""),"",IFERROR(D1848*INDEX(UnidadesFactor,MATCH(E1848,Unidades,0)),""))</f>
        <v/>
      </c>
      <c r="H1848" s="17" t="str">
        <f aca="false">IF(I1848&lt;&gt;"OK","",IF(G1848=0,"",F1848/G1848))</f>
        <v/>
      </c>
      <c r="I1848" s="20" t="str">
        <f aca="true">IF(B1848="","",IF(ISNA(MATCH(B1848,ListaInsumos,0)),"Insumo no está en Insumos",IF(OR(D1848="",E1848="",F1848=""),"Faltan datos",IF(INDEX(UnidadesBase,MATCH(E1848,Unidades,0))&lt;&gt;INDEX(InsBase,MATCH(B1848,ListaInsumos,0)),"Unidad incompatible",IF(A1848="","Falta fecha","OK")))))</f>
        <v/>
      </c>
      <c r="J1848" s="15"/>
    </row>
    <row r="1849" customFormat="false" ht="15" hidden="false" customHeight="false" outlineLevel="0" collapsed="false">
      <c r="A1849" s="26"/>
      <c r="B1849" s="15"/>
      <c r="C1849" s="15"/>
      <c r="D1849" s="27"/>
      <c r="E1849" s="15"/>
      <c r="F1849" s="28"/>
      <c r="G1849" s="25" t="str">
        <f aca="true">IF(OR(D1849="",E1849=""),"",IFERROR(D1849*INDEX(UnidadesFactor,MATCH(E1849,Unidades,0)),""))</f>
        <v/>
      </c>
      <c r="H1849" s="17" t="str">
        <f aca="false">IF(I1849&lt;&gt;"OK","",IF(G1849=0,"",F1849/G1849))</f>
        <v/>
      </c>
      <c r="I1849" s="20" t="str">
        <f aca="true">IF(B1849="","",IF(ISNA(MATCH(B1849,ListaInsumos,0)),"Insumo no está en Insumos",IF(OR(D1849="",E1849="",F1849=""),"Faltan datos",IF(INDEX(UnidadesBase,MATCH(E1849,Unidades,0))&lt;&gt;INDEX(InsBase,MATCH(B1849,ListaInsumos,0)),"Unidad incompatible",IF(A1849="","Falta fecha","OK")))))</f>
        <v/>
      </c>
      <c r="J1849" s="15"/>
    </row>
    <row r="1850" customFormat="false" ht="15" hidden="false" customHeight="false" outlineLevel="0" collapsed="false">
      <c r="A1850" s="26"/>
      <c r="B1850" s="15"/>
      <c r="C1850" s="15"/>
      <c r="D1850" s="27"/>
      <c r="E1850" s="15"/>
      <c r="F1850" s="28"/>
      <c r="G1850" s="25" t="str">
        <f aca="true">IF(OR(D1850="",E1850=""),"",IFERROR(D1850*INDEX(UnidadesFactor,MATCH(E1850,Unidades,0)),""))</f>
        <v/>
      </c>
      <c r="H1850" s="17" t="str">
        <f aca="false">IF(I1850&lt;&gt;"OK","",IF(G1850=0,"",F1850/G1850))</f>
        <v/>
      </c>
      <c r="I1850" s="20" t="str">
        <f aca="true">IF(B1850="","",IF(ISNA(MATCH(B1850,ListaInsumos,0)),"Insumo no está en Insumos",IF(OR(D1850="",E1850="",F1850=""),"Faltan datos",IF(INDEX(UnidadesBase,MATCH(E1850,Unidades,0))&lt;&gt;INDEX(InsBase,MATCH(B1850,ListaInsumos,0)),"Unidad incompatible",IF(A1850="","Falta fecha","OK")))))</f>
        <v/>
      </c>
      <c r="J1850" s="15"/>
    </row>
    <row r="1851" customFormat="false" ht="15" hidden="false" customHeight="false" outlineLevel="0" collapsed="false">
      <c r="A1851" s="26"/>
      <c r="B1851" s="15"/>
      <c r="C1851" s="15"/>
      <c r="D1851" s="27"/>
      <c r="E1851" s="15"/>
      <c r="F1851" s="28"/>
      <c r="G1851" s="25" t="str">
        <f aca="true">IF(OR(D1851="",E1851=""),"",IFERROR(D1851*INDEX(UnidadesFactor,MATCH(E1851,Unidades,0)),""))</f>
        <v/>
      </c>
      <c r="H1851" s="17" t="str">
        <f aca="false">IF(I1851&lt;&gt;"OK","",IF(G1851=0,"",F1851/G1851))</f>
        <v/>
      </c>
      <c r="I1851" s="20" t="str">
        <f aca="true">IF(B1851="","",IF(ISNA(MATCH(B1851,ListaInsumos,0)),"Insumo no está en Insumos",IF(OR(D1851="",E1851="",F1851=""),"Faltan datos",IF(INDEX(UnidadesBase,MATCH(E1851,Unidades,0))&lt;&gt;INDEX(InsBase,MATCH(B1851,ListaInsumos,0)),"Unidad incompatible",IF(A1851="","Falta fecha","OK")))))</f>
        <v/>
      </c>
      <c r="J1851" s="15"/>
    </row>
    <row r="1852" customFormat="false" ht="15" hidden="false" customHeight="false" outlineLevel="0" collapsed="false">
      <c r="A1852" s="26"/>
      <c r="B1852" s="15"/>
      <c r="C1852" s="15"/>
      <c r="D1852" s="27"/>
      <c r="E1852" s="15"/>
      <c r="F1852" s="28"/>
      <c r="G1852" s="25" t="str">
        <f aca="true">IF(OR(D1852="",E1852=""),"",IFERROR(D1852*INDEX(UnidadesFactor,MATCH(E1852,Unidades,0)),""))</f>
        <v/>
      </c>
      <c r="H1852" s="17" t="str">
        <f aca="false">IF(I1852&lt;&gt;"OK","",IF(G1852=0,"",F1852/G1852))</f>
        <v/>
      </c>
      <c r="I1852" s="20" t="str">
        <f aca="true">IF(B1852="","",IF(ISNA(MATCH(B1852,ListaInsumos,0)),"Insumo no está en Insumos",IF(OR(D1852="",E1852="",F1852=""),"Faltan datos",IF(INDEX(UnidadesBase,MATCH(E1852,Unidades,0))&lt;&gt;INDEX(InsBase,MATCH(B1852,ListaInsumos,0)),"Unidad incompatible",IF(A1852="","Falta fecha","OK")))))</f>
        <v/>
      </c>
      <c r="J1852" s="15"/>
    </row>
    <row r="1853" customFormat="false" ht="15" hidden="false" customHeight="false" outlineLevel="0" collapsed="false">
      <c r="A1853" s="26"/>
      <c r="B1853" s="15"/>
      <c r="C1853" s="15"/>
      <c r="D1853" s="27"/>
      <c r="E1853" s="15"/>
      <c r="F1853" s="28"/>
      <c r="G1853" s="25" t="str">
        <f aca="true">IF(OR(D1853="",E1853=""),"",IFERROR(D1853*INDEX(UnidadesFactor,MATCH(E1853,Unidades,0)),""))</f>
        <v/>
      </c>
      <c r="H1853" s="17" t="str">
        <f aca="false">IF(I1853&lt;&gt;"OK","",IF(G1853=0,"",F1853/G1853))</f>
        <v/>
      </c>
      <c r="I1853" s="20" t="str">
        <f aca="true">IF(B1853="","",IF(ISNA(MATCH(B1853,ListaInsumos,0)),"Insumo no está en Insumos",IF(OR(D1853="",E1853="",F1853=""),"Faltan datos",IF(INDEX(UnidadesBase,MATCH(E1853,Unidades,0))&lt;&gt;INDEX(InsBase,MATCH(B1853,ListaInsumos,0)),"Unidad incompatible",IF(A1853="","Falta fecha","OK")))))</f>
        <v/>
      </c>
      <c r="J1853" s="15"/>
    </row>
    <row r="1854" customFormat="false" ht="15" hidden="false" customHeight="false" outlineLevel="0" collapsed="false">
      <c r="A1854" s="26"/>
      <c r="B1854" s="15"/>
      <c r="C1854" s="15"/>
      <c r="D1854" s="27"/>
      <c r="E1854" s="15"/>
      <c r="F1854" s="28"/>
      <c r="G1854" s="25" t="str">
        <f aca="true">IF(OR(D1854="",E1854=""),"",IFERROR(D1854*INDEX(UnidadesFactor,MATCH(E1854,Unidades,0)),""))</f>
        <v/>
      </c>
      <c r="H1854" s="17" t="str">
        <f aca="false">IF(I1854&lt;&gt;"OK","",IF(G1854=0,"",F1854/G1854))</f>
        <v/>
      </c>
      <c r="I1854" s="20" t="str">
        <f aca="true">IF(B1854="","",IF(ISNA(MATCH(B1854,ListaInsumos,0)),"Insumo no está en Insumos",IF(OR(D1854="",E1854="",F1854=""),"Faltan datos",IF(INDEX(UnidadesBase,MATCH(E1854,Unidades,0))&lt;&gt;INDEX(InsBase,MATCH(B1854,ListaInsumos,0)),"Unidad incompatible",IF(A1854="","Falta fecha","OK")))))</f>
        <v/>
      </c>
      <c r="J1854" s="15"/>
    </row>
    <row r="1855" customFormat="false" ht="15" hidden="false" customHeight="false" outlineLevel="0" collapsed="false">
      <c r="A1855" s="26"/>
      <c r="B1855" s="15"/>
      <c r="C1855" s="15"/>
      <c r="D1855" s="27"/>
      <c r="E1855" s="15"/>
      <c r="F1855" s="28"/>
      <c r="G1855" s="25" t="str">
        <f aca="true">IF(OR(D1855="",E1855=""),"",IFERROR(D1855*INDEX(UnidadesFactor,MATCH(E1855,Unidades,0)),""))</f>
        <v/>
      </c>
      <c r="H1855" s="17" t="str">
        <f aca="false">IF(I1855&lt;&gt;"OK","",IF(G1855=0,"",F1855/G1855))</f>
        <v/>
      </c>
      <c r="I1855" s="20" t="str">
        <f aca="true">IF(B1855="","",IF(ISNA(MATCH(B1855,ListaInsumos,0)),"Insumo no está en Insumos",IF(OR(D1855="",E1855="",F1855=""),"Faltan datos",IF(INDEX(UnidadesBase,MATCH(E1855,Unidades,0))&lt;&gt;INDEX(InsBase,MATCH(B1855,ListaInsumos,0)),"Unidad incompatible",IF(A1855="","Falta fecha","OK")))))</f>
        <v/>
      </c>
      <c r="J1855" s="15"/>
    </row>
    <row r="1856" customFormat="false" ht="15" hidden="false" customHeight="false" outlineLevel="0" collapsed="false">
      <c r="A1856" s="26"/>
      <c r="B1856" s="15"/>
      <c r="C1856" s="15"/>
      <c r="D1856" s="27"/>
      <c r="E1856" s="15"/>
      <c r="F1856" s="28"/>
      <c r="G1856" s="25" t="str">
        <f aca="true">IF(OR(D1856="",E1856=""),"",IFERROR(D1856*INDEX(UnidadesFactor,MATCH(E1856,Unidades,0)),""))</f>
        <v/>
      </c>
      <c r="H1856" s="17" t="str">
        <f aca="false">IF(I1856&lt;&gt;"OK","",IF(G1856=0,"",F1856/G1856))</f>
        <v/>
      </c>
      <c r="I1856" s="20" t="str">
        <f aca="true">IF(B1856="","",IF(ISNA(MATCH(B1856,ListaInsumos,0)),"Insumo no está en Insumos",IF(OR(D1856="",E1856="",F1856=""),"Faltan datos",IF(INDEX(UnidadesBase,MATCH(E1856,Unidades,0))&lt;&gt;INDEX(InsBase,MATCH(B1856,ListaInsumos,0)),"Unidad incompatible",IF(A1856="","Falta fecha","OK")))))</f>
        <v/>
      </c>
      <c r="J1856" s="15"/>
    </row>
    <row r="1857" customFormat="false" ht="15" hidden="false" customHeight="false" outlineLevel="0" collapsed="false">
      <c r="A1857" s="26"/>
      <c r="B1857" s="15"/>
      <c r="C1857" s="15"/>
      <c r="D1857" s="27"/>
      <c r="E1857" s="15"/>
      <c r="F1857" s="28"/>
      <c r="G1857" s="25" t="str">
        <f aca="true">IF(OR(D1857="",E1857=""),"",IFERROR(D1857*INDEX(UnidadesFactor,MATCH(E1857,Unidades,0)),""))</f>
        <v/>
      </c>
      <c r="H1857" s="17" t="str">
        <f aca="false">IF(I1857&lt;&gt;"OK","",IF(G1857=0,"",F1857/G1857))</f>
        <v/>
      </c>
      <c r="I1857" s="20" t="str">
        <f aca="true">IF(B1857="","",IF(ISNA(MATCH(B1857,ListaInsumos,0)),"Insumo no está en Insumos",IF(OR(D1857="",E1857="",F1857=""),"Faltan datos",IF(INDEX(UnidadesBase,MATCH(E1857,Unidades,0))&lt;&gt;INDEX(InsBase,MATCH(B1857,ListaInsumos,0)),"Unidad incompatible",IF(A1857="","Falta fecha","OK")))))</f>
        <v/>
      </c>
      <c r="J1857" s="15"/>
    </row>
    <row r="1858" customFormat="false" ht="15" hidden="false" customHeight="false" outlineLevel="0" collapsed="false">
      <c r="A1858" s="26"/>
      <c r="B1858" s="15"/>
      <c r="C1858" s="15"/>
      <c r="D1858" s="27"/>
      <c r="E1858" s="15"/>
      <c r="F1858" s="28"/>
      <c r="G1858" s="25" t="str">
        <f aca="true">IF(OR(D1858="",E1858=""),"",IFERROR(D1858*INDEX(UnidadesFactor,MATCH(E1858,Unidades,0)),""))</f>
        <v/>
      </c>
      <c r="H1858" s="17" t="str">
        <f aca="false">IF(I1858&lt;&gt;"OK","",IF(G1858=0,"",F1858/G1858))</f>
        <v/>
      </c>
      <c r="I1858" s="20" t="str">
        <f aca="true">IF(B1858="","",IF(ISNA(MATCH(B1858,ListaInsumos,0)),"Insumo no está en Insumos",IF(OR(D1858="",E1858="",F1858=""),"Faltan datos",IF(INDEX(UnidadesBase,MATCH(E1858,Unidades,0))&lt;&gt;INDEX(InsBase,MATCH(B1858,ListaInsumos,0)),"Unidad incompatible",IF(A1858="","Falta fecha","OK")))))</f>
        <v/>
      </c>
      <c r="J1858" s="15"/>
    </row>
    <row r="1859" customFormat="false" ht="15" hidden="false" customHeight="false" outlineLevel="0" collapsed="false">
      <c r="A1859" s="26"/>
      <c r="B1859" s="15"/>
      <c r="C1859" s="15"/>
      <c r="D1859" s="27"/>
      <c r="E1859" s="15"/>
      <c r="F1859" s="28"/>
      <c r="G1859" s="25" t="str">
        <f aca="true">IF(OR(D1859="",E1859=""),"",IFERROR(D1859*INDEX(UnidadesFactor,MATCH(E1859,Unidades,0)),""))</f>
        <v/>
      </c>
      <c r="H1859" s="17" t="str">
        <f aca="false">IF(I1859&lt;&gt;"OK","",IF(G1859=0,"",F1859/G1859))</f>
        <v/>
      </c>
      <c r="I1859" s="20" t="str">
        <f aca="true">IF(B1859="","",IF(ISNA(MATCH(B1859,ListaInsumos,0)),"Insumo no está en Insumos",IF(OR(D1859="",E1859="",F1859=""),"Faltan datos",IF(INDEX(UnidadesBase,MATCH(E1859,Unidades,0))&lt;&gt;INDEX(InsBase,MATCH(B1859,ListaInsumos,0)),"Unidad incompatible",IF(A1859="","Falta fecha","OK")))))</f>
        <v/>
      </c>
      <c r="J1859" s="15"/>
    </row>
    <row r="1860" customFormat="false" ht="15" hidden="false" customHeight="false" outlineLevel="0" collapsed="false">
      <c r="A1860" s="26"/>
      <c r="B1860" s="15"/>
      <c r="C1860" s="15"/>
      <c r="D1860" s="27"/>
      <c r="E1860" s="15"/>
      <c r="F1860" s="28"/>
      <c r="G1860" s="25" t="str">
        <f aca="true">IF(OR(D1860="",E1860=""),"",IFERROR(D1860*INDEX(UnidadesFactor,MATCH(E1860,Unidades,0)),""))</f>
        <v/>
      </c>
      <c r="H1860" s="17" t="str">
        <f aca="false">IF(I1860&lt;&gt;"OK","",IF(G1860=0,"",F1860/G1860))</f>
        <v/>
      </c>
      <c r="I1860" s="20" t="str">
        <f aca="true">IF(B1860="","",IF(ISNA(MATCH(B1860,ListaInsumos,0)),"Insumo no está en Insumos",IF(OR(D1860="",E1860="",F1860=""),"Faltan datos",IF(INDEX(UnidadesBase,MATCH(E1860,Unidades,0))&lt;&gt;INDEX(InsBase,MATCH(B1860,ListaInsumos,0)),"Unidad incompatible",IF(A1860="","Falta fecha","OK")))))</f>
        <v/>
      </c>
      <c r="J1860" s="15"/>
    </row>
    <row r="1861" customFormat="false" ht="15" hidden="false" customHeight="false" outlineLevel="0" collapsed="false">
      <c r="A1861" s="26"/>
      <c r="B1861" s="15"/>
      <c r="C1861" s="15"/>
      <c r="D1861" s="27"/>
      <c r="E1861" s="15"/>
      <c r="F1861" s="28"/>
      <c r="G1861" s="25" t="str">
        <f aca="true">IF(OR(D1861="",E1861=""),"",IFERROR(D1861*INDEX(UnidadesFactor,MATCH(E1861,Unidades,0)),""))</f>
        <v/>
      </c>
      <c r="H1861" s="17" t="str">
        <f aca="false">IF(I1861&lt;&gt;"OK","",IF(G1861=0,"",F1861/G1861))</f>
        <v/>
      </c>
      <c r="I1861" s="20" t="str">
        <f aca="true">IF(B1861="","",IF(ISNA(MATCH(B1861,ListaInsumos,0)),"Insumo no está en Insumos",IF(OR(D1861="",E1861="",F1861=""),"Faltan datos",IF(INDEX(UnidadesBase,MATCH(E1861,Unidades,0))&lt;&gt;INDEX(InsBase,MATCH(B1861,ListaInsumos,0)),"Unidad incompatible",IF(A1861="","Falta fecha","OK")))))</f>
        <v/>
      </c>
      <c r="J1861" s="15"/>
    </row>
    <row r="1862" customFormat="false" ht="15" hidden="false" customHeight="false" outlineLevel="0" collapsed="false">
      <c r="A1862" s="26"/>
      <c r="B1862" s="15"/>
      <c r="C1862" s="15"/>
      <c r="D1862" s="27"/>
      <c r="E1862" s="15"/>
      <c r="F1862" s="28"/>
      <c r="G1862" s="25" t="str">
        <f aca="true">IF(OR(D1862="",E1862=""),"",IFERROR(D1862*INDEX(UnidadesFactor,MATCH(E1862,Unidades,0)),""))</f>
        <v/>
      </c>
      <c r="H1862" s="17" t="str">
        <f aca="false">IF(I1862&lt;&gt;"OK","",IF(G1862=0,"",F1862/G1862))</f>
        <v/>
      </c>
      <c r="I1862" s="20" t="str">
        <f aca="true">IF(B1862="","",IF(ISNA(MATCH(B1862,ListaInsumos,0)),"Insumo no está en Insumos",IF(OR(D1862="",E1862="",F1862=""),"Faltan datos",IF(INDEX(UnidadesBase,MATCH(E1862,Unidades,0))&lt;&gt;INDEX(InsBase,MATCH(B1862,ListaInsumos,0)),"Unidad incompatible",IF(A1862="","Falta fecha","OK")))))</f>
        <v/>
      </c>
      <c r="J1862" s="15"/>
    </row>
    <row r="1863" customFormat="false" ht="15" hidden="false" customHeight="false" outlineLevel="0" collapsed="false">
      <c r="A1863" s="26"/>
      <c r="B1863" s="15"/>
      <c r="C1863" s="15"/>
      <c r="D1863" s="27"/>
      <c r="E1863" s="15"/>
      <c r="F1863" s="28"/>
      <c r="G1863" s="25" t="str">
        <f aca="true">IF(OR(D1863="",E1863=""),"",IFERROR(D1863*INDEX(UnidadesFactor,MATCH(E1863,Unidades,0)),""))</f>
        <v/>
      </c>
      <c r="H1863" s="17" t="str">
        <f aca="false">IF(I1863&lt;&gt;"OK","",IF(G1863=0,"",F1863/G1863))</f>
        <v/>
      </c>
      <c r="I1863" s="20" t="str">
        <f aca="true">IF(B1863="","",IF(ISNA(MATCH(B1863,ListaInsumos,0)),"Insumo no está en Insumos",IF(OR(D1863="",E1863="",F1863=""),"Faltan datos",IF(INDEX(UnidadesBase,MATCH(E1863,Unidades,0))&lt;&gt;INDEX(InsBase,MATCH(B1863,ListaInsumos,0)),"Unidad incompatible",IF(A1863="","Falta fecha","OK")))))</f>
        <v/>
      </c>
      <c r="J1863" s="15"/>
    </row>
    <row r="1864" customFormat="false" ht="15" hidden="false" customHeight="false" outlineLevel="0" collapsed="false">
      <c r="A1864" s="26"/>
      <c r="B1864" s="15"/>
      <c r="C1864" s="15"/>
      <c r="D1864" s="27"/>
      <c r="E1864" s="15"/>
      <c r="F1864" s="28"/>
      <c r="G1864" s="25" t="str">
        <f aca="true">IF(OR(D1864="",E1864=""),"",IFERROR(D1864*INDEX(UnidadesFactor,MATCH(E1864,Unidades,0)),""))</f>
        <v/>
      </c>
      <c r="H1864" s="17" t="str">
        <f aca="false">IF(I1864&lt;&gt;"OK","",IF(G1864=0,"",F1864/G1864))</f>
        <v/>
      </c>
      <c r="I1864" s="20" t="str">
        <f aca="true">IF(B1864="","",IF(ISNA(MATCH(B1864,ListaInsumos,0)),"Insumo no está en Insumos",IF(OR(D1864="",E1864="",F1864=""),"Faltan datos",IF(INDEX(UnidadesBase,MATCH(E1864,Unidades,0))&lt;&gt;INDEX(InsBase,MATCH(B1864,ListaInsumos,0)),"Unidad incompatible",IF(A1864="","Falta fecha","OK")))))</f>
        <v/>
      </c>
      <c r="J1864" s="15"/>
    </row>
    <row r="1865" customFormat="false" ht="15" hidden="false" customHeight="false" outlineLevel="0" collapsed="false">
      <c r="A1865" s="26"/>
      <c r="B1865" s="15"/>
      <c r="C1865" s="15"/>
      <c r="D1865" s="27"/>
      <c r="E1865" s="15"/>
      <c r="F1865" s="28"/>
      <c r="G1865" s="25" t="str">
        <f aca="true">IF(OR(D1865="",E1865=""),"",IFERROR(D1865*INDEX(UnidadesFactor,MATCH(E1865,Unidades,0)),""))</f>
        <v/>
      </c>
      <c r="H1865" s="17" t="str">
        <f aca="false">IF(I1865&lt;&gt;"OK","",IF(G1865=0,"",F1865/G1865))</f>
        <v/>
      </c>
      <c r="I1865" s="20" t="str">
        <f aca="true">IF(B1865="","",IF(ISNA(MATCH(B1865,ListaInsumos,0)),"Insumo no está en Insumos",IF(OR(D1865="",E1865="",F1865=""),"Faltan datos",IF(INDEX(UnidadesBase,MATCH(E1865,Unidades,0))&lt;&gt;INDEX(InsBase,MATCH(B1865,ListaInsumos,0)),"Unidad incompatible",IF(A1865="","Falta fecha","OK")))))</f>
        <v/>
      </c>
      <c r="J1865" s="15"/>
    </row>
    <row r="1866" customFormat="false" ht="15" hidden="false" customHeight="false" outlineLevel="0" collapsed="false">
      <c r="A1866" s="26"/>
      <c r="B1866" s="15"/>
      <c r="C1866" s="15"/>
      <c r="D1866" s="27"/>
      <c r="E1866" s="15"/>
      <c r="F1866" s="28"/>
      <c r="G1866" s="25" t="str">
        <f aca="true">IF(OR(D1866="",E1866=""),"",IFERROR(D1866*INDEX(UnidadesFactor,MATCH(E1866,Unidades,0)),""))</f>
        <v/>
      </c>
      <c r="H1866" s="17" t="str">
        <f aca="false">IF(I1866&lt;&gt;"OK","",IF(G1866=0,"",F1866/G1866))</f>
        <v/>
      </c>
      <c r="I1866" s="20" t="str">
        <f aca="true">IF(B1866="","",IF(ISNA(MATCH(B1866,ListaInsumos,0)),"Insumo no está en Insumos",IF(OR(D1866="",E1866="",F1866=""),"Faltan datos",IF(INDEX(UnidadesBase,MATCH(E1866,Unidades,0))&lt;&gt;INDEX(InsBase,MATCH(B1866,ListaInsumos,0)),"Unidad incompatible",IF(A1866="","Falta fecha","OK")))))</f>
        <v/>
      </c>
      <c r="J1866" s="15"/>
    </row>
    <row r="1867" customFormat="false" ht="15" hidden="false" customHeight="false" outlineLevel="0" collapsed="false">
      <c r="A1867" s="26"/>
      <c r="B1867" s="15"/>
      <c r="C1867" s="15"/>
      <c r="D1867" s="27"/>
      <c r="E1867" s="15"/>
      <c r="F1867" s="28"/>
      <c r="G1867" s="25" t="str">
        <f aca="true">IF(OR(D1867="",E1867=""),"",IFERROR(D1867*INDEX(UnidadesFactor,MATCH(E1867,Unidades,0)),""))</f>
        <v/>
      </c>
      <c r="H1867" s="17" t="str">
        <f aca="false">IF(I1867&lt;&gt;"OK","",IF(G1867=0,"",F1867/G1867))</f>
        <v/>
      </c>
      <c r="I1867" s="20" t="str">
        <f aca="true">IF(B1867="","",IF(ISNA(MATCH(B1867,ListaInsumos,0)),"Insumo no está en Insumos",IF(OR(D1867="",E1867="",F1867=""),"Faltan datos",IF(INDEX(UnidadesBase,MATCH(E1867,Unidades,0))&lt;&gt;INDEX(InsBase,MATCH(B1867,ListaInsumos,0)),"Unidad incompatible",IF(A1867="","Falta fecha","OK")))))</f>
        <v/>
      </c>
      <c r="J1867" s="15"/>
    </row>
    <row r="1868" customFormat="false" ht="15" hidden="false" customHeight="false" outlineLevel="0" collapsed="false">
      <c r="A1868" s="26"/>
      <c r="B1868" s="15"/>
      <c r="C1868" s="15"/>
      <c r="D1868" s="27"/>
      <c r="E1868" s="15"/>
      <c r="F1868" s="28"/>
      <c r="G1868" s="25" t="str">
        <f aca="true">IF(OR(D1868="",E1868=""),"",IFERROR(D1868*INDEX(UnidadesFactor,MATCH(E1868,Unidades,0)),""))</f>
        <v/>
      </c>
      <c r="H1868" s="17" t="str">
        <f aca="false">IF(I1868&lt;&gt;"OK","",IF(G1868=0,"",F1868/G1868))</f>
        <v/>
      </c>
      <c r="I1868" s="20" t="str">
        <f aca="true">IF(B1868="","",IF(ISNA(MATCH(B1868,ListaInsumos,0)),"Insumo no está en Insumos",IF(OR(D1868="",E1868="",F1868=""),"Faltan datos",IF(INDEX(UnidadesBase,MATCH(E1868,Unidades,0))&lt;&gt;INDEX(InsBase,MATCH(B1868,ListaInsumos,0)),"Unidad incompatible",IF(A1868="","Falta fecha","OK")))))</f>
        <v/>
      </c>
      <c r="J1868" s="15"/>
    </row>
    <row r="1869" customFormat="false" ht="15" hidden="false" customHeight="false" outlineLevel="0" collapsed="false">
      <c r="A1869" s="26"/>
      <c r="B1869" s="15"/>
      <c r="C1869" s="15"/>
      <c r="D1869" s="27"/>
      <c r="E1869" s="15"/>
      <c r="F1869" s="28"/>
      <c r="G1869" s="25" t="str">
        <f aca="true">IF(OR(D1869="",E1869=""),"",IFERROR(D1869*INDEX(UnidadesFactor,MATCH(E1869,Unidades,0)),""))</f>
        <v/>
      </c>
      <c r="H1869" s="17" t="str">
        <f aca="false">IF(I1869&lt;&gt;"OK","",IF(G1869=0,"",F1869/G1869))</f>
        <v/>
      </c>
      <c r="I1869" s="20" t="str">
        <f aca="true">IF(B1869="","",IF(ISNA(MATCH(B1869,ListaInsumos,0)),"Insumo no está en Insumos",IF(OR(D1869="",E1869="",F1869=""),"Faltan datos",IF(INDEX(UnidadesBase,MATCH(E1869,Unidades,0))&lt;&gt;INDEX(InsBase,MATCH(B1869,ListaInsumos,0)),"Unidad incompatible",IF(A1869="","Falta fecha","OK")))))</f>
        <v/>
      </c>
      <c r="J1869" s="15"/>
    </row>
    <row r="1870" customFormat="false" ht="15" hidden="false" customHeight="false" outlineLevel="0" collapsed="false">
      <c r="A1870" s="26"/>
      <c r="B1870" s="15"/>
      <c r="C1870" s="15"/>
      <c r="D1870" s="27"/>
      <c r="E1870" s="15"/>
      <c r="F1870" s="28"/>
      <c r="G1870" s="25" t="str">
        <f aca="true">IF(OR(D1870="",E1870=""),"",IFERROR(D1870*INDEX(UnidadesFactor,MATCH(E1870,Unidades,0)),""))</f>
        <v/>
      </c>
      <c r="H1870" s="17" t="str">
        <f aca="false">IF(I1870&lt;&gt;"OK","",IF(G1870=0,"",F1870/G1870))</f>
        <v/>
      </c>
      <c r="I1870" s="20" t="str">
        <f aca="true">IF(B1870="","",IF(ISNA(MATCH(B1870,ListaInsumos,0)),"Insumo no está en Insumos",IF(OR(D1870="",E1870="",F1870=""),"Faltan datos",IF(INDEX(UnidadesBase,MATCH(E1870,Unidades,0))&lt;&gt;INDEX(InsBase,MATCH(B1870,ListaInsumos,0)),"Unidad incompatible",IF(A1870="","Falta fecha","OK")))))</f>
        <v/>
      </c>
      <c r="J1870" s="15"/>
    </row>
    <row r="1871" customFormat="false" ht="15" hidden="false" customHeight="false" outlineLevel="0" collapsed="false">
      <c r="A1871" s="26"/>
      <c r="B1871" s="15"/>
      <c r="C1871" s="15"/>
      <c r="D1871" s="27"/>
      <c r="E1871" s="15"/>
      <c r="F1871" s="28"/>
      <c r="G1871" s="25" t="str">
        <f aca="true">IF(OR(D1871="",E1871=""),"",IFERROR(D1871*INDEX(UnidadesFactor,MATCH(E1871,Unidades,0)),""))</f>
        <v/>
      </c>
      <c r="H1871" s="17" t="str">
        <f aca="false">IF(I1871&lt;&gt;"OK","",IF(G1871=0,"",F1871/G1871))</f>
        <v/>
      </c>
      <c r="I1871" s="20" t="str">
        <f aca="true">IF(B1871="","",IF(ISNA(MATCH(B1871,ListaInsumos,0)),"Insumo no está en Insumos",IF(OR(D1871="",E1871="",F1871=""),"Faltan datos",IF(INDEX(UnidadesBase,MATCH(E1871,Unidades,0))&lt;&gt;INDEX(InsBase,MATCH(B1871,ListaInsumos,0)),"Unidad incompatible",IF(A1871="","Falta fecha","OK")))))</f>
        <v/>
      </c>
      <c r="J1871" s="15"/>
    </row>
    <row r="1872" customFormat="false" ht="15" hidden="false" customHeight="false" outlineLevel="0" collapsed="false">
      <c r="A1872" s="26"/>
      <c r="B1872" s="15"/>
      <c r="C1872" s="15"/>
      <c r="D1872" s="27"/>
      <c r="E1872" s="15"/>
      <c r="F1872" s="28"/>
      <c r="G1872" s="25" t="str">
        <f aca="true">IF(OR(D1872="",E1872=""),"",IFERROR(D1872*INDEX(UnidadesFactor,MATCH(E1872,Unidades,0)),""))</f>
        <v/>
      </c>
      <c r="H1872" s="17" t="str">
        <f aca="false">IF(I1872&lt;&gt;"OK","",IF(G1872=0,"",F1872/G1872))</f>
        <v/>
      </c>
      <c r="I1872" s="20" t="str">
        <f aca="true">IF(B1872="","",IF(ISNA(MATCH(B1872,ListaInsumos,0)),"Insumo no está en Insumos",IF(OR(D1872="",E1872="",F1872=""),"Faltan datos",IF(INDEX(UnidadesBase,MATCH(E1872,Unidades,0))&lt;&gt;INDEX(InsBase,MATCH(B1872,ListaInsumos,0)),"Unidad incompatible",IF(A1872="","Falta fecha","OK")))))</f>
        <v/>
      </c>
      <c r="J1872" s="15"/>
    </row>
    <row r="1873" customFormat="false" ht="15" hidden="false" customHeight="false" outlineLevel="0" collapsed="false">
      <c r="A1873" s="26"/>
      <c r="B1873" s="15"/>
      <c r="C1873" s="15"/>
      <c r="D1873" s="27"/>
      <c r="E1873" s="15"/>
      <c r="F1873" s="28"/>
      <c r="G1873" s="25" t="str">
        <f aca="true">IF(OR(D1873="",E1873=""),"",IFERROR(D1873*INDEX(UnidadesFactor,MATCH(E1873,Unidades,0)),""))</f>
        <v/>
      </c>
      <c r="H1873" s="17" t="str">
        <f aca="false">IF(I1873&lt;&gt;"OK","",IF(G1873=0,"",F1873/G1873))</f>
        <v/>
      </c>
      <c r="I1873" s="20" t="str">
        <f aca="true">IF(B1873="","",IF(ISNA(MATCH(B1873,ListaInsumos,0)),"Insumo no está en Insumos",IF(OR(D1873="",E1873="",F1873=""),"Faltan datos",IF(INDEX(UnidadesBase,MATCH(E1873,Unidades,0))&lt;&gt;INDEX(InsBase,MATCH(B1873,ListaInsumos,0)),"Unidad incompatible",IF(A1873="","Falta fecha","OK")))))</f>
        <v/>
      </c>
      <c r="J1873" s="15"/>
    </row>
    <row r="1874" customFormat="false" ht="15" hidden="false" customHeight="false" outlineLevel="0" collapsed="false">
      <c r="A1874" s="26"/>
      <c r="B1874" s="15"/>
      <c r="C1874" s="15"/>
      <c r="D1874" s="27"/>
      <c r="E1874" s="15"/>
      <c r="F1874" s="28"/>
      <c r="G1874" s="25" t="str">
        <f aca="true">IF(OR(D1874="",E1874=""),"",IFERROR(D1874*INDEX(UnidadesFactor,MATCH(E1874,Unidades,0)),""))</f>
        <v/>
      </c>
      <c r="H1874" s="17" t="str">
        <f aca="false">IF(I1874&lt;&gt;"OK","",IF(G1874=0,"",F1874/G1874))</f>
        <v/>
      </c>
      <c r="I1874" s="20" t="str">
        <f aca="true">IF(B1874="","",IF(ISNA(MATCH(B1874,ListaInsumos,0)),"Insumo no está en Insumos",IF(OR(D1874="",E1874="",F1874=""),"Faltan datos",IF(INDEX(UnidadesBase,MATCH(E1874,Unidades,0))&lt;&gt;INDEX(InsBase,MATCH(B1874,ListaInsumos,0)),"Unidad incompatible",IF(A1874="","Falta fecha","OK")))))</f>
        <v/>
      </c>
      <c r="J1874" s="15"/>
    </row>
    <row r="1875" customFormat="false" ht="15" hidden="false" customHeight="false" outlineLevel="0" collapsed="false">
      <c r="A1875" s="26"/>
      <c r="B1875" s="15"/>
      <c r="C1875" s="15"/>
      <c r="D1875" s="27"/>
      <c r="E1875" s="15"/>
      <c r="F1875" s="28"/>
      <c r="G1875" s="25" t="str">
        <f aca="true">IF(OR(D1875="",E1875=""),"",IFERROR(D1875*INDEX(UnidadesFactor,MATCH(E1875,Unidades,0)),""))</f>
        <v/>
      </c>
      <c r="H1875" s="17" t="str">
        <f aca="false">IF(I1875&lt;&gt;"OK","",IF(G1875=0,"",F1875/G1875))</f>
        <v/>
      </c>
      <c r="I1875" s="20" t="str">
        <f aca="true">IF(B1875="","",IF(ISNA(MATCH(B1875,ListaInsumos,0)),"Insumo no está en Insumos",IF(OR(D1875="",E1875="",F1875=""),"Faltan datos",IF(INDEX(UnidadesBase,MATCH(E1875,Unidades,0))&lt;&gt;INDEX(InsBase,MATCH(B1875,ListaInsumos,0)),"Unidad incompatible",IF(A1875="","Falta fecha","OK")))))</f>
        <v/>
      </c>
      <c r="J1875" s="15"/>
    </row>
    <row r="1876" customFormat="false" ht="15" hidden="false" customHeight="false" outlineLevel="0" collapsed="false">
      <c r="A1876" s="26"/>
      <c r="B1876" s="15"/>
      <c r="C1876" s="15"/>
      <c r="D1876" s="27"/>
      <c r="E1876" s="15"/>
      <c r="F1876" s="28"/>
      <c r="G1876" s="25" t="str">
        <f aca="true">IF(OR(D1876="",E1876=""),"",IFERROR(D1876*INDEX(UnidadesFactor,MATCH(E1876,Unidades,0)),""))</f>
        <v/>
      </c>
      <c r="H1876" s="17" t="str">
        <f aca="false">IF(I1876&lt;&gt;"OK","",IF(G1876=0,"",F1876/G1876))</f>
        <v/>
      </c>
      <c r="I1876" s="20" t="str">
        <f aca="true">IF(B1876="","",IF(ISNA(MATCH(B1876,ListaInsumos,0)),"Insumo no está en Insumos",IF(OR(D1876="",E1876="",F1876=""),"Faltan datos",IF(INDEX(UnidadesBase,MATCH(E1876,Unidades,0))&lt;&gt;INDEX(InsBase,MATCH(B1876,ListaInsumos,0)),"Unidad incompatible",IF(A1876="","Falta fecha","OK")))))</f>
        <v/>
      </c>
      <c r="J1876" s="15"/>
    </row>
    <row r="1877" customFormat="false" ht="15" hidden="false" customHeight="false" outlineLevel="0" collapsed="false">
      <c r="A1877" s="26"/>
      <c r="B1877" s="15"/>
      <c r="C1877" s="15"/>
      <c r="D1877" s="27"/>
      <c r="E1877" s="15"/>
      <c r="F1877" s="28"/>
      <c r="G1877" s="25" t="str">
        <f aca="true">IF(OR(D1877="",E1877=""),"",IFERROR(D1877*INDEX(UnidadesFactor,MATCH(E1877,Unidades,0)),""))</f>
        <v/>
      </c>
      <c r="H1877" s="17" t="str">
        <f aca="false">IF(I1877&lt;&gt;"OK","",IF(G1877=0,"",F1877/G1877))</f>
        <v/>
      </c>
      <c r="I1877" s="20" t="str">
        <f aca="true">IF(B1877="","",IF(ISNA(MATCH(B1877,ListaInsumos,0)),"Insumo no está en Insumos",IF(OR(D1877="",E1877="",F1877=""),"Faltan datos",IF(INDEX(UnidadesBase,MATCH(E1877,Unidades,0))&lt;&gt;INDEX(InsBase,MATCH(B1877,ListaInsumos,0)),"Unidad incompatible",IF(A1877="","Falta fecha","OK")))))</f>
        <v/>
      </c>
      <c r="J1877" s="15"/>
    </row>
    <row r="1878" customFormat="false" ht="15" hidden="false" customHeight="false" outlineLevel="0" collapsed="false">
      <c r="A1878" s="26"/>
      <c r="B1878" s="15"/>
      <c r="C1878" s="15"/>
      <c r="D1878" s="27"/>
      <c r="E1878" s="15"/>
      <c r="F1878" s="28"/>
      <c r="G1878" s="25" t="str">
        <f aca="true">IF(OR(D1878="",E1878=""),"",IFERROR(D1878*INDEX(UnidadesFactor,MATCH(E1878,Unidades,0)),""))</f>
        <v/>
      </c>
      <c r="H1878" s="17" t="str">
        <f aca="false">IF(I1878&lt;&gt;"OK","",IF(G1878=0,"",F1878/G1878))</f>
        <v/>
      </c>
      <c r="I1878" s="20" t="str">
        <f aca="true">IF(B1878="","",IF(ISNA(MATCH(B1878,ListaInsumos,0)),"Insumo no está en Insumos",IF(OR(D1878="",E1878="",F1878=""),"Faltan datos",IF(INDEX(UnidadesBase,MATCH(E1878,Unidades,0))&lt;&gt;INDEX(InsBase,MATCH(B1878,ListaInsumos,0)),"Unidad incompatible",IF(A1878="","Falta fecha","OK")))))</f>
        <v/>
      </c>
      <c r="J1878" s="15"/>
    </row>
    <row r="1879" customFormat="false" ht="15" hidden="false" customHeight="false" outlineLevel="0" collapsed="false">
      <c r="A1879" s="26"/>
      <c r="B1879" s="15"/>
      <c r="C1879" s="15"/>
      <c r="D1879" s="27"/>
      <c r="E1879" s="15"/>
      <c r="F1879" s="28"/>
      <c r="G1879" s="25" t="str">
        <f aca="true">IF(OR(D1879="",E1879=""),"",IFERROR(D1879*INDEX(UnidadesFactor,MATCH(E1879,Unidades,0)),""))</f>
        <v/>
      </c>
      <c r="H1879" s="17" t="str">
        <f aca="false">IF(I1879&lt;&gt;"OK","",IF(G1879=0,"",F1879/G1879))</f>
        <v/>
      </c>
      <c r="I1879" s="20" t="str">
        <f aca="true">IF(B1879="","",IF(ISNA(MATCH(B1879,ListaInsumos,0)),"Insumo no está en Insumos",IF(OR(D1879="",E1879="",F1879=""),"Faltan datos",IF(INDEX(UnidadesBase,MATCH(E1879,Unidades,0))&lt;&gt;INDEX(InsBase,MATCH(B1879,ListaInsumos,0)),"Unidad incompatible",IF(A1879="","Falta fecha","OK")))))</f>
        <v/>
      </c>
      <c r="J1879" s="15"/>
    </row>
    <row r="1880" customFormat="false" ht="15" hidden="false" customHeight="false" outlineLevel="0" collapsed="false">
      <c r="A1880" s="26"/>
      <c r="B1880" s="15"/>
      <c r="C1880" s="15"/>
      <c r="D1880" s="27"/>
      <c r="E1880" s="15"/>
      <c r="F1880" s="28"/>
      <c r="G1880" s="25" t="str">
        <f aca="true">IF(OR(D1880="",E1880=""),"",IFERROR(D1880*INDEX(UnidadesFactor,MATCH(E1880,Unidades,0)),""))</f>
        <v/>
      </c>
      <c r="H1880" s="17" t="str">
        <f aca="false">IF(I1880&lt;&gt;"OK","",IF(G1880=0,"",F1880/G1880))</f>
        <v/>
      </c>
      <c r="I1880" s="20" t="str">
        <f aca="true">IF(B1880="","",IF(ISNA(MATCH(B1880,ListaInsumos,0)),"Insumo no está en Insumos",IF(OR(D1880="",E1880="",F1880=""),"Faltan datos",IF(INDEX(UnidadesBase,MATCH(E1880,Unidades,0))&lt;&gt;INDEX(InsBase,MATCH(B1880,ListaInsumos,0)),"Unidad incompatible",IF(A1880="","Falta fecha","OK")))))</f>
        <v/>
      </c>
      <c r="J1880" s="15"/>
    </row>
    <row r="1881" customFormat="false" ht="15" hidden="false" customHeight="false" outlineLevel="0" collapsed="false">
      <c r="A1881" s="26"/>
      <c r="B1881" s="15"/>
      <c r="C1881" s="15"/>
      <c r="D1881" s="27"/>
      <c r="E1881" s="15"/>
      <c r="F1881" s="28"/>
      <c r="G1881" s="25" t="str">
        <f aca="true">IF(OR(D1881="",E1881=""),"",IFERROR(D1881*INDEX(UnidadesFactor,MATCH(E1881,Unidades,0)),""))</f>
        <v/>
      </c>
      <c r="H1881" s="17" t="str">
        <f aca="false">IF(I1881&lt;&gt;"OK","",IF(G1881=0,"",F1881/G1881))</f>
        <v/>
      </c>
      <c r="I1881" s="20" t="str">
        <f aca="true">IF(B1881="","",IF(ISNA(MATCH(B1881,ListaInsumos,0)),"Insumo no está en Insumos",IF(OR(D1881="",E1881="",F1881=""),"Faltan datos",IF(INDEX(UnidadesBase,MATCH(E1881,Unidades,0))&lt;&gt;INDEX(InsBase,MATCH(B1881,ListaInsumos,0)),"Unidad incompatible",IF(A1881="","Falta fecha","OK")))))</f>
        <v/>
      </c>
      <c r="J1881" s="15"/>
    </row>
    <row r="1882" customFormat="false" ht="15" hidden="false" customHeight="false" outlineLevel="0" collapsed="false">
      <c r="A1882" s="26"/>
      <c r="B1882" s="15"/>
      <c r="C1882" s="15"/>
      <c r="D1882" s="27"/>
      <c r="E1882" s="15"/>
      <c r="F1882" s="28"/>
      <c r="G1882" s="25" t="str">
        <f aca="true">IF(OR(D1882="",E1882=""),"",IFERROR(D1882*INDEX(UnidadesFactor,MATCH(E1882,Unidades,0)),""))</f>
        <v/>
      </c>
      <c r="H1882" s="17" t="str">
        <f aca="false">IF(I1882&lt;&gt;"OK","",IF(G1882=0,"",F1882/G1882))</f>
        <v/>
      </c>
      <c r="I1882" s="20" t="str">
        <f aca="true">IF(B1882="","",IF(ISNA(MATCH(B1882,ListaInsumos,0)),"Insumo no está en Insumos",IF(OR(D1882="",E1882="",F1882=""),"Faltan datos",IF(INDEX(UnidadesBase,MATCH(E1882,Unidades,0))&lt;&gt;INDEX(InsBase,MATCH(B1882,ListaInsumos,0)),"Unidad incompatible",IF(A1882="","Falta fecha","OK")))))</f>
        <v/>
      </c>
      <c r="J1882" s="15"/>
    </row>
    <row r="1883" customFormat="false" ht="15" hidden="false" customHeight="false" outlineLevel="0" collapsed="false">
      <c r="A1883" s="26"/>
      <c r="B1883" s="15"/>
      <c r="C1883" s="15"/>
      <c r="D1883" s="27"/>
      <c r="E1883" s="15"/>
      <c r="F1883" s="28"/>
      <c r="G1883" s="25" t="str">
        <f aca="true">IF(OR(D1883="",E1883=""),"",IFERROR(D1883*INDEX(UnidadesFactor,MATCH(E1883,Unidades,0)),""))</f>
        <v/>
      </c>
      <c r="H1883" s="17" t="str">
        <f aca="false">IF(I1883&lt;&gt;"OK","",IF(G1883=0,"",F1883/G1883))</f>
        <v/>
      </c>
      <c r="I1883" s="20" t="str">
        <f aca="true">IF(B1883="","",IF(ISNA(MATCH(B1883,ListaInsumos,0)),"Insumo no está en Insumos",IF(OR(D1883="",E1883="",F1883=""),"Faltan datos",IF(INDEX(UnidadesBase,MATCH(E1883,Unidades,0))&lt;&gt;INDEX(InsBase,MATCH(B1883,ListaInsumos,0)),"Unidad incompatible",IF(A1883="","Falta fecha","OK")))))</f>
        <v/>
      </c>
      <c r="J1883" s="15"/>
    </row>
    <row r="1884" customFormat="false" ht="15" hidden="false" customHeight="false" outlineLevel="0" collapsed="false">
      <c r="A1884" s="26"/>
      <c r="B1884" s="15"/>
      <c r="C1884" s="15"/>
      <c r="D1884" s="27"/>
      <c r="E1884" s="15"/>
      <c r="F1884" s="28"/>
      <c r="G1884" s="25" t="str">
        <f aca="true">IF(OR(D1884="",E1884=""),"",IFERROR(D1884*INDEX(UnidadesFactor,MATCH(E1884,Unidades,0)),""))</f>
        <v/>
      </c>
      <c r="H1884" s="17" t="str">
        <f aca="false">IF(I1884&lt;&gt;"OK","",IF(G1884=0,"",F1884/G1884))</f>
        <v/>
      </c>
      <c r="I1884" s="20" t="str">
        <f aca="true">IF(B1884="","",IF(ISNA(MATCH(B1884,ListaInsumos,0)),"Insumo no está en Insumos",IF(OR(D1884="",E1884="",F1884=""),"Faltan datos",IF(INDEX(UnidadesBase,MATCH(E1884,Unidades,0))&lt;&gt;INDEX(InsBase,MATCH(B1884,ListaInsumos,0)),"Unidad incompatible",IF(A1884="","Falta fecha","OK")))))</f>
        <v/>
      </c>
      <c r="J1884" s="15"/>
    </row>
    <row r="1885" customFormat="false" ht="15" hidden="false" customHeight="false" outlineLevel="0" collapsed="false">
      <c r="A1885" s="26"/>
      <c r="B1885" s="15"/>
      <c r="C1885" s="15"/>
      <c r="D1885" s="27"/>
      <c r="E1885" s="15"/>
      <c r="F1885" s="28"/>
      <c r="G1885" s="25" t="str">
        <f aca="true">IF(OR(D1885="",E1885=""),"",IFERROR(D1885*INDEX(UnidadesFactor,MATCH(E1885,Unidades,0)),""))</f>
        <v/>
      </c>
      <c r="H1885" s="17" t="str">
        <f aca="false">IF(I1885&lt;&gt;"OK","",IF(G1885=0,"",F1885/G1885))</f>
        <v/>
      </c>
      <c r="I1885" s="20" t="str">
        <f aca="true">IF(B1885="","",IF(ISNA(MATCH(B1885,ListaInsumos,0)),"Insumo no está en Insumos",IF(OR(D1885="",E1885="",F1885=""),"Faltan datos",IF(INDEX(UnidadesBase,MATCH(E1885,Unidades,0))&lt;&gt;INDEX(InsBase,MATCH(B1885,ListaInsumos,0)),"Unidad incompatible",IF(A1885="","Falta fecha","OK")))))</f>
        <v/>
      </c>
      <c r="J1885" s="15"/>
    </row>
    <row r="1886" customFormat="false" ht="15" hidden="false" customHeight="false" outlineLevel="0" collapsed="false">
      <c r="A1886" s="26"/>
      <c r="B1886" s="15"/>
      <c r="C1886" s="15"/>
      <c r="D1886" s="27"/>
      <c r="E1886" s="15"/>
      <c r="F1886" s="28"/>
      <c r="G1886" s="25" t="str">
        <f aca="true">IF(OR(D1886="",E1886=""),"",IFERROR(D1886*INDEX(UnidadesFactor,MATCH(E1886,Unidades,0)),""))</f>
        <v/>
      </c>
      <c r="H1886" s="17" t="str">
        <f aca="false">IF(I1886&lt;&gt;"OK","",IF(G1886=0,"",F1886/G1886))</f>
        <v/>
      </c>
      <c r="I1886" s="20" t="str">
        <f aca="true">IF(B1886="","",IF(ISNA(MATCH(B1886,ListaInsumos,0)),"Insumo no está en Insumos",IF(OR(D1886="",E1886="",F1886=""),"Faltan datos",IF(INDEX(UnidadesBase,MATCH(E1886,Unidades,0))&lt;&gt;INDEX(InsBase,MATCH(B1886,ListaInsumos,0)),"Unidad incompatible",IF(A1886="","Falta fecha","OK")))))</f>
        <v/>
      </c>
      <c r="J1886" s="15"/>
    </row>
    <row r="1887" customFormat="false" ht="15" hidden="false" customHeight="false" outlineLevel="0" collapsed="false">
      <c r="A1887" s="26"/>
      <c r="B1887" s="15"/>
      <c r="C1887" s="15"/>
      <c r="D1887" s="27"/>
      <c r="E1887" s="15"/>
      <c r="F1887" s="28"/>
      <c r="G1887" s="25" t="str">
        <f aca="true">IF(OR(D1887="",E1887=""),"",IFERROR(D1887*INDEX(UnidadesFactor,MATCH(E1887,Unidades,0)),""))</f>
        <v/>
      </c>
      <c r="H1887" s="17" t="str">
        <f aca="false">IF(I1887&lt;&gt;"OK","",IF(G1887=0,"",F1887/G1887))</f>
        <v/>
      </c>
      <c r="I1887" s="20" t="str">
        <f aca="true">IF(B1887="","",IF(ISNA(MATCH(B1887,ListaInsumos,0)),"Insumo no está en Insumos",IF(OR(D1887="",E1887="",F1887=""),"Faltan datos",IF(INDEX(UnidadesBase,MATCH(E1887,Unidades,0))&lt;&gt;INDEX(InsBase,MATCH(B1887,ListaInsumos,0)),"Unidad incompatible",IF(A1887="","Falta fecha","OK")))))</f>
        <v/>
      </c>
      <c r="J1887" s="15"/>
    </row>
    <row r="1888" customFormat="false" ht="15" hidden="false" customHeight="false" outlineLevel="0" collapsed="false">
      <c r="A1888" s="26"/>
      <c r="B1888" s="15"/>
      <c r="C1888" s="15"/>
      <c r="D1888" s="27"/>
      <c r="E1888" s="15"/>
      <c r="F1888" s="28"/>
      <c r="G1888" s="25" t="str">
        <f aca="true">IF(OR(D1888="",E1888=""),"",IFERROR(D1888*INDEX(UnidadesFactor,MATCH(E1888,Unidades,0)),""))</f>
        <v/>
      </c>
      <c r="H1888" s="17" t="str">
        <f aca="false">IF(I1888&lt;&gt;"OK","",IF(G1888=0,"",F1888/G1888))</f>
        <v/>
      </c>
      <c r="I1888" s="20" t="str">
        <f aca="true">IF(B1888="","",IF(ISNA(MATCH(B1888,ListaInsumos,0)),"Insumo no está en Insumos",IF(OR(D1888="",E1888="",F1888=""),"Faltan datos",IF(INDEX(UnidadesBase,MATCH(E1888,Unidades,0))&lt;&gt;INDEX(InsBase,MATCH(B1888,ListaInsumos,0)),"Unidad incompatible",IF(A1888="","Falta fecha","OK")))))</f>
        <v/>
      </c>
      <c r="J1888" s="15"/>
    </row>
    <row r="1889" customFormat="false" ht="15" hidden="false" customHeight="false" outlineLevel="0" collapsed="false">
      <c r="A1889" s="26"/>
      <c r="B1889" s="15"/>
      <c r="C1889" s="15"/>
      <c r="D1889" s="27"/>
      <c r="E1889" s="15"/>
      <c r="F1889" s="28"/>
      <c r="G1889" s="25" t="str">
        <f aca="true">IF(OR(D1889="",E1889=""),"",IFERROR(D1889*INDEX(UnidadesFactor,MATCH(E1889,Unidades,0)),""))</f>
        <v/>
      </c>
      <c r="H1889" s="17" t="str">
        <f aca="false">IF(I1889&lt;&gt;"OK","",IF(G1889=0,"",F1889/G1889))</f>
        <v/>
      </c>
      <c r="I1889" s="20" t="str">
        <f aca="true">IF(B1889="","",IF(ISNA(MATCH(B1889,ListaInsumos,0)),"Insumo no está en Insumos",IF(OR(D1889="",E1889="",F1889=""),"Faltan datos",IF(INDEX(UnidadesBase,MATCH(E1889,Unidades,0))&lt;&gt;INDEX(InsBase,MATCH(B1889,ListaInsumos,0)),"Unidad incompatible",IF(A1889="","Falta fecha","OK")))))</f>
        <v/>
      </c>
      <c r="J1889" s="15"/>
    </row>
    <row r="1890" customFormat="false" ht="15" hidden="false" customHeight="false" outlineLevel="0" collapsed="false">
      <c r="A1890" s="26"/>
      <c r="B1890" s="15"/>
      <c r="C1890" s="15"/>
      <c r="D1890" s="27"/>
      <c r="E1890" s="15"/>
      <c r="F1890" s="28"/>
      <c r="G1890" s="25" t="str">
        <f aca="true">IF(OR(D1890="",E1890=""),"",IFERROR(D1890*INDEX(UnidadesFactor,MATCH(E1890,Unidades,0)),""))</f>
        <v/>
      </c>
      <c r="H1890" s="17" t="str">
        <f aca="false">IF(I1890&lt;&gt;"OK","",IF(G1890=0,"",F1890/G1890))</f>
        <v/>
      </c>
      <c r="I1890" s="20" t="str">
        <f aca="true">IF(B1890="","",IF(ISNA(MATCH(B1890,ListaInsumos,0)),"Insumo no está en Insumos",IF(OR(D1890="",E1890="",F1890=""),"Faltan datos",IF(INDEX(UnidadesBase,MATCH(E1890,Unidades,0))&lt;&gt;INDEX(InsBase,MATCH(B1890,ListaInsumos,0)),"Unidad incompatible",IF(A1890="","Falta fecha","OK")))))</f>
        <v/>
      </c>
      <c r="J1890" s="15"/>
    </row>
    <row r="1891" customFormat="false" ht="15" hidden="false" customHeight="false" outlineLevel="0" collapsed="false">
      <c r="A1891" s="26"/>
      <c r="B1891" s="15"/>
      <c r="C1891" s="15"/>
      <c r="D1891" s="27"/>
      <c r="E1891" s="15"/>
      <c r="F1891" s="28"/>
      <c r="G1891" s="25" t="str">
        <f aca="true">IF(OR(D1891="",E1891=""),"",IFERROR(D1891*INDEX(UnidadesFactor,MATCH(E1891,Unidades,0)),""))</f>
        <v/>
      </c>
      <c r="H1891" s="17" t="str">
        <f aca="false">IF(I1891&lt;&gt;"OK","",IF(G1891=0,"",F1891/G1891))</f>
        <v/>
      </c>
      <c r="I1891" s="20" t="str">
        <f aca="true">IF(B1891="","",IF(ISNA(MATCH(B1891,ListaInsumos,0)),"Insumo no está en Insumos",IF(OR(D1891="",E1891="",F1891=""),"Faltan datos",IF(INDEX(UnidadesBase,MATCH(E1891,Unidades,0))&lt;&gt;INDEX(InsBase,MATCH(B1891,ListaInsumos,0)),"Unidad incompatible",IF(A1891="","Falta fecha","OK")))))</f>
        <v/>
      </c>
      <c r="J1891" s="15"/>
    </row>
    <row r="1892" customFormat="false" ht="15" hidden="false" customHeight="false" outlineLevel="0" collapsed="false">
      <c r="A1892" s="26"/>
      <c r="B1892" s="15"/>
      <c r="C1892" s="15"/>
      <c r="D1892" s="27"/>
      <c r="E1892" s="15"/>
      <c r="F1892" s="28"/>
      <c r="G1892" s="25" t="str">
        <f aca="true">IF(OR(D1892="",E1892=""),"",IFERROR(D1892*INDEX(UnidadesFactor,MATCH(E1892,Unidades,0)),""))</f>
        <v/>
      </c>
      <c r="H1892" s="17" t="str">
        <f aca="false">IF(I1892&lt;&gt;"OK","",IF(G1892=0,"",F1892/G1892))</f>
        <v/>
      </c>
      <c r="I1892" s="20" t="str">
        <f aca="true">IF(B1892="","",IF(ISNA(MATCH(B1892,ListaInsumos,0)),"Insumo no está en Insumos",IF(OR(D1892="",E1892="",F1892=""),"Faltan datos",IF(INDEX(UnidadesBase,MATCH(E1892,Unidades,0))&lt;&gt;INDEX(InsBase,MATCH(B1892,ListaInsumos,0)),"Unidad incompatible",IF(A1892="","Falta fecha","OK")))))</f>
        <v/>
      </c>
      <c r="J1892" s="15"/>
    </row>
    <row r="1893" customFormat="false" ht="15" hidden="false" customHeight="false" outlineLevel="0" collapsed="false">
      <c r="A1893" s="26"/>
      <c r="B1893" s="15"/>
      <c r="C1893" s="15"/>
      <c r="D1893" s="27"/>
      <c r="E1893" s="15"/>
      <c r="F1893" s="28"/>
      <c r="G1893" s="25" t="str">
        <f aca="true">IF(OR(D1893="",E1893=""),"",IFERROR(D1893*INDEX(UnidadesFactor,MATCH(E1893,Unidades,0)),""))</f>
        <v/>
      </c>
      <c r="H1893" s="17" t="str">
        <f aca="false">IF(I1893&lt;&gt;"OK","",IF(G1893=0,"",F1893/G1893))</f>
        <v/>
      </c>
      <c r="I1893" s="20" t="str">
        <f aca="true">IF(B1893="","",IF(ISNA(MATCH(B1893,ListaInsumos,0)),"Insumo no está en Insumos",IF(OR(D1893="",E1893="",F1893=""),"Faltan datos",IF(INDEX(UnidadesBase,MATCH(E1893,Unidades,0))&lt;&gt;INDEX(InsBase,MATCH(B1893,ListaInsumos,0)),"Unidad incompatible",IF(A1893="","Falta fecha","OK")))))</f>
        <v/>
      </c>
      <c r="J1893" s="15"/>
    </row>
    <row r="1894" customFormat="false" ht="15" hidden="false" customHeight="false" outlineLevel="0" collapsed="false">
      <c r="A1894" s="26"/>
      <c r="B1894" s="15"/>
      <c r="C1894" s="15"/>
      <c r="D1894" s="27"/>
      <c r="E1894" s="15"/>
      <c r="F1894" s="28"/>
      <c r="G1894" s="25" t="str">
        <f aca="true">IF(OR(D1894="",E1894=""),"",IFERROR(D1894*INDEX(UnidadesFactor,MATCH(E1894,Unidades,0)),""))</f>
        <v/>
      </c>
      <c r="H1894" s="17" t="str">
        <f aca="false">IF(I1894&lt;&gt;"OK","",IF(G1894=0,"",F1894/G1894))</f>
        <v/>
      </c>
      <c r="I1894" s="20" t="str">
        <f aca="true">IF(B1894="","",IF(ISNA(MATCH(B1894,ListaInsumos,0)),"Insumo no está en Insumos",IF(OR(D1894="",E1894="",F1894=""),"Faltan datos",IF(INDEX(UnidadesBase,MATCH(E1894,Unidades,0))&lt;&gt;INDEX(InsBase,MATCH(B1894,ListaInsumos,0)),"Unidad incompatible",IF(A1894="","Falta fecha","OK")))))</f>
        <v/>
      </c>
      <c r="J1894" s="15"/>
    </row>
    <row r="1895" customFormat="false" ht="15" hidden="false" customHeight="false" outlineLevel="0" collapsed="false">
      <c r="A1895" s="26"/>
      <c r="B1895" s="15"/>
      <c r="C1895" s="15"/>
      <c r="D1895" s="27"/>
      <c r="E1895" s="15"/>
      <c r="F1895" s="28"/>
      <c r="G1895" s="25" t="str">
        <f aca="true">IF(OR(D1895="",E1895=""),"",IFERROR(D1895*INDEX(UnidadesFactor,MATCH(E1895,Unidades,0)),""))</f>
        <v/>
      </c>
      <c r="H1895" s="17" t="str">
        <f aca="false">IF(I1895&lt;&gt;"OK","",IF(G1895=0,"",F1895/G1895))</f>
        <v/>
      </c>
      <c r="I1895" s="20" t="str">
        <f aca="true">IF(B1895="","",IF(ISNA(MATCH(B1895,ListaInsumos,0)),"Insumo no está en Insumos",IF(OR(D1895="",E1895="",F1895=""),"Faltan datos",IF(INDEX(UnidadesBase,MATCH(E1895,Unidades,0))&lt;&gt;INDEX(InsBase,MATCH(B1895,ListaInsumos,0)),"Unidad incompatible",IF(A1895="","Falta fecha","OK")))))</f>
        <v/>
      </c>
      <c r="J1895" s="15"/>
    </row>
    <row r="1896" customFormat="false" ht="15" hidden="false" customHeight="false" outlineLevel="0" collapsed="false">
      <c r="A1896" s="26"/>
      <c r="B1896" s="15"/>
      <c r="C1896" s="15"/>
      <c r="D1896" s="27"/>
      <c r="E1896" s="15"/>
      <c r="F1896" s="28"/>
      <c r="G1896" s="25" t="str">
        <f aca="true">IF(OR(D1896="",E1896=""),"",IFERROR(D1896*INDEX(UnidadesFactor,MATCH(E1896,Unidades,0)),""))</f>
        <v/>
      </c>
      <c r="H1896" s="17" t="str">
        <f aca="false">IF(I1896&lt;&gt;"OK","",IF(G1896=0,"",F1896/G1896))</f>
        <v/>
      </c>
      <c r="I1896" s="20" t="str">
        <f aca="true">IF(B1896="","",IF(ISNA(MATCH(B1896,ListaInsumos,0)),"Insumo no está en Insumos",IF(OR(D1896="",E1896="",F1896=""),"Faltan datos",IF(INDEX(UnidadesBase,MATCH(E1896,Unidades,0))&lt;&gt;INDEX(InsBase,MATCH(B1896,ListaInsumos,0)),"Unidad incompatible",IF(A1896="","Falta fecha","OK")))))</f>
        <v/>
      </c>
      <c r="J1896" s="15"/>
    </row>
    <row r="1897" customFormat="false" ht="15" hidden="false" customHeight="false" outlineLevel="0" collapsed="false">
      <c r="A1897" s="26"/>
      <c r="B1897" s="15"/>
      <c r="C1897" s="15"/>
      <c r="D1897" s="27"/>
      <c r="E1897" s="15"/>
      <c r="F1897" s="28"/>
      <c r="G1897" s="25" t="str">
        <f aca="true">IF(OR(D1897="",E1897=""),"",IFERROR(D1897*INDEX(UnidadesFactor,MATCH(E1897,Unidades,0)),""))</f>
        <v/>
      </c>
      <c r="H1897" s="17" t="str">
        <f aca="false">IF(I1897&lt;&gt;"OK","",IF(G1897=0,"",F1897/G1897))</f>
        <v/>
      </c>
      <c r="I1897" s="20" t="str">
        <f aca="true">IF(B1897="","",IF(ISNA(MATCH(B1897,ListaInsumos,0)),"Insumo no está en Insumos",IF(OR(D1897="",E1897="",F1897=""),"Faltan datos",IF(INDEX(UnidadesBase,MATCH(E1897,Unidades,0))&lt;&gt;INDEX(InsBase,MATCH(B1897,ListaInsumos,0)),"Unidad incompatible",IF(A1897="","Falta fecha","OK")))))</f>
        <v/>
      </c>
      <c r="J1897" s="15"/>
    </row>
    <row r="1898" customFormat="false" ht="15" hidden="false" customHeight="false" outlineLevel="0" collapsed="false">
      <c r="A1898" s="26"/>
      <c r="B1898" s="15"/>
      <c r="C1898" s="15"/>
      <c r="D1898" s="27"/>
      <c r="E1898" s="15"/>
      <c r="F1898" s="28"/>
      <c r="G1898" s="25" t="str">
        <f aca="true">IF(OR(D1898="",E1898=""),"",IFERROR(D1898*INDEX(UnidadesFactor,MATCH(E1898,Unidades,0)),""))</f>
        <v/>
      </c>
      <c r="H1898" s="17" t="str">
        <f aca="false">IF(I1898&lt;&gt;"OK","",IF(G1898=0,"",F1898/G1898))</f>
        <v/>
      </c>
      <c r="I1898" s="20" t="str">
        <f aca="true">IF(B1898="","",IF(ISNA(MATCH(B1898,ListaInsumos,0)),"Insumo no está en Insumos",IF(OR(D1898="",E1898="",F1898=""),"Faltan datos",IF(INDEX(UnidadesBase,MATCH(E1898,Unidades,0))&lt;&gt;INDEX(InsBase,MATCH(B1898,ListaInsumos,0)),"Unidad incompatible",IF(A1898="","Falta fecha","OK")))))</f>
        <v/>
      </c>
      <c r="J1898" s="15"/>
    </row>
    <row r="1899" customFormat="false" ht="15" hidden="false" customHeight="false" outlineLevel="0" collapsed="false">
      <c r="A1899" s="26"/>
      <c r="B1899" s="15"/>
      <c r="C1899" s="15"/>
      <c r="D1899" s="27"/>
      <c r="E1899" s="15"/>
      <c r="F1899" s="28"/>
      <c r="G1899" s="25" t="str">
        <f aca="true">IF(OR(D1899="",E1899=""),"",IFERROR(D1899*INDEX(UnidadesFactor,MATCH(E1899,Unidades,0)),""))</f>
        <v/>
      </c>
      <c r="H1899" s="17" t="str">
        <f aca="false">IF(I1899&lt;&gt;"OK","",IF(G1899=0,"",F1899/G1899))</f>
        <v/>
      </c>
      <c r="I1899" s="20" t="str">
        <f aca="true">IF(B1899="","",IF(ISNA(MATCH(B1899,ListaInsumos,0)),"Insumo no está en Insumos",IF(OR(D1899="",E1899="",F1899=""),"Faltan datos",IF(INDEX(UnidadesBase,MATCH(E1899,Unidades,0))&lt;&gt;INDEX(InsBase,MATCH(B1899,ListaInsumos,0)),"Unidad incompatible",IF(A1899="","Falta fecha","OK")))))</f>
        <v/>
      </c>
      <c r="J1899" s="15"/>
    </row>
    <row r="1900" customFormat="false" ht="15" hidden="false" customHeight="false" outlineLevel="0" collapsed="false">
      <c r="A1900" s="26"/>
      <c r="B1900" s="15"/>
      <c r="C1900" s="15"/>
      <c r="D1900" s="27"/>
      <c r="E1900" s="15"/>
      <c r="F1900" s="28"/>
      <c r="G1900" s="25" t="str">
        <f aca="true">IF(OR(D1900="",E1900=""),"",IFERROR(D1900*INDEX(UnidadesFactor,MATCH(E1900,Unidades,0)),""))</f>
        <v/>
      </c>
      <c r="H1900" s="17" t="str">
        <f aca="false">IF(I1900&lt;&gt;"OK","",IF(G1900=0,"",F1900/G1900))</f>
        <v/>
      </c>
      <c r="I1900" s="20" t="str">
        <f aca="true">IF(B1900="","",IF(ISNA(MATCH(B1900,ListaInsumos,0)),"Insumo no está en Insumos",IF(OR(D1900="",E1900="",F1900=""),"Faltan datos",IF(INDEX(UnidadesBase,MATCH(E1900,Unidades,0))&lt;&gt;INDEX(InsBase,MATCH(B1900,ListaInsumos,0)),"Unidad incompatible",IF(A1900="","Falta fecha","OK")))))</f>
        <v/>
      </c>
      <c r="J1900" s="15"/>
    </row>
    <row r="1901" customFormat="false" ht="15" hidden="false" customHeight="false" outlineLevel="0" collapsed="false">
      <c r="A1901" s="26"/>
      <c r="B1901" s="15"/>
      <c r="C1901" s="15"/>
      <c r="D1901" s="27"/>
      <c r="E1901" s="15"/>
      <c r="F1901" s="28"/>
      <c r="G1901" s="25" t="str">
        <f aca="true">IF(OR(D1901="",E1901=""),"",IFERROR(D1901*INDEX(UnidadesFactor,MATCH(E1901,Unidades,0)),""))</f>
        <v/>
      </c>
      <c r="H1901" s="17" t="str">
        <f aca="false">IF(I1901&lt;&gt;"OK","",IF(G1901=0,"",F1901/G1901))</f>
        <v/>
      </c>
      <c r="I1901" s="20" t="str">
        <f aca="true">IF(B1901="","",IF(ISNA(MATCH(B1901,ListaInsumos,0)),"Insumo no está en Insumos",IF(OR(D1901="",E1901="",F1901=""),"Faltan datos",IF(INDEX(UnidadesBase,MATCH(E1901,Unidades,0))&lt;&gt;INDEX(InsBase,MATCH(B1901,ListaInsumos,0)),"Unidad incompatible",IF(A1901="","Falta fecha","OK")))))</f>
        <v/>
      </c>
      <c r="J1901" s="15"/>
    </row>
    <row r="1902" customFormat="false" ht="15" hidden="false" customHeight="false" outlineLevel="0" collapsed="false">
      <c r="A1902" s="26"/>
      <c r="B1902" s="15"/>
      <c r="C1902" s="15"/>
      <c r="D1902" s="27"/>
      <c r="E1902" s="15"/>
      <c r="F1902" s="28"/>
      <c r="G1902" s="25" t="str">
        <f aca="true">IF(OR(D1902="",E1902=""),"",IFERROR(D1902*INDEX(UnidadesFactor,MATCH(E1902,Unidades,0)),""))</f>
        <v/>
      </c>
      <c r="H1902" s="17" t="str">
        <f aca="false">IF(I1902&lt;&gt;"OK","",IF(G1902=0,"",F1902/G1902))</f>
        <v/>
      </c>
      <c r="I1902" s="20" t="str">
        <f aca="true">IF(B1902="","",IF(ISNA(MATCH(B1902,ListaInsumos,0)),"Insumo no está en Insumos",IF(OR(D1902="",E1902="",F1902=""),"Faltan datos",IF(INDEX(UnidadesBase,MATCH(E1902,Unidades,0))&lt;&gt;INDEX(InsBase,MATCH(B1902,ListaInsumos,0)),"Unidad incompatible",IF(A1902="","Falta fecha","OK")))))</f>
        <v/>
      </c>
      <c r="J1902" s="15"/>
    </row>
    <row r="1903" customFormat="false" ht="15" hidden="false" customHeight="false" outlineLevel="0" collapsed="false">
      <c r="A1903" s="26"/>
      <c r="B1903" s="15"/>
      <c r="C1903" s="15"/>
      <c r="D1903" s="27"/>
      <c r="E1903" s="15"/>
      <c r="F1903" s="28"/>
      <c r="G1903" s="25" t="str">
        <f aca="true">IF(OR(D1903="",E1903=""),"",IFERROR(D1903*INDEX(UnidadesFactor,MATCH(E1903,Unidades,0)),""))</f>
        <v/>
      </c>
      <c r="H1903" s="17" t="str">
        <f aca="false">IF(I1903&lt;&gt;"OK","",IF(G1903=0,"",F1903/G1903))</f>
        <v/>
      </c>
      <c r="I1903" s="20" t="str">
        <f aca="true">IF(B1903="","",IF(ISNA(MATCH(B1903,ListaInsumos,0)),"Insumo no está en Insumos",IF(OR(D1903="",E1903="",F1903=""),"Faltan datos",IF(INDEX(UnidadesBase,MATCH(E1903,Unidades,0))&lt;&gt;INDEX(InsBase,MATCH(B1903,ListaInsumos,0)),"Unidad incompatible",IF(A1903="","Falta fecha","OK")))))</f>
        <v/>
      </c>
      <c r="J1903" s="15"/>
    </row>
    <row r="1904" customFormat="false" ht="15" hidden="false" customHeight="false" outlineLevel="0" collapsed="false">
      <c r="A1904" s="26"/>
      <c r="B1904" s="15"/>
      <c r="C1904" s="15"/>
      <c r="D1904" s="27"/>
      <c r="E1904" s="15"/>
      <c r="F1904" s="28"/>
      <c r="G1904" s="25" t="str">
        <f aca="true">IF(OR(D1904="",E1904=""),"",IFERROR(D1904*INDEX(UnidadesFactor,MATCH(E1904,Unidades,0)),""))</f>
        <v/>
      </c>
      <c r="H1904" s="17" t="str">
        <f aca="false">IF(I1904&lt;&gt;"OK","",IF(G1904=0,"",F1904/G1904))</f>
        <v/>
      </c>
      <c r="I1904" s="20" t="str">
        <f aca="true">IF(B1904="","",IF(ISNA(MATCH(B1904,ListaInsumos,0)),"Insumo no está en Insumos",IF(OR(D1904="",E1904="",F1904=""),"Faltan datos",IF(INDEX(UnidadesBase,MATCH(E1904,Unidades,0))&lt;&gt;INDEX(InsBase,MATCH(B1904,ListaInsumos,0)),"Unidad incompatible",IF(A1904="","Falta fecha","OK")))))</f>
        <v/>
      </c>
      <c r="J1904" s="15"/>
    </row>
    <row r="1905" customFormat="false" ht="15" hidden="false" customHeight="false" outlineLevel="0" collapsed="false">
      <c r="A1905" s="26"/>
      <c r="B1905" s="15"/>
      <c r="C1905" s="15"/>
      <c r="D1905" s="27"/>
      <c r="E1905" s="15"/>
      <c r="F1905" s="28"/>
      <c r="G1905" s="25" t="str">
        <f aca="true">IF(OR(D1905="",E1905=""),"",IFERROR(D1905*INDEX(UnidadesFactor,MATCH(E1905,Unidades,0)),""))</f>
        <v/>
      </c>
      <c r="H1905" s="17" t="str">
        <f aca="false">IF(I1905&lt;&gt;"OK","",IF(G1905=0,"",F1905/G1905))</f>
        <v/>
      </c>
      <c r="I1905" s="20" t="str">
        <f aca="true">IF(B1905="","",IF(ISNA(MATCH(B1905,ListaInsumos,0)),"Insumo no está en Insumos",IF(OR(D1905="",E1905="",F1905=""),"Faltan datos",IF(INDEX(UnidadesBase,MATCH(E1905,Unidades,0))&lt;&gt;INDEX(InsBase,MATCH(B1905,ListaInsumos,0)),"Unidad incompatible",IF(A1905="","Falta fecha","OK")))))</f>
        <v/>
      </c>
      <c r="J1905" s="15"/>
    </row>
    <row r="1906" customFormat="false" ht="15" hidden="false" customHeight="false" outlineLevel="0" collapsed="false">
      <c r="A1906" s="26"/>
      <c r="B1906" s="15"/>
      <c r="C1906" s="15"/>
      <c r="D1906" s="27"/>
      <c r="E1906" s="15"/>
      <c r="F1906" s="28"/>
      <c r="G1906" s="25" t="str">
        <f aca="true">IF(OR(D1906="",E1906=""),"",IFERROR(D1906*INDEX(UnidadesFactor,MATCH(E1906,Unidades,0)),""))</f>
        <v/>
      </c>
      <c r="H1906" s="17" t="str">
        <f aca="false">IF(I1906&lt;&gt;"OK","",IF(G1906=0,"",F1906/G1906))</f>
        <v/>
      </c>
      <c r="I1906" s="20" t="str">
        <f aca="true">IF(B1906="","",IF(ISNA(MATCH(B1906,ListaInsumos,0)),"Insumo no está en Insumos",IF(OR(D1906="",E1906="",F1906=""),"Faltan datos",IF(INDEX(UnidadesBase,MATCH(E1906,Unidades,0))&lt;&gt;INDEX(InsBase,MATCH(B1906,ListaInsumos,0)),"Unidad incompatible",IF(A1906="","Falta fecha","OK")))))</f>
        <v/>
      </c>
      <c r="J1906" s="15"/>
    </row>
    <row r="1907" customFormat="false" ht="15" hidden="false" customHeight="false" outlineLevel="0" collapsed="false">
      <c r="A1907" s="26"/>
      <c r="B1907" s="15"/>
      <c r="C1907" s="15"/>
      <c r="D1907" s="27"/>
      <c r="E1907" s="15"/>
      <c r="F1907" s="28"/>
      <c r="G1907" s="25" t="str">
        <f aca="true">IF(OR(D1907="",E1907=""),"",IFERROR(D1907*INDEX(UnidadesFactor,MATCH(E1907,Unidades,0)),""))</f>
        <v/>
      </c>
      <c r="H1907" s="17" t="str">
        <f aca="false">IF(I1907&lt;&gt;"OK","",IF(G1907=0,"",F1907/G1907))</f>
        <v/>
      </c>
      <c r="I1907" s="20" t="str">
        <f aca="true">IF(B1907="","",IF(ISNA(MATCH(B1907,ListaInsumos,0)),"Insumo no está en Insumos",IF(OR(D1907="",E1907="",F1907=""),"Faltan datos",IF(INDEX(UnidadesBase,MATCH(E1907,Unidades,0))&lt;&gt;INDEX(InsBase,MATCH(B1907,ListaInsumos,0)),"Unidad incompatible",IF(A1907="","Falta fecha","OK")))))</f>
        <v/>
      </c>
      <c r="J1907" s="15"/>
    </row>
    <row r="1908" customFormat="false" ht="15" hidden="false" customHeight="false" outlineLevel="0" collapsed="false">
      <c r="A1908" s="26"/>
      <c r="B1908" s="15"/>
      <c r="C1908" s="15"/>
      <c r="D1908" s="27"/>
      <c r="E1908" s="15"/>
      <c r="F1908" s="28"/>
      <c r="G1908" s="25" t="str">
        <f aca="true">IF(OR(D1908="",E1908=""),"",IFERROR(D1908*INDEX(UnidadesFactor,MATCH(E1908,Unidades,0)),""))</f>
        <v/>
      </c>
      <c r="H1908" s="17" t="str">
        <f aca="false">IF(I1908&lt;&gt;"OK","",IF(G1908=0,"",F1908/G1908))</f>
        <v/>
      </c>
      <c r="I1908" s="20" t="str">
        <f aca="true">IF(B1908="","",IF(ISNA(MATCH(B1908,ListaInsumos,0)),"Insumo no está en Insumos",IF(OR(D1908="",E1908="",F1908=""),"Faltan datos",IF(INDEX(UnidadesBase,MATCH(E1908,Unidades,0))&lt;&gt;INDEX(InsBase,MATCH(B1908,ListaInsumos,0)),"Unidad incompatible",IF(A1908="","Falta fecha","OK")))))</f>
        <v/>
      </c>
      <c r="J1908" s="15"/>
    </row>
    <row r="1909" customFormat="false" ht="15" hidden="false" customHeight="false" outlineLevel="0" collapsed="false">
      <c r="A1909" s="26"/>
      <c r="B1909" s="15"/>
      <c r="C1909" s="15"/>
      <c r="D1909" s="27"/>
      <c r="E1909" s="15"/>
      <c r="F1909" s="28"/>
      <c r="G1909" s="25" t="str">
        <f aca="true">IF(OR(D1909="",E1909=""),"",IFERROR(D1909*INDEX(UnidadesFactor,MATCH(E1909,Unidades,0)),""))</f>
        <v/>
      </c>
      <c r="H1909" s="17" t="str">
        <f aca="false">IF(I1909&lt;&gt;"OK","",IF(G1909=0,"",F1909/G1909))</f>
        <v/>
      </c>
      <c r="I1909" s="20" t="str">
        <f aca="true">IF(B1909="","",IF(ISNA(MATCH(B1909,ListaInsumos,0)),"Insumo no está en Insumos",IF(OR(D1909="",E1909="",F1909=""),"Faltan datos",IF(INDEX(UnidadesBase,MATCH(E1909,Unidades,0))&lt;&gt;INDEX(InsBase,MATCH(B1909,ListaInsumos,0)),"Unidad incompatible",IF(A1909="","Falta fecha","OK")))))</f>
        <v/>
      </c>
      <c r="J1909" s="15"/>
    </row>
    <row r="1910" customFormat="false" ht="15" hidden="false" customHeight="false" outlineLevel="0" collapsed="false">
      <c r="A1910" s="26"/>
      <c r="B1910" s="15"/>
      <c r="C1910" s="15"/>
      <c r="D1910" s="27"/>
      <c r="E1910" s="15"/>
      <c r="F1910" s="28"/>
      <c r="G1910" s="25" t="str">
        <f aca="true">IF(OR(D1910="",E1910=""),"",IFERROR(D1910*INDEX(UnidadesFactor,MATCH(E1910,Unidades,0)),""))</f>
        <v/>
      </c>
      <c r="H1910" s="17" t="str">
        <f aca="false">IF(I1910&lt;&gt;"OK","",IF(G1910=0,"",F1910/G1910))</f>
        <v/>
      </c>
      <c r="I1910" s="20" t="str">
        <f aca="true">IF(B1910="","",IF(ISNA(MATCH(B1910,ListaInsumos,0)),"Insumo no está en Insumos",IF(OR(D1910="",E1910="",F1910=""),"Faltan datos",IF(INDEX(UnidadesBase,MATCH(E1910,Unidades,0))&lt;&gt;INDEX(InsBase,MATCH(B1910,ListaInsumos,0)),"Unidad incompatible",IF(A1910="","Falta fecha","OK")))))</f>
        <v/>
      </c>
      <c r="J1910" s="15"/>
    </row>
    <row r="1911" customFormat="false" ht="15" hidden="false" customHeight="false" outlineLevel="0" collapsed="false">
      <c r="A1911" s="26"/>
      <c r="B1911" s="15"/>
      <c r="C1911" s="15"/>
      <c r="D1911" s="27"/>
      <c r="E1911" s="15"/>
      <c r="F1911" s="28"/>
      <c r="G1911" s="25" t="str">
        <f aca="true">IF(OR(D1911="",E1911=""),"",IFERROR(D1911*INDEX(UnidadesFactor,MATCH(E1911,Unidades,0)),""))</f>
        <v/>
      </c>
      <c r="H1911" s="17" t="str">
        <f aca="false">IF(I1911&lt;&gt;"OK","",IF(G1911=0,"",F1911/G1911))</f>
        <v/>
      </c>
      <c r="I1911" s="20" t="str">
        <f aca="true">IF(B1911="","",IF(ISNA(MATCH(B1911,ListaInsumos,0)),"Insumo no está en Insumos",IF(OR(D1911="",E1911="",F1911=""),"Faltan datos",IF(INDEX(UnidadesBase,MATCH(E1911,Unidades,0))&lt;&gt;INDEX(InsBase,MATCH(B1911,ListaInsumos,0)),"Unidad incompatible",IF(A1911="","Falta fecha","OK")))))</f>
        <v/>
      </c>
      <c r="J1911" s="15"/>
    </row>
    <row r="1912" customFormat="false" ht="15" hidden="false" customHeight="false" outlineLevel="0" collapsed="false">
      <c r="A1912" s="26"/>
      <c r="B1912" s="15"/>
      <c r="C1912" s="15"/>
      <c r="D1912" s="27"/>
      <c r="E1912" s="15"/>
      <c r="F1912" s="28"/>
      <c r="G1912" s="25" t="str">
        <f aca="true">IF(OR(D1912="",E1912=""),"",IFERROR(D1912*INDEX(UnidadesFactor,MATCH(E1912,Unidades,0)),""))</f>
        <v/>
      </c>
      <c r="H1912" s="17" t="str">
        <f aca="false">IF(I1912&lt;&gt;"OK","",IF(G1912=0,"",F1912/G1912))</f>
        <v/>
      </c>
      <c r="I1912" s="20" t="str">
        <f aca="true">IF(B1912="","",IF(ISNA(MATCH(B1912,ListaInsumos,0)),"Insumo no está en Insumos",IF(OR(D1912="",E1912="",F1912=""),"Faltan datos",IF(INDEX(UnidadesBase,MATCH(E1912,Unidades,0))&lt;&gt;INDEX(InsBase,MATCH(B1912,ListaInsumos,0)),"Unidad incompatible",IF(A1912="","Falta fecha","OK")))))</f>
        <v/>
      </c>
      <c r="J1912" s="15"/>
    </row>
    <row r="1913" customFormat="false" ht="15" hidden="false" customHeight="false" outlineLevel="0" collapsed="false">
      <c r="A1913" s="26"/>
      <c r="B1913" s="15"/>
      <c r="C1913" s="15"/>
      <c r="D1913" s="27"/>
      <c r="E1913" s="15"/>
      <c r="F1913" s="28"/>
      <c r="G1913" s="25" t="str">
        <f aca="true">IF(OR(D1913="",E1913=""),"",IFERROR(D1913*INDEX(UnidadesFactor,MATCH(E1913,Unidades,0)),""))</f>
        <v/>
      </c>
      <c r="H1913" s="17" t="str">
        <f aca="false">IF(I1913&lt;&gt;"OK","",IF(G1913=0,"",F1913/G1913))</f>
        <v/>
      </c>
      <c r="I1913" s="20" t="str">
        <f aca="true">IF(B1913="","",IF(ISNA(MATCH(B1913,ListaInsumos,0)),"Insumo no está en Insumos",IF(OR(D1913="",E1913="",F1913=""),"Faltan datos",IF(INDEX(UnidadesBase,MATCH(E1913,Unidades,0))&lt;&gt;INDEX(InsBase,MATCH(B1913,ListaInsumos,0)),"Unidad incompatible",IF(A1913="","Falta fecha","OK")))))</f>
        <v/>
      </c>
      <c r="J1913" s="15"/>
    </row>
    <row r="1914" customFormat="false" ht="15" hidden="false" customHeight="false" outlineLevel="0" collapsed="false">
      <c r="A1914" s="26"/>
      <c r="B1914" s="15"/>
      <c r="C1914" s="15"/>
      <c r="D1914" s="27"/>
      <c r="E1914" s="15"/>
      <c r="F1914" s="28"/>
      <c r="G1914" s="25" t="str">
        <f aca="true">IF(OR(D1914="",E1914=""),"",IFERROR(D1914*INDEX(UnidadesFactor,MATCH(E1914,Unidades,0)),""))</f>
        <v/>
      </c>
      <c r="H1914" s="17" t="str">
        <f aca="false">IF(I1914&lt;&gt;"OK","",IF(G1914=0,"",F1914/G1914))</f>
        <v/>
      </c>
      <c r="I1914" s="20" t="str">
        <f aca="true">IF(B1914="","",IF(ISNA(MATCH(B1914,ListaInsumos,0)),"Insumo no está en Insumos",IF(OR(D1914="",E1914="",F1914=""),"Faltan datos",IF(INDEX(UnidadesBase,MATCH(E1914,Unidades,0))&lt;&gt;INDEX(InsBase,MATCH(B1914,ListaInsumos,0)),"Unidad incompatible",IF(A1914="","Falta fecha","OK")))))</f>
        <v/>
      </c>
      <c r="J1914" s="15"/>
    </row>
    <row r="1915" customFormat="false" ht="15" hidden="false" customHeight="false" outlineLevel="0" collapsed="false">
      <c r="A1915" s="26"/>
      <c r="B1915" s="15"/>
      <c r="C1915" s="15"/>
      <c r="D1915" s="27"/>
      <c r="E1915" s="15"/>
      <c r="F1915" s="28"/>
      <c r="G1915" s="25" t="str">
        <f aca="true">IF(OR(D1915="",E1915=""),"",IFERROR(D1915*INDEX(UnidadesFactor,MATCH(E1915,Unidades,0)),""))</f>
        <v/>
      </c>
      <c r="H1915" s="17" t="str">
        <f aca="false">IF(I1915&lt;&gt;"OK","",IF(G1915=0,"",F1915/G1915))</f>
        <v/>
      </c>
      <c r="I1915" s="20" t="str">
        <f aca="true">IF(B1915="","",IF(ISNA(MATCH(B1915,ListaInsumos,0)),"Insumo no está en Insumos",IF(OR(D1915="",E1915="",F1915=""),"Faltan datos",IF(INDEX(UnidadesBase,MATCH(E1915,Unidades,0))&lt;&gt;INDEX(InsBase,MATCH(B1915,ListaInsumos,0)),"Unidad incompatible",IF(A1915="","Falta fecha","OK")))))</f>
        <v/>
      </c>
      <c r="J1915" s="15"/>
    </row>
    <row r="1916" customFormat="false" ht="15" hidden="false" customHeight="false" outlineLevel="0" collapsed="false">
      <c r="A1916" s="26"/>
      <c r="B1916" s="15"/>
      <c r="C1916" s="15"/>
      <c r="D1916" s="27"/>
      <c r="E1916" s="15"/>
      <c r="F1916" s="28"/>
      <c r="G1916" s="25" t="str">
        <f aca="true">IF(OR(D1916="",E1916=""),"",IFERROR(D1916*INDEX(UnidadesFactor,MATCH(E1916,Unidades,0)),""))</f>
        <v/>
      </c>
      <c r="H1916" s="17" t="str">
        <f aca="false">IF(I1916&lt;&gt;"OK","",IF(G1916=0,"",F1916/G1916))</f>
        <v/>
      </c>
      <c r="I1916" s="20" t="str">
        <f aca="true">IF(B1916="","",IF(ISNA(MATCH(B1916,ListaInsumos,0)),"Insumo no está en Insumos",IF(OR(D1916="",E1916="",F1916=""),"Faltan datos",IF(INDEX(UnidadesBase,MATCH(E1916,Unidades,0))&lt;&gt;INDEX(InsBase,MATCH(B1916,ListaInsumos,0)),"Unidad incompatible",IF(A1916="","Falta fecha","OK")))))</f>
        <v/>
      </c>
      <c r="J1916" s="15"/>
    </row>
    <row r="1917" customFormat="false" ht="15" hidden="false" customHeight="false" outlineLevel="0" collapsed="false">
      <c r="A1917" s="26"/>
      <c r="B1917" s="15"/>
      <c r="C1917" s="15"/>
      <c r="D1917" s="27"/>
      <c r="E1917" s="15"/>
      <c r="F1917" s="28"/>
      <c r="G1917" s="25" t="str">
        <f aca="true">IF(OR(D1917="",E1917=""),"",IFERROR(D1917*INDEX(UnidadesFactor,MATCH(E1917,Unidades,0)),""))</f>
        <v/>
      </c>
      <c r="H1917" s="17" t="str">
        <f aca="false">IF(I1917&lt;&gt;"OK","",IF(G1917=0,"",F1917/G1917))</f>
        <v/>
      </c>
      <c r="I1917" s="20" t="str">
        <f aca="true">IF(B1917="","",IF(ISNA(MATCH(B1917,ListaInsumos,0)),"Insumo no está en Insumos",IF(OR(D1917="",E1917="",F1917=""),"Faltan datos",IF(INDEX(UnidadesBase,MATCH(E1917,Unidades,0))&lt;&gt;INDEX(InsBase,MATCH(B1917,ListaInsumos,0)),"Unidad incompatible",IF(A1917="","Falta fecha","OK")))))</f>
        <v/>
      </c>
      <c r="J1917" s="15"/>
    </row>
    <row r="1918" customFormat="false" ht="15" hidden="false" customHeight="false" outlineLevel="0" collapsed="false">
      <c r="A1918" s="26"/>
      <c r="B1918" s="15"/>
      <c r="C1918" s="15"/>
      <c r="D1918" s="27"/>
      <c r="E1918" s="15"/>
      <c r="F1918" s="28"/>
      <c r="G1918" s="25" t="str">
        <f aca="true">IF(OR(D1918="",E1918=""),"",IFERROR(D1918*INDEX(UnidadesFactor,MATCH(E1918,Unidades,0)),""))</f>
        <v/>
      </c>
      <c r="H1918" s="17" t="str">
        <f aca="false">IF(I1918&lt;&gt;"OK","",IF(G1918=0,"",F1918/G1918))</f>
        <v/>
      </c>
      <c r="I1918" s="20" t="str">
        <f aca="true">IF(B1918="","",IF(ISNA(MATCH(B1918,ListaInsumos,0)),"Insumo no está en Insumos",IF(OR(D1918="",E1918="",F1918=""),"Faltan datos",IF(INDEX(UnidadesBase,MATCH(E1918,Unidades,0))&lt;&gt;INDEX(InsBase,MATCH(B1918,ListaInsumos,0)),"Unidad incompatible",IF(A1918="","Falta fecha","OK")))))</f>
        <v/>
      </c>
      <c r="J1918" s="15"/>
    </row>
    <row r="1919" customFormat="false" ht="15" hidden="false" customHeight="false" outlineLevel="0" collapsed="false">
      <c r="A1919" s="26"/>
      <c r="B1919" s="15"/>
      <c r="C1919" s="15"/>
      <c r="D1919" s="27"/>
      <c r="E1919" s="15"/>
      <c r="F1919" s="28"/>
      <c r="G1919" s="25" t="str">
        <f aca="true">IF(OR(D1919="",E1919=""),"",IFERROR(D1919*INDEX(UnidadesFactor,MATCH(E1919,Unidades,0)),""))</f>
        <v/>
      </c>
      <c r="H1919" s="17" t="str">
        <f aca="false">IF(I1919&lt;&gt;"OK","",IF(G1919=0,"",F1919/G1919))</f>
        <v/>
      </c>
      <c r="I1919" s="20" t="str">
        <f aca="true">IF(B1919="","",IF(ISNA(MATCH(B1919,ListaInsumos,0)),"Insumo no está en Insumos",IF(OR(D1919="",E1919="",F1919=""),"Faltan datos",IF(INDEX(UnidadesBase,MATCH(E1919,Unidades,0))&lt;&gt;INDEX(InsBase,MATCH(B1919,ListaInsumos,0)),"Unidad incompatible",IF(A1919="","Falta fecha","OK")))))</f>
        <v/>
      </c>
      <c r="J1919" s="15"/>
    </row>
    <row r="1920" customFormat="false" ht="15" hidden="false" customHeight="false" outlineLevel="0" collapsed="false">
      <c r="A1920" s="26"/>
      <c r="B1920" s="15"/>
      <c r="C1920" s="15"/>
      <c r="D1920" s="27"/>
      <c r="E1920" s="15"/>
      <c r="F1920" s="28"/>
      <c r="G1920" s="25" t="str">
        <f aca="true">IF(OR(D1920="",E1920=""),"",IFERROR(D1920*INDEX(UnidadesFactor,MATCH(E1920,Unidades,0)),""))</f>
        <v/>
      </c>
      <c r="H1920" s="17" t="str">
        <f aca="false">IF(I1920&lt;&gt;"OK","",IF(G1920=0,"",F1920/G1920))</f>
        <v/>
      </c>
      <c r="I1920" s="20" t="str">
        <f aca="true">IF(B1920="","",IF(ISNA(MATCH(B1920,ListaInsumos,0)),"Insumo no está en Insumos",IF(OR(D1920="",E1920="",F1920=""),"Faltan datos",IF(INDEX(UnidadesBase,MATCH(E1920,Unidades,0))&lt;&gt;INDEX(InsBase,MATCH(B1920,ListaInsumos,0)),"Unidad incompatible",IF(A1920="","Falta fecha","OK")))))</f>
        <v/>
      </c>
      <c r="J1920" s="15"/>
    </row>
    <row r="1921" customFormat="false" ht="15" hidden="false" customHeight="false" outlineLevel="0" collapsed="false">
      <c r="A1921" s="26"/>
      <c r="B1921" s="15"/>
      <c r="C1921" s="15"/>
      <c r="D1921" s="27"/>
      <c r="E1921" s="15"/>
      <c r="F1921" s="28"/>
      <c r="G1921" s="25" t="str">
        <f aca="true">IF(OR(D1921="",E1921=""),"",IFERROR(D1921*INDEX(UnidadesFactor,MATCH(E1921,Unidades,0)),""))</f>
        <v/>
      </c>
      <c r="H1921" s="17" t="str">
        <f aca="false">IF(I1921&lt;&gt;"OK","",IF(G1921=0,"",F1921/G1921))</f>
        <v/>
      </c>
      <c r="I1921" s="20" t="str">
        <f aca="true">IF(B1921="","",IF(ISNA(MATCH(B1921,ListaInsumos,0)),"Insumo no está en Insumos",IF(OR(D1921="",E1921="",F1921=""),"Faltan datos",IF(INDEX(UnidadesBase,MATCH(E1921,Unidades,0))&lt;&gt;INDEX(InsBase,MATCH(B1921,ListaInsumos,0)),"Unidad incompatible",IF(A1921="","Falta fecha","OK")))))</f>
        <v/>
      </c>
      <c r="J1921" s="15"/>
    </row>
    <row r="1922" customFormat="false" ht="15" hidden="false" customHeight="false" outlineLevel="0" collapsed="false">
      <c r="A1922" s="26"/>
      <c r="B1922" s="15"/>
      <c r="C1922" s="15"/>
      <c r="D1922" s="27"/>
      <c r="E1922" s="15"/>
      <c r="F1922" s="28"/>
      <c r="G1922" s="25" t="str">
        <f aca="true">IF(OR(D1922="",E1922=""),"",IFERROR(D1922*INDEX(UnidadesFactor,MATCH(E1922,Unidades,0)),""))</f>
        <v/>
      </c>
      <c r="H1922" s="17" t="str">
        <f aca="false">IF(I1922&lt;&gt;"OK","",IF(G1922=0,"",F1922/G1922))</f>
        <v/>
      </c>
      <c r="I1922" s="20" t="str">
        <f aca="true">IF(B1922="","",IF(ISNA(MATCH(B1922,ListaInsumos,0)),"Insumo no está en Insumos",IF(OR(D1922="",E1922="",F1922=""),"Faltan datos",IF(INDEX(UnidadesBase,MATCH(E1922,Unidades,0))&lt;&gt;INDEX(InsBase,MATCH(B1922,ListaInsumos,0)),"Unidad incompatible",IF(A1922="","Falta fecha","OK")))))</f>
        <v/>
      </c>
      <c r="J1922" s="15"/>
    </row>
    <row r="1923" customFormat="false" ht="15" hidden="false" customHeight="false" outlineLevel="0" collapsed="false">
      <c r="A1923" s="26"/>
      <c r="B1923" s="15"/>
      <c r="C1923" s="15"/>
      <c r="D1923" s="27"/>
      <c r="E1923" s="15"/>
      <c r="F1923" s="28"/>
      <c r="G1923" s="25" t="str">
        <f aca="true">IF(OR(D1923="",E1923=""),"",IFERROR(D1923*INDEX(UnidadesFactor,MATCH(E1923,Unidades,0)),""))</f>
        <v/>
      </c>
      <c r="H1923" s="17" t="str">
        <f aca="false">IF(I1923&lt;&gt;"OK","",IF(G1923=0,"",F1923/G1923))</f>
        <v/>
      </c>
      <c r="I1923" s="20" t="str">
        <f aca="true">IF(B1923="","",IF(ISNA(MATCH(B1923,ListaInsumos,0)),"Insumo no está en Insumos",IF(OR(D1923="",E1923="",F1923=""),"Faltan datos",IF(INDEX(UnidadesBase,MATCH(E1923,Unidades,0))&lt;&gt;INDEX(InsBase,MATCH(B1923,ListaInsumos,0)),"Unidad incompatible",IF(A1923="","Falta fecha","OK")))))</f>
        <v/>
      </c>
      <c r="J1923" s="15"/>
    </row>
    <row r="1924" customFormat="false" ht="15" hidden="false" customHeight="false" outlineLevel="0" collapsed="false">
      <c r="A1924" s="26"/>
      <c r="B1924" s="15"/>
      <c r="C1924" s="15"/>
      <c r="D1924" s="27"/>
      <c r="E1924" s="15"/>
      <c r="F1924" s="28"/>
      <c r="G1924" s="25" t="str">
        <f aca="true">IF(OR(D1924="",E1924=""),"",IFERROR(D1924*INDEX(UnidadesFactor,MATCH(E1924,Unidades,0)),""))</f>
        <v/>
      </c>
      <c r="H1924" s="17" t="str">
        <f aca="false">IF(I1924&lt;&gt;"OK","",IF(G1924=0,"",F1924/G1924))</f>
        <v/>
      </c>
      <c r="I1924" s="20" t="str">
        <f aca="true">IF(B1924="","",IF(ISNA(MATCH(B1924,ListaInsumos,0)),"Insumo no está en Insumos",IF(OR(D1924="",E1924="",F1924=""),"Faltan datos",IF(INDEX(UnidadesBase,MATCH(E1924,Unidades,0))&lt;&gt;INDEX(InsBase,MATCH(B1924,ListaInsumos,0)),"Unidad incompatible",IF(A1924="","Falta fecha","OK")))))</f>
        <v/>
      </c>
      <c r="J1924" s="15"/>
    </row>
    <row r="1925" customFormat="false" ht="15" hidden="false" customHeight="false" outlineLevel="0" collapsed="false">
      <c r="A1925" s="26"/>
      <c r="B1925" s="15"/>
      <c r="C1925" s="15"/>
      <c r="D1925" s="27"/>
      <c r="E1925" s="15"/>
      <c r="F1925" s="28"/>
      <c r="G1925" s="25" t="str">
        <f aca="true">IF(OR(D1925="",E1925=""),"",IFERROR(D1925*INDEX(UnidadesFactor,MATCH(E1925,Unidades,0)),""))</f>
        <v/>
      </c>
      <c r="H1925" s="17" t="str">
        <f aca="false">IF(I1925&lt;&gt;"OK","",IF(G1925=0,"",F1925/G1925))</f>
        <v/>
      </c>
      <c r="I1925" s="20" t="str">
        <f aca="true">IF(B1925="","",IF(ISNA(MATCH(B1925,ListaInsumos,0)),"Insumo no está en Insumos",IF(OR(D1925="",E1925="",F1925=""),"Faltan datos",IF(INDEX(UnidadesBase,MATCH(E1925,Unidades,0))&lt;&gt;INDEX(InsBase,MATCH(B1925,ListaInsumos,0)),"Unidad incompatible",IF(A1925="","Falta fecha","OK")))))</f>
        <v/>
      </c>
      <c r="J1925" s="15"/>
    </row>
    <row r="1926" customFormat="false" ht="15" hidden="false" customHeight="false" outlineLevel="0" collapsed="false">
      <c r="A1926" s="26"/>
      <c r="B1926" s="15"/>
      <c r="C1926" s="15"/>
      <c r="D1926" s="27"/>
      <c r="E1926" s="15"/>
      <c r="F1926" s="28"/>
      <c r="G1926" s="25" t="str">
        <f aca="true">IF(OR(D1926="",E1926=""),"",IFERROR(D1926*INDEX(UnidadesFactor,MATCH(E1926,Unidades,0)),""))</f>
        <v/>
      </c>
      <c r="H1926" s="17" t="str">
        <f aca="false">IF(I1926&lt;&gt;"OK","",IF(G1926=0,"",F1926/G1926))</f>
        <v/>
      </c>
      <c r="I1926" s="20" t="str">
        <f aca="true">IF(B1926="","",IF(ISNA(MATCH(B1926,ListaInsumos,0)),"Insumo no está en Insumos",IF(OR(D1926="",E1926="",F1926=""),"Faltan datos",IF(INDEX(UnidadesBase,MATCH(E1926,Unidades,0))&lt;&gt;INDEX(InsBase,MATCH(B1926,ListaInsumos,0)),"Unidad incompatible",IF(A1926="","Falta fecha","OK")))))</f>
        <v/>
      </c>
      <c r="J1926" s="15"/>
    </row>
    <row r="1927" customFormat="false" ht="15" hidden="false" customHeight="false" outlineLevel="0" collapsed="false">
      <c r="A1927" s="26"/>
      <c r="B1927" s="15"/>
      <c r="C1927" s="15"/>
      <c r="D1927" s="27"/>
      <c r="E1927" s="15"/>
      <c r="F1927" s="28"/>
      <c r="G1927" s="25" t="str">
        <f aca="true">IF(OR(D1927="",E1927=""),"",IFERROR(D1927*INDEX(UnidadesFactor,MATCH(E1927,Unidades,0)),""))</f>
        <v/>
      </c>
      <c r="H1927" s="17" t="str">
        <f aca="false">IF(I1927&lt;&gt;"OK","",IF(G1927=0,"",F1927/G1927))</f>
        <v/>
      </c>
      <c r="I1927" s="20" t="str">
        <f aca="true">IF(B1927="","",IF(ISNA(MATCH(B1927,ListaInsumos,0)),"Insumo no está en Insumos",IF(OR(D1927="",E1927="",F1927=""),"Faltan datos",IF(INDEX(UnidadesBase,MATCH(E1927,Unidades,0))&lt;&gt;INDEX(InsBase,MATCH(B1927,ListaInsumos,0)),"Unidad incompatible",IF(A1927="","Falta fecha","OK")))))</f>
        <v/>
      </c>
      <c r="J1927" s="15"/>
    </row>
    <row r="1928" customFormat="false" ht="15" hidden="false" customHeight="false" outlineLevel="0" collapsed="false">
      <c r="A1928" s="26"/>
      <c r="B1928" s="15"/>
      <c r="C1928" s="15"/>
      <c r="D1928" s="27"/>
      <c r="E1928" s="15"/>
      <c r="F1928" s="28"/>
      <c r="G1928" s="25" t="str">
        <f aca="true">IF(OR(D1928="",E1928=""),"",IFERROR(D1928*INDEX(UnidadesFactor,MATCH(E1928,Unidades,0)),""))</f>
        <v/>
      </c>
      <c r="H1928" s="17" t="str">
        <f aca="false">IF(I1928&lt;&gt;"OK","",IF(G1928=0,"",F1928/G1928))</f>
        <v/>
      </c>
      <c r="I1928" s="20" t="str">
        <f aca="true">IF(B1928="","",IF(ISNA(MATCH(B1928,ListaInsumos,0)),"Insumo no está en Insumos",IF(OR(D1928="",E1928="",F1928=""),"Faltan datos",IF(INDEX(UnidadesBase,MATCH(E1928,Unidades,0))&lt;&gt;INDEX(InsBase,MATCH(B1928,ListaInsumos,0)),"Unidad incompatible",IF(A1928="","Falta fecha","OK")))))</f>
        <v/>
      </c>
      <c r="J1928" s="15"/>
    </row>
    <row r="1929" customFormat="false" ht="15" hidden="false" customHeight="false" outlineLevel="0" collapsed="false">
      <c r="A1929" s="26"/>
      <c r="B1929" s="15"/>
      <c r="C1929" s="15"/>
      <c r="D1929" s="27"/>
      <c r="E1929" s="15"/>
      <c r="F1929" s="28"/>
      <c r="G1929" s="25" t="str">
        <f aca="true">IF(OR(D1929="",E1929=""),"",IFERROR(D1929*INDEX(UnidadesFactor,MATCH(E1929,Unidades,0)),""))</f>
        <v/>
      </c>
      <c r="H1929" s="17" t="str">
        <f aca="false">IF(I1929&lt;&gt;"OK","",IF(G1929=0,"",F1929/G1929))</f>
        <v/>
      </c>
      <c r="I1929" s="20" t="str">
        <f aca="true">IF(B1929="","",IF(ISNA(MATCH(B1929,ListaInsumos,0)),"Insumo no está en Insumos",IF(OR(D1929="",E1929="",F1929=""),"Faltan datos",IF(INDEX(UnidadesBase,MATCH(E1929,Unidades,0))&lt;&gt;INDEX(InsBase,MATCH(B1929,ListaInsumos,0)),"Unidad incompatible",IF(A1929="","Falta fecha","OK")))))</f>
        <v/>
      </c>
      <c r="J1929" s="15"/>
    </row>
    <row r="1930" customFormat="false" ht="15" hidden="false" customHeight="false" outlineLevel="0" collapsed="false">
      <c r="A1930" s="26"/>
      <c r="B1930" s="15"/>
      <c r="C1930" s="15"/>
      <c r="D1930" s="27"/>
      <c r="E1930" s="15"/>
      <c r="F1930" s="28"/>
      <c r="G1930" s="25" t="str">
        <f aca="true">IF(OR(D1930="",E1930=""),"",IFERROR(D1930*INDEX(UnidadesFactor,MATCH(E1930,Unidades,0)),""))</f>
        <v/>
      </c>
      <c r="H1930" s="17" t="str">
        <f aca="false">IF(I1930&lt;&gt;"OK","",IF(G1930=0,"",F1930/G1930))</f>
        <v/>
      </c>
      <c r="I1930" s="20" t="str">
        <f aca="true">IF(B1930="","",IF(ISNA(MATCH(B1930,ListaInsumos,0)),"Insumo no está en Insumos",IF(OR(D1930="",E1930="",F1930=""),"Faltan datos",IF(INDEX(UnidadesBase,MATCH(E1930,Unidades,0))&lt;&gt;INDEX(InsBase,MATCH(B1930,ListaInsumos,0)),"Unidad incompatible",IF(A1930="","Falta fecha","OK")))))</f>
        <v/>
      </c>
      <c r="J1930" s="15"/>
    </row>
    <row r="1931" customFormat="false" ht="15" hidden="false" customHeight="false" outlineLevel="0" collapsed="false">
      <c r="A1931" s="26"/>
      <c r="B1931" s="15"/>
      <c r="C1931" s="15"/>
      <c r="D1931" s="27"/>
      <c r="E1931" s="15"/>
      <c r="F1931" s="28"/>
      <c r="G1931" s="25" t="str">
        <f aca="true">IF(OR(D1931="",E1931=""),"",IFERROR(D1931*INDEX(UnidadesFactor,MATCH(E1931,Unidades,0)),""))</f>
        <v/>
      </c>
      <c r="H1931" s="17" t="str">
        <f aca="false">IF(I1931&lt;&gt;"OK","",IF(G1931=0,"",F1931/G1931))</f>
        <v/>
      </c>
      <c r="I1931" s="20" t="str">
        <f aca="true">IF(B1931="","",IF(ISNA(MATCH(B1931,ListaInsumos,0)),"Insumo no está en Insumos",IF(OR(D1931="",E1931="",F1931=""),"Faltan datos",IF(INDEX(UnidadesBase,MATCH(E1931,Unidades,0))&lt;&gt;INDEX(InsBase,MATCH(B1931,ListaInsumos,0)),"Unidad incompatible",IF(A1931="","Falta fecha","OK")))))</f>
        <v/>
      </c>
      <c r="J1931" s="15"/>
    </row>
    <row r="1932" customFormat="false" ht="15" hidden="false" customHeight="false" outlineLevel="0" collapsed="false">
      <c r="A1932" s="26"/>
      <c r="B1932" s="15"/>
      <c r="C1932" s="15"/>
      <c r="D1932" s="27"/>
      <c r="E1932" s="15"/>
      <c r="F1932" s="28"/>
      <c r="G1932" s="25" t="str">
        <f aca="true">IF(OR(D1932="",E1932=""),"",IFERROR(D1932*INDEX(UnidadesFactor,MATCH(E1932,Unidades,0)),""))</f>
        <v/>
      </c>
      <c r="H1932" s="17" t="str">
        <f aca="false">IF(I1932&lt;&gt;"OK","",IF(G1932=0,"",F1932/G1932))</f>
        <v/>
      </c>
      <c r="I1932" s="20" t="str">
        <f aca="true">IF(B1932="","",IF(ISNA(MATCH(B1932,ListaInsumos,0)),"Insumo no está en Insumos",IF(OR(D1932="",E1932="",F1932=""),"Faltan datos",IF(INDEX(UnidadesBase,MATCH(E1932,Unidades,0))&lt;&gt;INDEX(InsBase,MATCH(B1932,ListaInsumos,0)),"Unidad incompatible",IF(A1932="","Falta fecha","OK")))))</f>
        <v/>
      </c>
      <c r="J1932" s="15"/>
    </row>
    <row r="1933" customFormat="false" ht="15" hidden="false" customHeight="false" outlineLevel="0" collapsed="false">
      <c r="A1933" s="26"/>
      <c r="B1933" s="15"/>
      <c r="C1933" s="15"/>
      <c r="D1933" s="27"/>
      <c r="E1933" s="15"/>
      <c r="F1933" s="28"/>
      <c r="G1933" s="25" t="str">
        <f aca="true">IF(OR(D1933="",E1933=""),"",IFERROR(D1933*INDEX(UnidadesFactor,MATCH(E1933,Unidades,0)),""))</f>
        <v/>
      </c>
      <c r="H1933" s="17" t="str">
        <f aca="false">IF(I1933&lt;&gt;"OK","",IF(G1933=0,"",F1933/G1933))</f>
        <v/>
      </c>
      <c r="I1933" s="20" t="str">
        <f aca="true">IF(B1933="","",IF(ISNA(MATCH(B1933,ListaInsumos,0)),"Insumo no está en Insumos",IF(OR(D1933="",E1933="",F1933=""),"Faltan datos",IF(INDEX(UnidadesBase,MATCH(E1933,Unidades,0))&lt;&gt;INDEX(InsBase,MATCH(B1933,ListaInsumos,0)),"Unidad incompatible",IF(A1933="","Falta fecha","OK")))))</f>
        <v/>
      </c>
      <c r="J1933" s="15"/>
    </row>
    <row r="1934" customFormat="false" ht="15" hidden="false" customHeight="false" outlineLevel="0" collapsed="false">
      <c r="A1934" s="26"/>
      <c r="B1934" s="15"/>
      <c r="C1934" s="15"/>
      <c r="D1934" s="27"/>
      <c r="E1934" s="15"/>
      <c r="F1934" s="28"/>
      <c r="G1934" s="25" t="str">
        <f aca="true">IF(OR(D1934="",E1934=""),"",IFERROR(D1934*INDEX(UnidadesFactor,MATCH(E1934,Unidades,0)),""))</f>
        <v/>
      </c>
      <c r="H1934" s="17" t="str">
        <f aca="false">IF(I1934&lt;&gt;"OK","",IF(G1934=0,"",F1934/G1934))</f>
        <v/>
      </c>
      <c r="I1934" s="20" t="str">
        <f aca="true">IF(B1934="","",IF(ISNA(MATCH(B1934,ListaInsumos,0)),"Insumo no está en Insumos",IF(OR(D1934="",E1934="",F1934=""),"Faltan datos",IF(INDEX(UnidadesBase,MATCH(E1934,Unidades,0))&lt;&gt;INDEX(InsBase,MATCH(B1934,ListaInsumos,0)),"Unidad incompatible",IF(A1934="","Falta fecha","OK")))))</f>
        <v/>
      </c>
      <c r="J1934" s="15"/>
    </row>
    <row r="1935" customFormat="false" ht="15" hidden="false" customHeight="false" outlineLevel="0" collapsed="false">
      <c r="A1935" s="26"/>
      <c r="B1935" s="15"/>
      <c r="C1935" s="15"/>
      <c r="D1935" s="27"/>
      <c r="E1935" s="15"/>
      <c r="F1935" s="28"/>
      <c r="G1935" s="25" t="str">
        <f aca="true">IF(OR(D1935="",E1935=""),"",IFERROR(D1935*INDEX(UnidadesFactor,MATCH(E1935,Unidades,0)),""))</f>
        <v/>
      </c>
      <c r="H1935" s="17" t="str">
        <f aca="false">IF(I1935&lt;&gt;"OK","",IF(G1935=0,"",F1935/G1935))</f>
        <v/>
      </c>
      <c r="I1935" s="20" t="str">
        <f aca="true">IF(B1935="","",IF(ISNA(MATCH(B1935,ListaInsumos,0)),"Insumo no está en Insumos",IF(OR(D1935="",E1935="",F1935=""),"Faltan datos",IF(INDEX(UnidadesBase,MATCH(E1935,Unidades,0))&lt;&gt;INDEX(InsBase,MATCH(B1935,ListaInsumos,0)),"Unidad incompatible",IF(A1935="","Falta fecha","OK")))))</f>
        <v/>
      </c>
      <c r="J1935" s="15"/>
    </row>
    <row r="1936" customFormat="false" ht="15" hidden="false" customHeight="false" outlineLevel="0" collapsed="false">
      <c r="A1936" s="26"/>
      <c r="B1936" s="15"/>
      <c r="C1936" s="15"/>
      <c r="D1936" s="27"/>
      <c r="E1936" s="15"/>
      <c r="F1936" s="28"/>
      <c r="G1936" s="25" t="str">
        <f aca="true">IF(OR(D1936="",E1936=""),"",IFERROR(D1936*INDEX(UnidadesFactor,MATCH(E1936,Unidades,0)),""))</f>
        <v/>
      </c>
      <c r="H1936" s="17" t="str">
        <f aca="false">IF(I1936&lt;&gt;"OK","",IF(G1936=0,"",F1936/G1936))</f>
        <v/>
      </c>
      <c r="I1936" s="20" t="str">
        <f aca="true">IF(B1936="","",IF(ISNA(MATCH(B1936,ListaInsumos,0)),"Insumo no está en Insumos",IF(OR(D1936="",E1936="",F1936=""),"Faltan datos",IF(INDEX(UnidadesBase,MATCH(E1936,Unidades,0))&lt;&gt;INDEX(InsBase,MATCH(B1936,ListaInsumos,0)),"Unidad incompatible",IF(A1936="","Falta fecha","OK")))))</f>
        <v/>
      </c>
      <c r="J1936" s="15"/>
    </row>
    <row r="1937" customFormat="false" ht="15" hidden="false" customHeight="false" outlineLevel="0" collapsed="false">
      <c r="A1937" s="26"/>
      <c r="B1937" s="15"/>
      <c r="C1937" s="15"/>
      <c r="D1937" s="27"/>
      <c r="E1937" s="15"/>
      <c r="F1937" s="28"/>
      <c r="G1937" s="25" t="str">
        <f aca="true">IF(OR(D1937="",E1937=""),"",IFERROR(D1937*INDEX(UnidadesFactor,MATCH(E1937,Unidades,0)),""))</f>
        <v/>
      </c>
      <c r="H1937" s="17" t="str">
        <f aca="false">IF(I1937&lt;&gt;"OK","",IF(G1937=0,"",F1937/G1937))</f>
        <v/>
      </c>
      <c r="I1937" s="20" t="str">
        <f aca="true">IF(B1937="","",IF(ISNA(MATCH(B1937,ListaInsumos,0)),"Insumo no está en Insumos",IF(OR(D1937="",E1937="",F1937=""),"Faltan datos",IF(INDEX(UnidadesBase,MATCH(E1937,Unidades,0))&lt;&gt;INDEX(InsBase,MATCH(B1937,ListaInsumos,0)),"Unidad incompatible",IF(A1937="","Falta fecha","OK")))))</f>
        <v/>
      </c>
      <c r="J1937" s="15"/>
    </row>
    <row r="1938" customFormat="false" ht="15" hidden="false" customHeight="false" outlineLevel="0" collapsed="false">
      <c r="A1938" s="26"/>
      <c r="B1938" s="15"/>
      <c r="C1938" s="15"/>
      <c r="D1938" s="27"/>
      <c r="E1938" s="15"/>
      <c r="F1938" s="28"/>
      <c r="G1938" s="25" t="str">
        <f aca="true">IF(OR(D1938="",E1938=""),"",IFERROR(D1938*INDEX(UnidadesFactor,MATCH(E1938,Unidades,0)),""))</f>
        <v/>
      </c>
      <c r="H1938" s="17" t="str">
        <f aca="false">IF(I1938&lt;&gt;"OK","",IF(G1938=0,"",F1938/G1938))</f>
        <v/>
      </c>
      <c r="I1938" s="20" t="str">
        <f aca="true">IF(B1938="","",IF(ISNA(MATCH(B1938,ListaInsumos,0)),"Insumo no está en Insumos",IF(OR(D1938="",E1938="",F1938=""),"Faltan datos",IF(INDEX(UnidadesBase,MATCH(E1938,Unidades,0))&lt;&gt;INDEX(InsBase,MATCH(B1938,ListaInsumos,0)),"Unidad incompatible",IF(A1938="","Falta fecha","OK")))))</f>
        <v/>
      </c>
      <c r="J1938" s="15"/>
    </row>
    <row r="1939" customFormat="false" ht="15" hidden="false" customHeight="false" outlineLevel="0" collapsed="false">
      <c r="A1939" s="26"/>
      <c r="B1939" s="15"/>
      <c r="C1939" s="15"/>
      <c r="D1939" s="27"/>
      <c r="E1939" s="15"/>
      <c r="F1939" s="28"/>
      <c r="G1939" s="25" t="str">
        <f aca="true">IF(OR(D1939="",E1939=""),"",IFERROR(D1939*INDEX(UnidadesFactor,MATCH(E1939,Unidades,0)),""))</f>
        <v/>
      </c>
      <c r="H1939" s="17" t="str">
        <f aca="false">IF(I1939&lt;&gt;"OK","",IF(G1939=0,"",F1939/G1939))</f>
        <v/>
      </c>
      <c r="I1939" s="20" t="str">
        <f aca="true">IF(B1939="","",IF(ISNA(MATCH(B1939,ListaInsumos,0)),"Insumo no está en Insumos",IF(OR(D1939="",E1939="",F1939=""),"Faltan datos",IF(INDEX(UnidadesBase,MATCH(E1939,Unidades,0))&lt;&gt;INDEX(InsBase,MATCH(B1939,ListaInsumos,0)),"Unidad incompatible",IF(A1939="","Falta fecha","OK")))))</f>
        <v/>
      </c>
      <c r="J1939" s="15"/>
    </row>
    <row r="1940" customFormat="false" ht="15" hidden="false" customHeight="false" outlineLevel="0" collapsed="false">
      <c r="A1940" s="26"/>
      <c r="B1940" s="15"/>
      <c r="C1940" s="15"/>
      <c r="D1940" s="27"/>
      <c r="E1940" s="15"/>
      <c r="F1940" s="28"/>
      <c r="G1940" s="25" t="str">
        <f aca="true">IF(OR(D1940="",E1940=""),"",IFERROR(D1940*INDEX(UnidadesFactor,MATCH(E1940,Unidades,0)),""))</f>
        <v/>
      </c>
      <c r="H1940" s="17" t="str">
        <f aca="false">IF(I1940&lt;&gt;"OK","",IF(G1940=0,"",F1940/G1940))</f>
        <v/>
      </c>
      <c r="I1940" s="20" t="str">
        <f aca="true">IF(B1940="","",IF(ISNA(MATCH(B1940,ListaInsumos,0)),"Insumo no está en Insumos",IF(OR(D1940="",E1940="",F1940=""),"Faltan datos",IF(INDEX(UnidadesBase,MATCH(E1940,Unidades,0))&lt;&gt;INDEX(InsBase,MATCH(B1940,ListaInsumos,0)),"Unidad incompatible",IF(A1940="","Falta fecha","OK")))))</f>
        <v/>
      </c>
      <c r="J1940" s="15"/>
    </row>
    <row r="1941" customFormat="false" ht="15" hidden="false" customHeight="false" outlineLevel="0" collapsed="false">
      <c r="A1941" s="26"/>
      <c r="B1941" s="15"/>
      <c r="C1941" s="15"/>
      <c r="D1941" s="27"/>
      <c r="E1941" s="15"/>
      <c r="F1941" s="28"/>
      <c r="G1941" s="25" t="str">
        <f aca="true">IF(OR(D1941="",E1941=""),"",IFERROR(D1941*INDEX(UnidadesFactor,MATCH(E1941,Unidades,0)),""))</f>
        <v/>
      </c>
      <c r="H1941" s="17" t="str">
        <f aca="false">IF(I1941&lt;&gt;"OK","",IF(G1941=0,"",F1941/G1941))</f>
        <v/>
      </c>
      <c r="I1941" s="20" t="str">
        <f aca="true">IF(B1941="","",IF(ISNA(MATCH(B1941,ListaInsumos,0)),"Insumo no está en Insumos",IF(OR(D1941="",E1941="",F1941=""),"Faltan datos",IF(INDEX(UnidadesBase,MATCH(E1941,Unidades,0))&lt;&gt;INDEX(InsBase,MATCH(B1941,ListaInsumos,0)),"Unidad incompatible",IF(A1941="","Falta fecha","OK")))))</f>
        <v/>
      </c>
      <c r="J1941" s="15"/>
    </row>
    <row r="1942" customFormat="false" ht="15" hidden="false" customHeight="false" outlineLevel="0" collapsed="false">
      <c r="A1942" s="26"/>
      <c r="B1942" s="15"/>
      <c r="C1942" s="15"/>
      <c r="D1942" s="27"/>
      <c r="E1942" s="15"/>
      <c r="F1942" s="28"/>
      <c r="G1942" s="25" t="str">
        <f aca="true">IF(OR(D1942="",E1942=""),"",IFERROR(D1942*INDEX(UnidadesFactor,MATCH(E1942,Unidades,0)),""))</f>
        <v/>
      </c>
      <c r="H1942" s="17" t="str">
        <f aca="false">IF(I1942&lt;&gt;"OK","",IF(G1942=0,"",F1942/G1942))</f>
        <v/>
      </c>
      <c r="I1942" s="20" t="str">
        <f aca="true">IF(B1942="","",IF(ISNA(MATCH(B1942,ListaInsumos,0)),"Insumo no está en Insumos",IF(OR(D1942="",E1942="",F1942=""),"Faltan datos",IF(INDEX(UnidadesBase,MATCH(E1942,Unidades,0))&lt;&gt;INDEX(InsBase,MATCH(B1942,ListaInsumos,0)),"Unidad incompatible",IF(A1942="","Falta fecha","OK")))))</f>
        <v/>
      </c>
      <c r="J1942" s="15"/>
    </row>
    <row r="1943" customFormat="false" ht="15" hidden="false" customHeight="false" outlineLevel="0" collapsed="false">
      <c r="A1943" s="26"/>
      <c r="B1943" s="15"/>
      <c r="C1943" s="15"/>
      <c r="D1943" s="27"/>
      <c r="E1943" s="15"/>
      <c r="F1943" s="28"/>
      <c r="G1943" s="25" t="str">
        <f aca="true">IF(OR(D1943="",E1943=""),"",IFERROR(D1943*INDEX(UnidadesFactor,MATCH(E1943,Unidades,0)),""))</f>
        <v/>
      </c>
      <c r="H1943" s="17" t="str">
        <f aca="false">IF(I1943&lt;&gt;"OK","",IF(G1943=0,"",F1943/G1943))</f>
        <v/>
      </c>
      <c r="I1943" s="20" t="str">
        <f aca="true">IF(B1943="","",IF(ISNA(MATCH(B1943,ListaInsumos,0)),"Insumo no está en Insumos",IF(OR(D1943="",E1943="",F1943=""),"Faltan datos",IF(INDEX(UnidadesBase,MATCH(E1943,Unidades,0))&lt;&gt;INDEX(InsBase,MATCH(B1943,ListaInsumos,0)),"Unidad incompatible",IF(A1943="","Falta fecha","OK")))))</f>
        <v/>
      </c>
      <c r="J1943" s="15"/>
    </row>
    <row r="1944" customFormat="false" ht="15" hidden="false" customHeight="false" outlineLevel="0" collapsed="false">
      <c r="A1944" s="26"/>
      <c r="B1944" s="15"/>
      <c r="C1944" s="15"/>
      <c r="D1944" s="27"/>
      <c r="E1944" s="15"/>
      <c r="F1944" s="28"/>
      <c r="G1944" s="25" t="str">
        <f aca="true">IF(OR(D1944="",E1944=""),"",IFERROR(D1944*INDEX(UnidadesFactor,MATCH(E1944,Unidades,0)),""))</f>
        <v/>
      </c>
      <c r="H1944" s="17" t="str">
        <f aca="false">IF(I1944&lt;&gt;"OK","",IF(G1944=0,"",F1944/G1944))</f>
        <v/>
      </c>
      <c r="I1944" s="20" t="str">
        <f aca="true">IF(B1944="","",IF(ISNA(MATCH(B1944,ListaInsumos,0)),"Insumo no está en Insumos",IF(OR(D1944="",E1944="",F1944=""),"Faltan datos",IF(INDEX(UnidadesBase,MATCH(E1944,Unidades,0))&lt;&gt;INDEX(InsBase,MATCH(B1944,ListaInsumos,0)),"Unidad incompatible",IF(A1944="","Falta fecha","OK")))))</f>
        <v/>
      </c>
      <c r="J1944" s="15"/>
    </row>
    <row r="1945" customFormat="false" ht="15" hidden="false" customHeight="false" outlineLevel="0" collapsed="false">
      <c r="A1945" s="26"/>
      <c r="B1945" s="15"/>
      <c r="C1945" s="15"/>
      <c r="D1945" s="27"/>
      <c r="E1945" s="15"/>
      <c r="F1945" s="28"/>
      <c r="G1945" s="25" t="str">
        <f aca="true">IF(OR(D1945="",E1945=""),"",IFERROR(D1945*INDEX(UnidadesFactor,MATCH(E1945,Unidades,0)),""))</f>
        <v/>
      </c>
      <c r="H1945" s="17" t="str">
        <f aca="false">IF(I1945&lt;&gt;"OK","",IF(G1945=0,"",F1945/G1945))</f>
        <v/>
      </c>
      <c r="I1945" s="20" t="str">
        <f aca="true">IF(B1945="","",IF(ISNA(MATCH(B1945,ListaInsumos,0)),"Insumo no está en Insumos",IF(OR(D1945="",E1945="",F1945=""),"Faltan datos",IF(INDEX(UnidadesBase,MATCH(E1945,Unidades,0))&lt;&gt;INDEX(InsBase,MATCH(B1945,ListaInsumos,0)),"Unidad incompatible",IF(A1945="","Falta fecha","OK")))))</f>
        <v/>
      </c>
      <c r="J1945" s="15"/>
    </row>
    <row r="1946" customFormat="false" ht="15" hidden="false" customHeight="false" outlineLevel="0" collapsed="false">
      <c r="A1946" s="26"/>
      <c r="B1946" s="15"/>
      <c r="C1946" s="15"/>
      <c r="D1946" s="27"/>
      <c r="E1946" s="15"/>
      <c r="F1946" s="28"/>
      <c r="G1946" s="25" t="str">
        <f aca="true">IF(OR(D1946="",E1946=""),"",IFERROR(D1946*INDEX(UnidadesFactor,MATCH(E1946,Unidades,0)),""))</f>
        <v/>
      </c>
      <c r="H1946" s="17" t="str">
        <f aca="false">IF(I1946&lt;&gt;"OK","",IF(G1946=0,"",F1946/G1946))</f>
        <v/>
      </c>
      <c r="I1946" s="20" t="str">
        <f aca="true">IF(B1946="","",IF(ISNA(MATCH(B1946,ListaInsumos,0)),"Insumo no está en Insumos",IF(OR(D1946="",E1946="",F1946=""),"Faltan datos",IF(INDEX(UnidadesBase,MATCH(E1946,Unidades,0))&lt;&gt;INDEX(InsBase,MATCH(B1946,ListaInsumos,0)),"Unidad incompatible",IF(A1946="","Falta fecha","OK")))))</f>
        <v/>
      </c>
      <c r="J1946" s="15"/>
    </row>
    <row r="1947" customFormat="false" ht="15" hidden="false" customHeight="false" outlineLevel="0" collapsed="false">
      <c r="A1947" s="26"/>
      <c r="B1947" s="15"/>
      <c r="C1947" s="15"/>
      <c r="D1947" s="27"/>
      <c r="E1947" s="15"/>
      <c r="F1947" s="28"/>
      <c r="G1947" s="25" t="str">
        <f aca="true">IF(OR(D1947="",E1947=""),"",IFERROR(D1947*INDEX(UnidadesFactor,MATCH(E1947,Unidades,0)),""))</f>
        <v/>
      </c>
      <c r="H1947" s="17" t="str">
        <f aca="false">IF(I1947&lt;&gt;"OK","",IF(G1947=0,"",F1947/G1947))</f>
        <v/>
      </c>
      <c r="I1947" s="20" t="str">
        <f aca="true">IF(B1947="","",IF(ISNA(MATCH(B1947,ListaInsumos,0)),"Insumo no está en Insumos",IF(OR(D1947="",E1947="",F1947=""),"Faltan datos",IF(INDEX(UnidadesBase,MATCH(E1947,Unidades,0))&lt;&gt;INDEX(InsBase,MATCH(B1947,ListaInsumos,0)),"Unidad incompatible",IF(A1947="","Falta fecha","OK")))))</f>
        <v/>
      </c>
      <c r="J1947" s="15"/>
    </row>
    <row r="1948" customFormat="false" ht="15" hidden="false" customHeight="false" outlineLevel="0" collapsed="false">
      <c r="A1948" s="26"/>
      <c r="B1948" s="15"/>
      <c r="C1948" s="15"/>
      <c r="D1948" s="27"/>
      <c r="E1948" s="15"/>
      <c r="F1948" s="28"/>
      <c r="G1948" s="25" t="str">
        <f aca="true">IF(OR(D1948="",E1948=""),"",IFERROR(D1948*INDEX(UnidadesFactor,MATCH(E1948,Unidades,0)),""))</f>
        <v/>
      </c>
      <c r="H1948" s="17" t="str">
        <f aca="false">IF(I1948&lt;&gt;"OK","",IF(G1948=0,"",F1948/G1948))</f>
        <v/>
      </c>
      <c r="I1948" s="20" t="str">
        <f aca="true">IF(B1948="","",IF(ISNA(MATCH(B1948,ListaInsumos,0)),"Insumo no está en Insumos",IF(OR(D1948="",E1948="",F1948=""),"Faltan datos",IF(INDEX(UnidadesBase,MATCH(E1948,Unidades,0))&lt;&gt;INDEX(InsBase,MATCH(B1948,ListaInsumos,0)),"Unidad incompatible",IF(A1948="","Falta fecha","OK")))))</f>
        <v/>
      </c>
      <c r="J1948" s="15"/>
    </row>
    <row r="1949" customFormat="false" ht="15" hidden="false" customHeight="false" outlineLevel="0" collapsed="false">
      <c r="A1949" s="26"/>
      <c r="B1949" s="15"/>
      <c r="C1949" s="15"/>
      <c r="D1949" s="27"/>
      <c r="E1949" s="15"/>
      <c r="F1949" s="28"/>
      <c r="G1949" s="25" t="str">
        <f aca="true">IF(OR(D1949="",E1949=""),"",IFERROR(D1949*INDEX(UnidadesFactor,MATCH(E1949,Unidades,0)),""))</f>
        <v/>
      </c>
      <c r="H1949" s="17" t="str">
        <f aca="false">IF(I1949&lt;&gt;"OK","",IF(G1949=0,"",F1949/G1949))</f>
        <v/>
      </c>
      <c r="I1949" s="20" t="str">
        <f aca="true">IF(B1949="","",IF(ISNA(MATCH(B1949,ListaInsumos,0)),"Insumo no está en Insumos",IF(OR(D1949="",E1949="",F1949=""),"Faltan datos",IF(INDEX(UnidadesBase,MATCH(E1949,Unidades,0))&lt;&gt;INDEX(InsBase,MATCH(B1949,ListaInsumos,0)),"Unidad incompatible",IF(A1949="","Falta fecha","OK")))))</f>
        <v/>
      </c>
      <c r="J1949" s="15"/>
    </row>
    <row r="1950" customFormat="false" ht="15" hidden="false" customHeight="false" outlineLevel="0" collapsed="false">
      <c r="A1950" s="26"/>
      <c r="B1950" s="15"/>
      <c r="C1950" s="15"/>
      <c r="D1950" s="27"/>
      <c r="E1950" s="15"/>
      <c r="F1950" s="28"/>
      <c r="G1950" s="25" t="str">
        <f aca="true">IF(OR(D1950="",E1950=""),"",IFERROR(D1950*INDEX(UnidadesFactor,MATCH(E1950,Unidades,0)),""))</f>
        <v/>
      </c>
      <c r="H1950" s="17" t="str">
        <f aca="false">IF(I1950&lt;&gt;"OK","",IF(G1950=0,"",F1950/G1950))</f>
        <v/>
      </c>
      <c r="I1950" s="20" t="str">
        <f aca="true">IF(B1950="","",IF(ISNA(MATCH(B1950,ListaInsumos,0)),"Insumo no está en Insumos",IF(OR(D1950="",E1950="",F1950=""),"Faltan datos",IF(INDEX(UnidadesBase,MATCH(E1950,Unidades,0))&lt;&gt;INDEX(InsBase,MATCH(B1950,ListaInsumos,0)),"Unidad incompatible",IF(A1950="","Falta fecha","OK")))))</f>
        <v/>
      </c>
      <c r="J1950" s="15"/>
    </row>
    <row r="1951" customFormat="false" ht="15" hidden="false" customHeight="false" outlineLevel="0" collapsed="false">
      <c r="A1951" s="26"/>
      <c r="B1951" s="15"/>
      <c r="C1951" s="15"/>
      <c r="D1951" s="27"/>
      <c r="E1951" s="15"/>
      <c r="F1951" s="28"/>
      <c r="G1951" s="25" t="str">
        <f aca="true">IF(OR(D1951="",E1951=""),"",IFERROR(D1951*INDEX(UnidadesFactor,MATCH(E1951,Unidades,0)),""))</f>
        <v/>
      </c>
      <c r="H1951" s="17" t="str">
        <f aca="false">IF(I1951&lt;&gt;"OK","",IF(G1951=0,"",F1951/G1951))</f>
        <v/>
      </c>
      <c r="I1951" s="20" t="str">
        <f aca="true">IF(B1951="","",IF(ISNA(MATCH(B1951,ListaInsumos,0)),"Insumo no está en Insumos",IF(OR(D1951="",E1951="",F1951=""),"Faltan datos",IF(INDEX(UnidadesBase,MATCH(E1951,Unidades,0))&lt;&gt;INDEX(InsBase,MATCH(B1951,ListaInsumos,0)),"Unidad incompatible",IF(A1951="","Falta fecha","OK")))))</f>
        <v/>
      </c>
      <c r="J1951" s="15"/>
    </row>
    <row r="1952" customFormat="false" ht="15" hidden="false" customHeight="false" outlineLevel="0" collapsed="false">
      <c r="A1952" s="26"/>
      <c r="B1952" s="15"/>
      <c r="C1952" s="15"/>
      <c r="D1952" s="27"/>
      <c r="E1952" s="15"/>
      <c r="F1952" s="28"/>
      <c r="G1952" s="25" t="str">
        <f aca="true">IF(OR(D1952="",E1952=""),"",IFERROR(D1952*INDEX(UnidadesFactor,MATCH(E1952,Unidades,0)),""))</f>
        <v/>
      </c>
      <c r="H1952" s="17" t="str">
        <f aca="false">IF(I1952&lt;&gt;"OK","",IF(G1952=0,"",F1952/G1952))</f>
        <v/>
      </c>
      <c r="I1952" s="20" t="str">
        <f aca="true">IF(B1952="","",IF(ISNA(MATCH(B1952,ListaInsumos,0)),"Insumo no está en Insumos",IF(OR(D1952="",E1952="",F1952=""),"Faltan datos",IF(INDEX(UnidadesBase,MATCH(E1952,Unidades,0))&lt;&gt;INDEX(InsBase,MATCH(B1952,ListaInsumos,0)),"Unidad incompatible",IF(A1952="","Falta fecha","OK")))))</f>
        <v/>
      </c>
      <c r="J1952" s="15"/>
    </row>
    <row r="1953" customFormat="false" ht="15" hidden="false" customHeight="false" outlineLevel="0" collapsed="false">
      <c r="A1953" s="26"/>
      <c r="B1953" s="15"/>
      <c r="C1953" s="15"/>
      <c r="D1953" s="27"/>
      <c r="E1953" s="15"/>
      <c r="F1953" s="28"/>
      <c r="G1953" s="25" t="str">
        <f aca="true">IF(OR(D1953="",E1953=""),"",IFERROR(D1953*INDEX(UnidadesFactor,MATCH(E1953,Unidades,0)),""))</f>
        <v/>
      </c>
      <c r="H1953" s="17" t="str">
        <f aca="false">IF(I1953&lt;&gt;"OK","",IF(G1953=0,"",F1953/G1953))</f>
        <v/>
      </c>
      <c r="I1953" s="20" t="str">
        <f aca="true">IF(B1953="","",IF(ISNA(MATCH(B1953,ListaInsumos,0)),"Insumo no está en Insumos",IF(OR(D1953="",E1953="",F1953=""),"Faltan datos",IF(INDEX(UnidadesBase,MATCH(E1953,Unidades,0))&lt;&gt;INDEX(InsBase,MATCH(B1953,ListaInsumos,0)),"Unidad incompatible",IF(A1953="","Falta fecha","OK")))))</f>
        <v/>
      </c>
      <c r="J1953" s="15"/>
    </row>
    <row r="1954" customFormat="false" ht="15" hidden="false" customHeight="false" outlineLevel="0" collapsed="false">
      <c r="A1954" s="26"/>
      <c r="B1954" s="15"/>
      <c r="C1954" s="15"/>
      <c r="D1954" s="27"/>
      <c r="E1954" s="15"/>
      <c r="F1954" s="28"/>
      <c r="G1954" s="25" t="str">
        <f aca="true">IF(OR(D1954="",E1954=""),"",IFERROR(D1954*INDEX(UnidadesFactor,MATCH(E1954,Unidades,0)),""))</f>
        <v/>
      </c>
      <c r="H1954" s="17" t="str">
        <f aca="false">IF(I1954&lt;&gt;"OK","",IF(G1954=0,"",F1954/G1954))</f>
        <v/>
      </c>
      <c r="I1954" s="20" t="str">
        <f aca="true">IF(B1954="","",IF(ISNA(MATCH(B1954,ListaInsumos,0)),"Insumo no está en Insumos",IF(OR(D1954="",E1954="",F1954=""),"Faltan datos",IF(INDEX(UnidadesBase,MATCH(E1954,Unidades,0))&lt;&gt;INDEX(InsBase,MATCH(B1954,ListaInsumos,0)),"Unidad incompatible",IF(A1954="","Falta fecha","OK")))))</f>
        <v/>
      </c>
      <c r="J1954" s="15"/>
    </row>
    <row r="1955" customFormat="false" ht="15" hidden="false" customHeight="false" outlineLevel="0" collapsed="false">
      <c r="A1955" s="26"/>
      <c r="B1955" s="15"/>
      <c r="C1955" s="15"/>
      <c r="D1955" s="27"/>
      <c r="E1955" s="15"/>
      <c r="F1955" s="28"/>
      <c r="G1955" s="25" t="str">
        <f aca="true">IF(OR(D1955="",E1955=""),"",IFERROR(D1955*INDEX(UnidadesFactor,MATCH(E1955,Unidades,0)),""))</f>
        <v/>
      </c>
      <c r="H1955" s="17" t="str">
        <f aca="false">IF(I1955&lt;&gt;"OK","",IF(G1955=0,"",F1955/G1955))</f>
        <v/>
      </c>
      <c r="I1955" s="20" t="str">
        <f aca="true">IF(B1955="","",IF(ISNA(MATCH(B1955,ListaInsumos,0)),"Insumo no está en Insumos",IF(OR(D1955="",E1955="",F1955=""),"Faltan datos",IF(INDEX(UnidadesBase,MATCH(E1955,Unidades,0))&lt;&gt;INDEX(InsBase,MATCH(B1955,ListaInsumos,0)),"Unidad incompatible",IF(A1955="","Falta fecha","OK")))))</f>
        <v/>
      </c>
      <c r="J1955" s="15"/>
    </row>
    <row r="1956" customFormat="false" ht="15" hidden="false" customHeight="false" outlineLevel="0" collapsed="false">
      <c r="A1956" s="26"/>
      <c r="B1956" s="15"/>
      <c r="C1956" s="15"/>
      <c r="D1956" s="27"/>
      <c r="E1956" s="15"/>
      <c r="F1956" s="28"/>
      <c r="G1956" s="25" t="str">
        <f aca="true">IF(OR(D1956="",E1956=""),"",IFERROR(D1956*INDEX(UnidadesFactor,MATCH(E1956,Unidades,0)),""))</f>
        <v/>
      </c>
      <c r="H1956" s="17" t="str">
        <f aca="false">IF(I1956&lt;&gt;"OK","",IF(G1956=0,"",F1956/G1956))</f>
        <v/>
      </c>
      <c r="I1956" s="20" t="str">
        <f aca="true">IF(B1956="","",IF(ISNA(MATCH(B1956,ListaInsumos,0)),"Insumo no está en Insumos",IF(OR(D1956="",E1956="",F1956=""),"Faltan datos",IF(INDEX(UnidadesBase,MATCH(E1956,Unidades,0))&lt;&gt;INDEX(InsBase,MATCH(B1956,ListaInsumos,0)),"Unidad incompatible",IF(A1956="","Falta fecha","OK")))))</f>
        <v/>
      </c>
      <c r="J1956" s="15"/>
    </row>
    <row r="1957" customFormat="false" ht="15" hidden="false" customHeight="false" outlineLevel="0" collapsed="false">
      <c r="A1957" s="26"/>
      <c r="B1957" s="15"/>
      <c r="C1957" s="15"/>
      <c r="D1957" s="27"/>
      <c r="E1957" s="15"/>
      <c r="F1957" s="28"/>
      <c r="G1957" s="25" t="str">
        <f aca="true">IF(OR(D1957="",E1957=""),"",IFERROR(D1957*INDEX(UnidadesFactor,MATCH(E1957,Unidades,0)),""))</f>
        <v/>
      </c>
      <c r="H1957" s="17" t="str">
        <f aca="false">IF(I1957&lt;&gt;"OK","",IF(G1957=0,"",F1957/G1957))</f>
        <v/>
      </c>
      <c r="I1957" s="20" t="str">
        <f aca="true">IF(B1957="","",IF(ISNA(MATCH(B1957,ListaInsumos,0)),"Insumo no está en Insumos",IF(OR(D1957="",E1957="",F1957=""),"Faltan datos",IF(INDEX(UnidadesBase,MATCH(E1957,Unidades,0))&lt;&gt;INDEX(InsBase,MATCH(B1957,ListaInsumos,0)),"Unidad incompatible",IF(A1957="","Falta fecha","OK")))))</f>
        <v/>
      </c>
      <c r="J1957" s="15"/>
    </row>
    <row r="1958" customFormat="false" ht="15" hidden="false" customHeight="false" outlineLevel="0" collapsed="false">
      <c r="A1958" s="26"/>
      <c r="B1958" s="15"/>
      <c r="C1958" s="15"/>
      <c r="D1958" s="27"/>
      <c r="E1958" s="15"/>
      <c r="F1958" s="28"/>
      <c r="G1958" s="25" t="str">
        <f aca="true">IF(OR(D1958="",E1958=""),"",IFERROR(D1958*INDEX(UnidadesFactor,MATCH(E1958,Unidades,0)),""))</f>
        <v/>
      </c>
      <c r="H1958" s="17" t="str">
        <f aca="false">IF(I1958&lt;&gt;"OK","",IF(G1958=0,"",F1958/G1958))</f>
        <v/>
      </c>
      <c r="I1958" s="20" t="str">
        <f aca="true">IF(B1958="","",IF(ISNA(MATCH(B1958,ListaInsumos,0)),"Insumo no está en Insumos",IF(OR(D1958="",E1958="",F1958=""),"Faltan datos",IF(INDEX(UnidadesBase,MATCH(E1958,Unidades,0))&lt;&gt;INDEX(InsBase,MATCH(B1958,ListaInsumos,0)),"Unidad incompatible",IF(A1958="","Falta fecha","OK")))))</f>
        <v/>
      </c>
      <c r="J1958" s="15"/>
    </row>
    <row r="1959" customFormat="false" ht="15" hidden="false" customHeight="false" outlineLevel="0" collapsed="false">
      <c r="A1959" s="26"/>
      <c r="B1959" s="15"/>
      <c r="C1959" s="15"/>
      <c r="D1959" s="27"/>
      <c r="E1959" s="15"/>
      <c r="F1959" s="28"/>
      <c r="G1959" s="25" t="str">
        <f aca="true">IF(OR(D1959="",E1959=""),"",IFERROR(D1959*INDEX(UnidadesFactor,MATCH(E1959,Unidades,0)),""))</f>
        <v/>
      </c>
      <c r="H1959" s="17" t="str">
        <f aca="false">IF(I1959&lt;&gt;"OK","",IF(G1959=0,"",F1959/G1959))</f>
        <v/>
      </c>
      <c r="I1959" s="20" t="str">
        <f aca="true">IF(B1959="","",IF(ISNA(MATCH(B1959,ListaInsumos,0)),"Insumo no está en Insumos",IF(OR(D1959="",E1959="",F1959=""),"Faltan datos",IF(INDEX(UnidadesBase,MATCH(E1959,Unidades,0))&lt;&gt;INDEX(InsBase,MATCH(B1959,ListaInsumos,0)),"Unidad incompatible",IF(A1959="","Falta fecha","OK")))))</f>
        <v/>
      </c>
      <c r="J1959" s="15"/>
    </row>
    <row r="1960" customFormat="false" ht="15" hidden="false" customHeight="false" outlineLevel="0" collapsed="false">
      <c r="A1960" s="26"/>
      <c r="B1960" s="15"/>
      <c r="C1960" s="15"/>
      <c r="D1960" s="27"/>
      <c r="E1960" s="15"/>
      <c r="F1960" s="28"/>
      <c r="G1960" s="25" t="str">
        <f aca="true">IF(OR(D1960="",E1960=""),"",IFERROR(D1960*INDEX(UnidadesFactor,MATCH(E1960,Unidades,0)),""))</f>
        <v/>
      </c>
      <c r="H1960" s="17" t="str">
        <f aca="false">IF(I1960&lt;&gt;"OK","",IF(G1960=0,"",F1960/G1960))</f>
        <v/>
      </c>
      <c r="I1960" s="20" t="str">
        <f aca="true">IF(B1960="","",IF(ISNA(MATCH(B1960,ListaInsumos,0)),"Insumo no está en Insumos",IF(OR(D1960="",E1960="",F1960=""),"Faltan datos",IF(INDEX(UnidadesBase,MATCH(E1960,Unidades,0))&lt;&gt;INDEX(InsBase,MATCH(B1960,ListaInsumos,0)),"Unidad incompatible",IF(A1960="","Falta fecha","OK")))))</f>
        <v/>
      </c>
      <c r="J1960" s="15"/>
    </row>
    <row r="1961" customFormat="false" ht="15" hidden="false" customHeight="false" outlineLevel="0" collapsed="false">
      <c r="A1961" s="26"/>
      <c r="B1961" s="15"/>
      <c r="C1961" s="15"/>
      <c r="D1961" s="27"/>
      <c r="E1961" s="15"/>
      <c r="F1961" s="28"/>
      <c r="G1961" s="25" t="str">
        <f aca="true">IF(OR(D1961="",E1961=""),"",IFERROR(D1961*INDEX(UnidadesFactor,MATCH(E1961,Unidades,0)),""))</f>
        <v/>
      </c>
      <c r="H1961" s="17" t="str">
        <f aca="false">IF(I1961&lt;&gt;"OK","",IF(G1961=0,"",F1961/G1961))</f>
        <v/>
      </c>
      <c r="I1961" s="20" t="str">
        <f aca="true">IF(B1961="","",IF(ISNA(MATCH(B1961,ListaInsumos,0)),"Insumo no está en Insumos",IF(OR(D1961="",E1961="",F1961=""),"Faltan datos",IF(INDEX(UnidadesBase,MATCH(E1961,Unidades,0))&lt;&gt;INDEX(InsBase,MATCH(B1961,ListaInsumos,0)),"Unidad incompatible",IF(A1961="","Falta fecha","OK")))))</f>
        <v/>
      </c>
      <c r="J1961" s="15"/>
    </row>
    <row r="1962" customFormat="false" ht="15" hidden="false" customHeight="false" outlineLevel="0" collapsed="false">
      <c r="A1962" s="26"/>
      <c r="B1962" s="15"/>
      <c r="C1962" s="15"/>
      <c r="D1962" s="27"/>
      <c r="E1962" s="15"/>
      <c r="F1962" s="28"/>
      <c r="G1962" s="25" t="str">
        <f aca="true">IF(OR(D1962="",E1962=""),"",IFERROR(D1962*INDEX(UnidadesFactor,MATCH(E1962,Unidades,0)),""))</f>
        <v/>
      </c>
      <c r="H1962" s="17" t="str">
        <f aca="false">IF(I1962&lt;&gt;"OK","",IF(G1962=0,"",F1962/G1962))</f>
        <v/>
      </c>
      <c r="I1962" s="20" t="str">
        <f aca="true">IF(B1962="","",IF(ISNA(MATCH(B1962,ListaInsumos,0)),"Insumo no está en Insumos",IF(OR(D1962="",E1962="",F1962=""),"Faltan datos",IF(INDEX(UnidadesBase,MATCH(E1962,Unidades,0))&lt;&gt;INDEX(InsBase,MATCH(B1962,ListaInsumos,0)),"Unidad incompatible",IF(A1962="","Falta fecha","OK")))))</f>
        <v/>
      </c>
      <c r="J1962" s="15"/>
    </row>
    <row r="1963" customFormat="false" ht="15" hidden="false" customHeight="false" outlineLevel="0" collapsed="false">
      <c r="A1963" s="26"/>
      <c r="B1963" s="15"/>
      <c r="C1963" s="15"/>
      <c r="D1963" s="27"/>
      <c r="E1963" s="15"/>
      <c r="F1963" s="28"/>
      <c r="G1963" s="25" t="str">
        <f aca="true">IF(OR(D1963="",E1963=""),"",IFERROR(D1963*INDEX(UnidadesFactor,MATCH(E1963,Unidades,0)),""))</f>
        <v/>
      </c>
      <c r="H1963" s="17" t="str">
        <f aca="false">IF(I1963&lt;&gt;"OK","",IF(G1963=0,"",F1963/G1963))</f>
        <v/>
      </c>
      <c r="I1963" s="20" t="str">
        <f aca="true">IF(B1963="","",IF(ISNA(MATCH(B1963,ListaInsumos,0)),"Insumo no está en Insumos",IF(OR(D1963="",E1963="",F1963=""),"Faltan datos",IF(INDEX(UnidadesBase,MATCH(E1963,Unidades,0))&lt;&gt;INDEX(InsBase,MATCH(B1963,ListaInsumos,0)),"Unidad incompatible",IF(A1963="","Falta fecha","OK")))))</f>
        <v/>
      </c>
      <c r="J1963" s="15"/>
    </row>
    <row r="1964" customFormat="false" ht="15" hidden="false" customHeight="false" outlineLevel="0" collapsed="false">
      <c r="A1964" s="26"/>
      <c r="B1964" s="15"/>
      <c r="C1964" s="15"/>
      <c r="D1964" s="27"/>
      <c r="E1964" s="15"/>
      <c r="F1964" s="28"/>
      <c r="G1964" s="25" t="str">
        <f aca="true">IF(OR(D1964="",E1964=""),"",IFERROR(D1964*INDEX(UnidadesFactor,MATCH(E1964,Unidades,0)),""))</f>
        <v/>
      </c>
      <c r="H1964" s="17" t="str">
        <f aca="false">IF(I1964&lt;&gt;"OK","",IF(G1964=0,"",F1964/G1964))</f>
        <v/>
      </c>
      <c r="I1964" s="20" t="str">
        <f aca="true">IF(B1964="","",IF(ISNA(MATCH(B1964,ListaInsumos,0)),"Insumo no está en Insumos",IF(OR(D1964="",E1964="",F1964=""),"Faltan datos",IF(INDEX(UnidadesBase,MATCH(E1964,Unidades,0))&lt;&gt;INDEX(InsBase,MATCH(B1964,ListaInsumos,0)),"Unidad incompatible",IF(A1964="","Falta fecha","OK")))))</f>
        <v/>
      </c>
      <c r="J1964" s="15"/>
    </row>
    <row r="1965" customFormat="false" ht="15" hidden="false" customHeight="false" outlineLevel="0" collapsed="false">
      <c r="A1965" s="26"/>
      <c r="B1965" s="15"/>
      <c r="C1965" s="15"/>
      <c r="D1965" s="27"/>
      <c r="E1965" s="15"/>
      <c r="F1965" s="28"/>
      <c r="G1965" s="25" t="str">
        <f aca="true">IF(OR(D1965="",E1965=""),"",IFERROR(D1965*INDEX(UnidadesFactor,MATCH(E1965,Unidades,0)),""))</f>
        <v/>
      </c>
      <c r="H1965" s="17" t="str">
        <f aca="false">IF(I1965&lt;&gt;"OK","",IF(G1965=0,"",F1965/G1965))</f>
        <v/>
      </c>
      <c r="I1965" s="20" t="str">
        <f aca="true">IF(B1965="","",IF(ISNA(MATCH(B1965,ListaInsumos,0)),"Insumo no está en Insumos",IF(OR(D1965="",E1965="",F1965=""),"Faltan datos",IF(INDEX(UnidadesBase,MATCH(E1965,Unidades,0))&lt;&gt;INDEX(InsBase,MATCH(B1965,ListaInsumos,0)),"Unidad incompatible",IF(A1965="","Falta fecha","OK")))))</f>
        <v/>
      </c>
      <c r="J1965" s="15"/>
    </row>
    <row r="1966" customFormat="false" ht="15" hidden="false" customHeight="false" outlineLevel="0" collapsed="false">
      <c r="A1966" s="26"/>
      <c r="B1966" s="15"/>
      <c r="C1966" s="15"/>
      <c r="D1966" s="27"/>
      <c r="E1966" s="15"/>
      <c r="F1966" s="28"/>
      <c r="G1966" s="25" t="str">
        <f aca="true">IF(OR(D1966="",E1966=""),"",IFERROR(D1966*INDEX(UnidadesFactor,MATCH(E1966,Unidades,0)),""))</f>
        <v/>
      </c>
      <c r="H1966" s="17" t="str">
        <f aca="false">IF(I1966&lt;&gt;"OK","",IF(G1966=0,"",F1966/G1966))</f>
        <v/>
      </c>
      <c r="I1966" s="20" t="str">
        <f aca="true">IF(B1966="","",IF(ISNA(MATCH(B1966,ListaInsumos,0)),"Insumo no está en Insumos",IF(OR(D1966="",E1966="",F1966=""),"Faltan datos",IF(INDEX(UnidadesBase,MATCH(E1966,Unidades,0))&lt;&gt;INDEX(InsBase,MATCH(B1966,ListaInsumos,0)),"Unidad incompatible",IF(A1966="","Falta fecha","OK")))))</f>
        <v/>
      </c>
      <c r="J1966" s="15"/>
    </row>
    <row r="1967" customFormat="false" ht="15" hidden="false" customHeight="false" outlineLevel="0" collapsed="false">
      <c r="A1967" s="26"/>
      <c r="B1967" s="15"/>
      <c r="C1967" s="15"/>
      <c r="D1967" s="27"/>
      <c r="E1967" s="15"/>
      <c r="F1967" s="28"/>
      <c r="G1967" s="25" t="str">
        <f aca="true">IF(OR(D1967="",E1967=""),"",IFERROR(D1967*INDEX(UnidadesFactor,MATCH(E1967,Unidades,0)),""))</f>
        <v/>
      </c>
      <c r="H1967" s="17" t="str">
        <f aca="false">IF(I1967&lt;&gt;"OK","",IF(G1967=0,"",F1967/G1967))</f>
        <v/>
      </c>
      <c r="I1967" s="20" t="str">
        <f aca="true">IF(B1967="","",IF(ISNA(MATCH(B1967,ListaInsumos,0)),"Insumo no está en Insumos",IF(OR(D1967="",E1967="",F1967=""),"Faltan datos",IF(INDEX(UnidadesBase,MATCH(E1967,Unidades,0))&lt;&gt;INDEX(InsBase,MATCH(B1967,ListaInsumos,0)),"Unidad incompatible",IF(A1967="","Falta fecha","OK")))))</f>
        <v/>
      </c>
      <c r="J1967" s="15"/>
    </row>
    <row r="1968" customFormat="false" ht="15" hidden="false" customHeight="false" outlineLevel="0" collapsed="false">
      <c r="A1968" s="26"/>
      <c r="B1968" s="15"/>
      <c r="C1968" s="15"/>
      <c r="D1968" s="27"/>
      <c r="E1968" s="15"/>
      <c r="F1968" s="28"/>
      <c r="G1968" s="25" t="str">
        <f aca="true">IF(OR(D1968="",E1968=""),"",IFERROR(D1968*INDEX(UnidadesFactor,MATCH(E1968,Unidades,0)),""))</f>
        <v/>
      </c>
      <c r="H1968" s="17" t="str">
        <f aca="false">IF(I1968&lt;&gt;"OK","",IF(G1968=0,"",F1968/G1968))</f>
        <v/>
      </c>
      <c r="I1968" s="20" t="str">
        <f aca="true">IF(B1968="","",IF(ISNA(MATCH(B1968,ListaInsumos,0)),"Insumo no está en Insumos",IF(OR(D1968="",E1968="",F1968=""),"Faltan datos",IF(INDEX(UnidadesBase,MATCH(E1968,Unidades,0))&lt;&gt;INDEX(InsBase,MATCH(B1968,ListaInsumos,0)),"Unidad incompatible",IF(A1968="","Falta fecha","OK")))))</f>
        <v/>
      </c>
      <c r="J1968" s="15"/>
    </row>
    <row r="1969" customFormat="false" ht="15" hidden="false" customHeight="false" outlineLevel="0" collapsed="false">
      <c r="A1969" s="26"/>
      <c r="B1969" s="15"/>
      <c r="C1969" s="15"/>
      <c r="D1969" s="27"/>
      <c r="E1969" s="15"/>
      <c r="F1969" s="28"/>
      <c r="G1969" s="25" t="str">
        <f aca="true">IF(OR(D1969="",E1969=""),"",IFERROR(D1969*INDEX(UnidadesFactor,MATCH(E1969,Unidades,0)),""))</f>
        <v/>
      </c>
      <c r="H1969" s="17" t="str">
        <f aca="false">IF(I1969&lt;&gt;"OK","",IF(G1969=0,"",F1969/G1969))</f>
        <v/>
      </c>
      <c r="I1969" s="20" t="str">
        <f aca="true">IF(B1969="","",IF(ISNA(MATCH(B1969,ListaInsumos,0)),"Insumo no está en Insumos",IF(OR(D1969="",E1969="",F1969=""),"Faltan datos",IF(INDEX(UnidadesBase,MATCH(E1969,Unidades,0))&lt;&gt;INDEX(InsBase,MATCH(B1969,ListaInsumos,0)),"Unidad incompatible",IF(A1969="","Falta fecha","OK")))))</f>
        <v/>
      </c>
      <c r="J1969" s="15"/>
    </row>
    <row r="1970" customFormat="false" ht="15" hidden="false" customHeight="false" outlineLevel="0" collapsed="false">
      <c r="A1970" s="26"/>
      <c r="B1970" s="15"/>
      <c r="C1970" s="15"/>
      <c r="D1970" s="27"/>
      <c r="E1970" s="15"/>
      <c r="F1970" s="28"/>
      <c r="G1970" s="25" t="str">
        <f aca="true">IF(OR(D1970="",E1970=""),"",IFERROR(D1970*INDEX(UnidadesFactor,MATCH(E1970,Unidades,0)),""))</f>
        <v/>
      </c>
      <c r="H1970" s="17" t="str">
        <f aca="false">IF(I1970&lt;&gt;"OK","",IF(G1970=0,"",F1970/G1970))</f>
        <v/>
      </c>
      <c r="I1970" s="20" t="str">
        <f aca="true">IF(B1970="","",IF(ISNA(MATCH(B1970,ListaInsumos,0)),"Insumo no está en Insumos",IF(OR(D1970="",E1970="",F1970=""),"Faltan datos",IF(INDEX(UnidadesBase,MATCH(E1970,Unidades,0))&lt;&gt;INDEX(InsBase,MATCH(B1970,ListaInsumos,0)),"Unidad incompatible",IF(A1970="","Falta fecha","OK")))))</f>
        <v/>
      </c>
      <c r="J1970" s="15"/>
    </row>
    <row r="1971" customFormat="false" ht="15" hidden="false" customHeight="false" outlineLevel="0" collapsed="false">
      <c r="A1971" s="26"/>
      <c r="B1971" s="15"/>
      <c r="C1971" s="15"/>
      <c r="D1971" s="27"/>
      <c r="E1971" s="15"/>
      <c r="F1971" s="28"/>
      <c r="G1971" s="25" t="str">
        <f aca="true">IF(OR(D1971="",E1971=""),"",IFERROR(D1971*INDEX(UnidadesFactor,MATCH(E1971,Unidades,0)),""))</f>
        <v/>
      </c>
      <c r="H1971" s="17" t="str">
        <f aca="false">IF(I1971&lt;&gt;"OK","",IF(G1971=0,"",F1971/G1971))</f>
        <v/>
      </c>
      <c r="I1971" s="20" t="str">
        <f aca="true">IF(B1971="","",IF(ISNA(MATCH(B1971,ListaInsumos,0)),"Insumo no está en Insumos",IF(OR(D1971="",E1971="",F1971=""),"Faltan datos",IF(INDEX(UnidadesBase,MATCH(E1971,Unidades,0))&lt;&gt;INDEX(InsBase,MATCH(B1971,ListaInsumos,0)),"Unidad incompatible",IF(A1971="","Falta fecha","OK")))))</f>
        <v/>
      </c>
      <c r="J1971" s="15"/>
    </row>
    <row r="1972" customFormat="false" ht="15" hidden="false" customHeight="false" outlineLevel="0" collapsed="false">
      <c r="A1972" s="26"/>
      <c r="B1972" s="15"/>
      <c r="C1972" s="15"/>
      <c r="D1972" s="27"/>
      <c r="E1972" s="15"/>
      <c r="F1972" s="28"/>
      <c r="G1972" s="25" t="str">
        <f aca="true">IF(OR(D1972="",E1972=""),"",IFERROR(D1972*INDEX(UnidadesFactor,MATCH(E1972,Unidades,0)),""))</f>
        <v/>
      </c>
      <c r="H1972" s="17" t="str">
        <f aca="false">IF(I1972&lt;&gt;"OK","",IF(G1972=0,"",F1972/G1972))</f>
        <v/>
      </c>
      <c r="I1972" s="20" t="str">
        <f aca="true">IF(B1972="","",IF(ISNA(MATCH(B1972,ListaInsumos,0)),"Insumo no está en Insumos",IF(OR(D1972="",E1972="",F1972=""),"Faltan datos",IF(INDEX(UnidadesBase,MATCH(E1972,Unidades,0))&lt;&gt;INDEX(InsBase,MATCH(B1972,ListaInsumos,0)),"Unidad incompatible",IF(A1972="","Falta fecha","OK")))))</f>
        <v/>
      </c>
      <c r="J1972" s="15"/>
    </row>
    <row r="1973" customFormat="false" ht="15" hidden="false" customHeight="false" outlineLevel="0" collapsed="false">
      <c r="A1973" s="26"/>
      <c r="B1973" s="15"/>
      <c r="C1973" s="15"/>
      <c r="D1973" s="27"/>
      <c r="E1973" s="15"/>
      <c r="F1973" s="28"/>
      <c r="G1973" s="25" t="str">
        <f aca="true">IF(OR(D1973="",E1973=""),"",IFERROR(D1973*INDEX(UnidadesFactor,MATCH(E1973,Unidades,0)),""))</f>
        <v/>
      </c>
      <c r="H1973" s="17" t="str">
        <f aca="false">IF(I1973&lt;&gt;"OK","",IF(G1973=0,"",F1973/G1973))</f>
        <v/>
      </c>
      <c r="I1973" s="20" t="str">
        <f aca="true">IF(B1973="","",IF(ISNA(MATCH(B1973,ListaInsumos,0)),"Insumo no está en Insumos",IF(OR(D1973="",E1973="",F1973=""),"Faltan datos",IF(INDEX(UnidadesBase,MATCH(E1973,Unidades,0))&lt;&gt;INDEX(InsBase,MATCH(B1973,ListaInsumos,0)),"Unidad incompatible",IF(A1973="","Falta fecha","OK")))))</f>
        <v/>
      </c>
      <c r="J1973" s="15"/>
    </row>
    <row r="1974" customFormat="false" ht="15" hidden="false" customHeight="false" outlineLevel="0" collapsed="false">
      <c r="A1974" s="26"/>
      <c r="B1974" s="15"/>
      <c r="C1974" s="15"/>
      <c r="D1974" s="27"/>
      <c r="E1974" s="15"/>
      <c r="F1974" s="28"/>
      <c r="G1974" s="25" t="str">
        <f aca="true">IF(OR(D1974="",E1974=""),"",IFERROR(D1974*INDEX(UnidadesFactor,MATCH(E1974,Unidades,0)),""))</f>
        <v/>
      </c>
      <c r="H1974" s="17" t="str">
        <f aca="false">IF(I1974&lt;&gt;"OK","",IF(G1974=0,"",F1974/G1974))</f>
        <v/>
      </c>
      <c r="I1974" s="20" t="str">
        <f aca="true">IF(B1974="","",IF(ISNA(MATCH(B1974,ListaInsumos,0)),"Insumo no está en Insumos",IF(OR(D1974="",E1974="",F1974=""),"Faltan datos",IF(INDEX(UnidadesBase,MATCH(E1974,Unidades,0))&lt;&gt;INDEX(InsBase,MATCH(B1974,ListaInsumos,0)),"Unidad incompatible",IF(A1974="","Falta fecha","OK")))))</f>
        <v/>
      </c>
      <c r="J1974" s="15"/>
    </row>
    <row r="1975" customFormat="false" ht="15" hidden="false" customHeight="false" outlineLevel="0" collapsed="false">
      <c r="A1975" s="26"/>
      <c r="B1975" s="15"/>
      <c r="C1975" s="15"/>
      <c r="D1975" s="27"/>
      <c r="E1975" s="15"/>
      <c r="F1975" s="28"/>
      <c r="G1975" s="25" t="str">
        <f aca="true">IF(OR(D1975="",E1975=""),"",IFERROR(D1975*INDEX(UnidadesFactor,MATCH(E1975,Unidades,0)),""))</f>
        <v/>
      </c>
      <c r="H1975" s="17" t="str">
        <f aca="false">IF(I1975&lt;&gt;"OK","",IF(G1975=0,"",F1975/G1975))</f>
        <v/>
      </c>
      <c r="I1975" s="20" t="str">
        <f aca="true">IF(B1975="","",IF(ISNA(MATCH(B1975,ListaInsumos,0)),"Insumo no está en Insumos",IF(OR(D1975="",E1975="",F1975=""),"Faltan datos",IF(INDEX(UnidadesBase,MATCH(E1975,Unidades,0))&lt;&gt;INDEX(InsBase,MATCH(B1975,ListaInsumos,0)),"Unidad incompatible",IF(A1975="","Falta fecha","OK")))))</f>
        <v/>
      </c>
      <c r="J1975" s="15"/>
    </row>
    <row r="1976" customFormat="false" ht="15" hidden="false" customHeight="false" outlineLevel="0" collapsed="false">
      <c r="A1976" s="26"/>
      <c r="B1976" s="15"/>
      <c r="C1976" s="15"/>
      <c r="D1976" s="27"/>
      <c r="E1976" s="15"/>
      <c r="F1976" s="28"/>
      <c r="G1976" s="25" t="str">
        <f aca="true">IF(OR(D1976="",E1976=""),"",IFERROR(D1976*INDEX(UnidadesFactor,MATCH(E1976,Unidades,0)),""))</f>
        <v/>
      </c>
      <c r="H1976" s="17" t="str">
        <f aca="false">IF(I1976&lt;&gt;"OK","",IF(G1976=0,"",F1976/G1976))</f>
        <v/>
      </c>
      <c r="I1976" s="20" t="str">
        <f aca="true">IF(B1976="","",IF(ISNA(MATCH(B1976,ListaInsumos,0)),"Insumo no está en Insumos",IF(OR(D1976="",E1976="",F1976=""),"Faltan datos",IF(INDEX(UnidadesBase,MATCH(E1976,Unidades,0))&lt;&gt;INDEX(InsBase,MATCH(B1976,ListaInsumos,0)),"Unidad incompatible",IF(A1976="","Falta fecha","OK")))))</f>
        <v/>
      </c>
      <c r="J1976" s="15"/>
    </row>
    <row r="1977" customFormat="false" ht="15" hidden="false" customHeight="false" outlineLevel="0" collapsed="false">
      <c r="A1977" s="26"/>
      <c r="B1977" s="15"/>
      <c r="C1977" s="15"/>
      <c r="D1977" s="27"/>
      <c r="E1977" s="15"/>
      <c r="F1977" s="28"/>
      <c r="G1977" s="25" t="str">
        <f aca="true">IF(OR(D1977="",E1977=""),"",IFERROR(D1977*INDEX(UnidadesFactor,MATCH(E1977,Unidades,0)),""))</f>
        <v/>
      </c>
      <c r="H1977" s="17" t="str">
        <f aca="false">IF(I1977&lt;&gt;"OK","",IF(G1977=0,"",F1977/G1977))</f>
        <v/>
      </c>
      <c r="I1977" s="20" t="str">
        <f aca="true">IF(B1977="","",IF(ISNA(MATCH(B1977,ListaInsumos,0)),"Insumo no está en Insumos",IF(OR(D1977="",E1977="",F1977=""),"Faltan datos",IF(INDEX(UnidadesBase,MATCH(E1977,Unidades,0))&lt;&gt;INDEX(InsBase,MATCH(B1977,ListaInsumos,0)),"Unidad incompatible",IF(A1977="","Falta fecha","OK")))))</f>
        <v/>
      </c>
      <c r="J1977" s="15"/>
    </row>
    <row r="1978" customFormat="false" ht="15" hidden="false" customHeight="false" outlineLevel="0" collapsed="false">
      <c r="A1978" s="26"/>
      <c r="B1978" s="15"/>
      <c r="C1978" s="15"/>
      <c r="D1978" s="27"/>
      <c r="E1978" s="15"/>
      <c r="F1978" s="28"/>
      <c r="G1978" s="25" t="str">
        <f aca="true">IF(OR(D1978="",E1978=""),"",IFERROR(D1978*INDEX(UnidadesFactor,MATCH(E1978,Unidades,0)),""))</f>
        <v/>
      </c>
      <c r="H1978" s="17" t="str">
        <f aca="false">IF(I1978&lt;&gt;"OK","",IF(G1978=0,"",F1978/G1978))</f>
        <v/>
      </c>
      <c r="I1978" s="20" t="str">
        <f aca="true">IF(B1978="","",IF(ISNA(MATCH(B1978,ListaInsumos,0)),"Insumo no está en Insumos",IF(OR(D1978="",E1978="",F1978=""),"Faltan datos",IF(INDEX(UnidadesBase,MATCH(E1978,Unidades,0))&lt;&gt;INDEX(InsBase,MATCH(B1978,ListaInsumos,0)),"Unidad incompatible",IF(A1978="","Falta fecha","OK")))))</f>
        <v/>
      </c>
      <c r="J1978" s="15"/>
    </row>
    <row r="1979" customFormat="false" ht="15" hidden="false" customHeight="false" outlineLevel="0" collapsed="false">
      <c r="A1979" s="26"/>
      <c r="B1979" s="15"/>
      <c r="C1979" s="15"/>
      <c r="D1979" s="27"/>
      <c r="E1979" s="15"/>
      <c r="F1979" s="28"/>
      <c r="G1979" s="25" t="str">
        <f aca="true">IF(OR(D1979="",E1979=""),"",IFERROR(D1979*INDEX(UnidadesFactor,MATCH(E1979,Unidades,0)),""))</f>
        <v/>
      </c>
      <c r="H1979" s="17" t="str">
        <f aca="false">IF(I1979&lt;&gt;"OK","",IF(G1979=0,"",F1979/G1979))</f>
        <v/>
      </c>
      <c r="I1979" s="20" t="str">
        <f aca="true">IF(B1979="","",IF(ISNA(MATCH(B1979,ListaInsumos,0)),"Insumo no está en Insumos",IF(OR(D1979="",E1979="",F1979=""),"Faltan datos",IF(INDEX(UnidadesBase,MATCH(E1979,Unidades,0))&lt;&gt;INDEX(InsBase,MATCH(B1979,ListaInsumos,0)),"Unidad incompatible",IF(A1979="","Falta fecha","OK")))))</f>
        <v/>
      </c>
      <c r="J1979" s="15"/>
    </row>
    <row r="1980" customFormat="false" ht="15" hidden="false" customHeight="false" outlineLevel="0" collapsed="false">
      <c r="A1980" s="26"/>
      <c r="B1980" s="15"/>
      <c r="C1980" s="15"/>
      <c r="D1980" s="27"/>
      <c r="E1980" s="15"/>
      <c r="F1980" s="28"/>
      <c r="G1980" s="25" t="str">
        <f aca="true">IF(OR(D1980="",E1980=""),"",IFERROR(D1980*INDEX(UnidadesFactor,MATCH(E1980,Unidades,0)),""))</f>
        <v/>
      </c>
      <c r="H1980" s="17" t="str">
        <f aca="false">IF(I1980&lt;&gt;"OK","",IF(G1980=0,"",F1980/G1980))</f>
        <v/>
      </c>
      <c r="I1980" s="20" t="str">
        <f aca="true">IF(B1980="","",IF(ISNA(MATCH(B1980,ListaInsumos,0)),"Insumo no está en Insumos",IF(OR(D1980="",E1980="",F1980=""),"Faltan datos",IF(INDEX(UnidadesBase,MATCH(E1980,Unidades,0))&lt;&gt;INDEX(InsBase,MATCH(B1980,ListaInsumos,0)),"Unidad incompatible",IF(A1980="","Falta fecha","OK")))))</f>
        <v/>
      </c>
      <c r="J1980" s="15"/>
    </row>
    <row r="1981" customFormat="false" ht="15" hidden="false" customHeight="false" outlineLevel="0" collapsed="false">
      <c r="A1981" s="26"/>
      <c r="B1981" s="15"/>
      <c r="C1981" s="15"/>
      <c r="D1981" s="27"/>
      <c r="E1981" s="15"/>
      <c r="F1981" s="28"/>
      <c r="G1981" s="25" t="str">
        <f aca="true">IF(OR(D1981="",E1981=""),"",IFERROR(D1981*INDEX(UnidadesFactor,MATCH(E1981,Unidades,0)),""))</f>
        <v/>
      </c>
      <c r="H1981" s="17" t="str">
        <f aca="false">IF(I1981&lt;&gt;"OK","",IF(G1981=0,"",F1981/G1981))</f>
        <v/>
      </c>
      <c r="I1981" s="20" t="str">
        <f aca="true">IF(B1981="","",IF(ISNA(MATCH(B1981,ListaInsumos,0)),"Insumo no está en Insumos",IF(OR(D1981="",E1981="",F1981=""),"Faltan datos",IF(INDEX(UnidadesBase,MATCH(E1981,Unidades,0))&lt;&gt;INDEX(InsBase,MATCH(B1981,ListaInsumos,0)),"Unidad incompatible",IF(A1981="","Falta fecha","OK")))))</f>
        <v/>
      </c>
      <c r="J1981" s="15"/>
    </row>
    <row r="1982" customFormat="false" ht="15" hidden="false" customHeight="false" outlineLevel="0" collapsed="false">
      <c r="A1982" s="26"/>
      <c r="B1982" s="15"/>
      <c r="C1982" s="15"/>
      <c r="D1982" s="27"/>
      <c r="E1982" s="15"/>
      <c r="F1982" s="28"/>
      <c r="G1982" s="25" t="str">
        <f aca="true">IF(OR(D1982="",E1982=""),"",IFERROR(D1982*INDEX(UnidadesFactor,MATCH(E1982,Unidades,0)),""))</f>
        <v/>
      </c>
      <c r="H1982" s="17" t="str">
        <f aca="false">IF(I1982&lt;&gt;"OK","",IF(G1982=0,"",F1982/G1982))</f>
        <v/>
      </c>
      <c r="I1982" s="20" t="str">
        <f aca="true">IF(B1982="","",IF(ISNA(MATCH(B1982,ListaInsumos,0)),"Insumo no está en Insumos",IF(OR(D1982="",E1982="",F1982=""),"Faltan datos",IF(INDEX(UnidadesBase,MATCH(E1982,Unidades,0))&lt;&gt;INDEX(InsBase,MATCH(B1982,ListaInsumos,0)),"Unidad incompatible",IF(A1982="","Falta fecha","OK")))))</f>
        <v/>
      </c>
      <c r="J1982" s="15"/>
    </row>
    <row r="1983" customFormat="false" ht="15" hidden="false" customHeight="false" outlineLevel="0" collapsed="false">
      <c r="A1983" s="26"/>
      <c r="B1983" s="15"/>
      <c r="C1983" s="15"/>
      <c r="D1983" s="27"/>
      <c r="E1983" s="15"/>
      <c r="F1983" s="28"/>
      <c r="G1983" s="25" t="str">
        <f aca="true">IF(OR(D1983="",E1983=""),"",IFERROR(D1983*INDEX(UnidadesFactor,MATCH(E1983,Unidades,0)),""))</f>
        <v/>
      </c>
      <c r="H1983" s="17" t="str">
        <f aca="false">IF(I1983&lt;&gt;"OK","",IF(G1983=0,"",F1983/G1983))</f>
        <v/>
      </c>
      <c r="I1983" s="20" t="str">
        <f aca="true">IF(B1983="","",IF(ISNA(MATCH(B1983,ListaInsumos,0)),"Insumo no está en Insumos",IF(OR(D1983="",E1983="",F1983=""),"Faltan datos",IF(INDEX(UnidadesBase,MATCH(E1983,Unidades,0))&lt;&gt;INDEX(InsBase,MATCH(B1983,ListaInsumos,0)),"Unidad incompatible",IF(A1983="","Falta fecha","OK")))))</f>
        <v/>
      </c>
      <c r="J1983" s="15"/>
    </row>
    <row r="1984" customFormat="false" ht="15" hidden="false" customHeight="false" outlineLevel="0" collapsed="false">
      <c r="A1984" s="26"/>
      <c r="B1984" s="15"/>
      <c r="C1984" s="15"/>
      <c r="D1984" s="27"/>
      <c r="E1984" s="15"/>
      <c r="F1984" s="28"/>
      <c r="G1984" s="25" t="str">
        <f aca="true">IF(OR(D1984="",E1984=""),"",IFERROR(D1984*INDEX(UnidadesFactor,MATCH(E1984,Unidades,0)),""))</f>
        <v/>
      </c>
      <c r="H1984" s="17" t="str">
        <f aca="false">IF(I1984&lt;&gt;"OK","",IF(G1984=0,"",F1984/G1984))</f>
        <v/>
      </c>
      <c r="I1984" s="20" t="str">
        <f aca="true">IF(B1984="","",IF(ISNA(MATCH(B1984,ListaInsumos,0)),"Insumo no está en Insumos",IF(OR(D1984="",E1984="",F1984=""),"Faltan datos",IF(INDEX(UnidadesBase,MATCH(E1984,Unidades,0))&lt;&gt;INDEX(InsBase,MATCH(B1984,ListaInsumos,0)),"Unidad incompatible",IF(A1984="","Falta fecha","OK")))))</f>
        <v/>
      </c>
      <c r="J1984" s="15"/>
    </row>
    <row r="1985" customFormat="false" ht="15" hidden="false" customHeight="false" outlineLevel="0" collapsed="false">
      <c r="A1985" s="26"/>
      <c r="B1985" s="15"/>
      <c r="C1985" s="15"/>
      <c r="D1985" s="27"/>
      <c r="E1985" s="15"/>
      <c r="F1985" s="28"/>
      <c r="G1985" s="25" t="str">
        <f aca="true">IF(OR(D1985="",E1985=""),"",IFERROR(D1985*INDEX(UnidadesFactor,MATCH(E1985,Unidades,0)),""))</f>
        <v/>
      </c>
      <c r="H1985" s="17" t="str">
        <f aca="false">IF(I1985&lt;&gt;"OK","",IF(G1985=0,"",F1985/G1985))</f>
        <v/>
      </c>
      <c r="I1985" s="20" t="str">
        <f aca="true">IF(B1985="","",IF(ISNA(MATCH(B1985,ListaInsumos,0)),"Insumo no está en Insumos",IF(OR(D1985="",E1985="",F1985=""),"Faltan datos",IF(INDEX(UnidadesBase,MATCH(E1985,Unidades,0))&lt;&gt;INDEX(InsBase,MATCH(B1985,ListaInsumos,0)),"Unidad incompatible",IF(A1985="","Falta fecha","OK")))))</f>
        <v/>
      </c>
      <c r="J1985" s="15"/>
    </row>
    <row r="1986" customFormat="false" ht="15" hidden="false" customHeight="false" outlineLevel="0" collapsed="false">
      <c r="A1986" s="26"/>
      <c r="B1986" s="15"/>
      <c r="C1986" s="15"/>
      <c r="D1986" s="27"/>
      <c r="E1986" s="15"/>
      <c r="F1986" s="28"/>
      <c r="G1986" s="25" t="str">
        <f aca="true">IF(OR(D1986="",E1986=""),"",IFERROR(D1986*INDEX(UnidadesFactor,MATCH(E1986,Unidades,0)),""))</f>
        <v/>
      </c>
      <c r="H1986" s="17" t="str">
        <f aca="false">IF(I1986&lt;&gt;"OK","",IF(G1986=0,"",F1986/G1986))</f>
        <v/>
      </c>
      <c r="I1986" s="20" t="str">
        <f aca="true">IF(B1986="","",IF(ISNA(MATCH(B1986,ListaInsumos,0)),"Insumo no está en Insumos",IF(OR(D1986="",E1986="",F1986=""),"Faltan datos",IF(INDEX(UnidadesBase,MATCH(E1986,Unidades,0))&lt;&gt;INDEX(InsBase,MATCH(B1986,ListaInsumos,0)),"Unidad incompatible",IF(A1986="","Falta fecha","OK")))))</f>
        <v/>
      </c>
      <c r="J1986" s="15"/>
    </row>
    <row r="1987" customFormat="false" ht="15" hidden="false" customHeight="false" outlineLevel="0" collapsed="false">
      <c r="A1987" s="26"/>
      <c r="B1987" s="15"/>
      <c r="C1987" s="15"/>
      <c r="D1987" s="27"/>
      <c r="E1987" s="15"/>
      <c r="F1987" s="28"/>
      <c r="G1987" s="25" t="str">
        <f aca="true">IF(OR(D1987="",E1987=""),"",IFERROR(D1987*INDEX(UnidadesFactor,MATCH(E1987,Unidades,0)),""))</f>
        <v/>
      </c>
      <c r="H1987" s="17" t="str">
        <f aca="false">IF(I1987&lt;&gt;"OK","",IF(G1987=0,"",F1987/G1987))</f>
        <v/>
      </c>
      <c r="I1987" s="20" t="str">
        <f aca="true">IF(B1987="","",IF(ISNA(MATCH(B1987,ListaInsumos,0)),"Insumo no está en Insumos",IF(OR(D1987="",E1987="",F1987=""),"Faltan datos",IF(INDEX(UnidadesBase,MATCH(E1987,Unidades,0))&lt;&gt;INDEX(InsBase,MATCH(B1987,ListaInsumos,0)),"Unidad incompatible",IF(A1987="","Falta fecha","OK")))))</f>
        <v/>
      </c>
      <c r="J1987" s="15"/>
    </row>
    <row r="1988" customFormat="false" ht="15" hidden="false" customHeight="false" outlineLevel="0" collapsed="false">
      <c r="A1988" s="26"/>
      <c r="B1988" s="15"/>
      <c r="C1988" s="15"/>
      <c r="D1988" s="27"/>
      <c r="E1988" s="15"/>
      <c r="F1988" s="28"/>
      <c r="G1988" s="25" t="str">
        <f aca="true">IF(OR(D1988="",E1988=""),"",IFERROR(D1988*INDEX(UnidadesFactor,MATCH(E1988,Unidades,0)),""))</f>
        <v/>
      </c>
      <c r="H1988" s="17" t="str">
        <f aca="false">IF(I1988&lt;&gt;"OK","",IF(G1988=0,"",F1988/G1988))</f>
        <v/>
      </c>
      <c r="I1988" s="20" t="str">
        <f aca="true">IF(B1988="","",IF(ISNA(MATCH(B1988,ListaInsumos,0)),"Insumo no está en Insumos",IF(OR(D1988="",E1988="",F1988=""),"Faltan datos",IF(INDEX(UnidadesBase,MATCH(E1988,Unidades,0))&lt;&gt;INDEX(InsBase,MATCH(B1988,ListaInsumos,0)),"Unidad incompatible",IF(A1988="","Falta fecha","OK")))))</f>
        <v/>
      </c>
      <c r="J1988" s="15"/>
    </row>
    <row r="1989" customFormat="false" ht="15" hidden="false" customHeight="false" outlineLevel="0" collapsed="false">
      <c r="A1989" s="26"/>
      <c r="B1989" s="15"/>
      <c r="C1989" s="15"/>
      <c r="D1989" s="27"/>
      <c r="E1989" s="15"/>
      <c r="F1989" s="28"/>
      <c r="G1989" s="25" t="str">
        <f aca="true">IF(OR(D1989="",E1989=""),"",IFERROR(D1989*INDEX(UnidadesFactor,MATCH(E1989,Unidades,0)),""))</f>
        <v/>
      </c>
      <c r="H1989" s="17" t="str">
        <f aca="false">IF(I1989&lt;&gt;"OK","",IF(G1989=0,"",F1989/G1989))</f>
        <v/>
      </c>
      <c r="I1989" s="20" t="str">
        <f aca="true">IF(B1989="","",IF(ISNA(MATCH(B1989,ListaInsumos,0)),"Insumo no está en Insumos",IF(OR(D1989="",E1989="",F1989=""),"Faltan datos",IF(INDEX(UnidadesBase,MATCH(E1989,Unidades,0))&lt;&gt;INDEX(InsBase,MATCH(B1989,ListaInsumos,0)),"Unidad incompatible",IF(A1989="","Falta fecha","OK")))))</f>
        <v/>
      </c>
      <c r="J1989" s="15"/>
    </row>
    <row r="1990" customFormat="false" ht="15" hidden="false" customHeight="false" outlineLevel="0" collapsed="false">
      <c r="A1990" s="26"/>
      <c r="B1990" s="15"/>
      <c r="C1990" s="15"/>
      <c r="D1990" s="27"/>
      <c r="E1990" s="15"/>
      <c r="F1990" s="28"/>
      <c r="G1990" s="25" t="str">
        <f aca="true">IF(OR(D1990="",E1990=""),"",IFERROR(D1990*INDEX(UnidadesFactor,MATCH(E1990,Unidades,0)),""))</f>
        <v/>
      </c>
      <c r="H1990" s="17" t="str">
        <f aca="false">IF(I1990&lt;&gt;"OK","",IF(G1990=0,"",F1990/G1990))</f>
        <v/>
      </c>
      <c r="I1990" s="20" t="str">
        <f aca="true">IF(B1990="","",IF(ISNA(MATCH(B1990,ListaInsumos,0)),"Insumo no está en Insumos",IF(OR(D1990="",E1990="",F1990=""),"Faltan datos",IF(INDEX(UnidadesBase,MATCH(E1990,Unidades,0))&lt;&gt;INDEX(InsBase,MATCH(B1990,ListaInsumos,0)),"Unidad incompatible",IF(A1990="","Falta fecha","OK")))))</f>
        <v/>
      </c>
      <c r="J1990" s="15"/>
    </row>
    <row r="1991" customFormat="false" ht="15" hidden="false" customHeight="false" outlineLevel="0" collapsed="false">
      <c r="A1991" s="26"/>
      <c r="B1991" s="15"/>
      <c r="C1991" s="15"/>
      <c r="D1991" s="27"/>
      <c r="E1991" s="15"/>
      <c r="F1991" s="28"/>
      <c r="G1991" s="25" t="str">
        <f aca="true">IF(OR(D1991="",E1991=""),"",IFERROR(D1991*INDEX(UnidadesFactor,MATCH(E1991,Unidades,0)),""))</f>
        <v/>
      </c>
      <c r="H1991" s="17" t="str">
        <f aca="false">IF(I1991&lt;&gt;"OK","",IF(G1991=0,"",F1991/G1991))</f>
        <v/>
      </c>
      <c r="I1991" s="20" t="str">
        <f aca="true">IF(B1991="","",IF(ISNA(MATCH(B1991,ListaInsumos,0)),"Insumo no está en Insumos",IF(OR(D1991="",E1991="",F1991=""),"Faltan datos",IF(INDEX(UnidadesBase,MATCH(E1991,Unidades,0))&lt;&gt;INDEX(InsBase,MATCH(B1991,ListaInsumos,0)),"Unidad incompatible",IF(A1991="","Falta fecha","OK")))))</f>
        <v/>
      </c>
      <c r="J1991" s="15"/>
    </row>
    <row r="1992" customFormat="false" ht="15" hidden="false" customHeight="false" outlineLevel="0" collapsed="false">
      <c r="A1992" s="26"/>
      <c r="B1992" s="15"/>
      <c r="C1992" s="15"/>
      <c r="D1992" s="27"/>
      <c r="E1992" s="15"/>
      <c r="F1992" s="28"/>
      <c r="G1992" s="25" t="str">
        <f aca="true">IF(OR(D1992="",E1992=""),"",IFERROR(D1992*INDEX(UnidadesFactor,MATCH(E1992,Unidades,0)),""))</f>
        <v/>
      </c>
      <c r="H1992" s="17" t="str">
        <f aca="false">IF(I1992&lt;&gt;"OK","",IF(G1992=0,"",F1992/G1992))</f>
        <v/>
      </c>
      <c r="I1992" s="20" t="str">
        <f aca="true">IF(B1992="","",IF(ISNA(MATCH(B1992,ListaInsumos,0)),"Insumo no está en Insumos",IF(OR(D1992="",E1992="",F1992=""),"Faltan datos",IF(INDEX(UnidadesBase,MATCH(E1992,Unidades,0))&lt;&gt;INDEX(InsBase,MATCH(B1992,ListaInsumos,0)),"Unidad incompatible",IF(A1992="","Falta fecha","OK")))))</f>
        <v/>
      </c>
      <c r="J1992" s="15"/>
    </row>
    <row r="1993" customFormat="false" ht="15" hidden="false" customHeight="false" outlineLevel="0" collapsed="false">
      <c r="A1993" s="26"/>
      <c r="B1993" s="15"/>
      <c r="C1993" s="15"/>
      <c r="D1993" s="27"/>
      <c r="E1993" s="15"/>
      <c r="F1993" s="28"/>
      <c r="G1993" s="25" t="str">
        <f aca="true">IF(OR(D1993="",E1993=""),"",IFERROR(D1993*INDEX(UnidadesFactor,MATCH(E1993,Unidades,0)),""))</f>
        <v/>
      </c>
      <c r="H1993" s="17" t="str">
        <f aca="false">IF(I1993&lt;&gt;"OK","",IF(G1993=0,"",F1993/G1993))</f>
        <v/>
      </c>
      <c r="I1993" s="20" t="str">
        <f aca="true">IF(B1993="","",IF(ISNA(MATCH(B1993,ListaInsumos,0)),"Insumo no está en Insumos",IF(OR(D1993="",E1993="",F1993=""),"Faltan datos",IF(INDEX(UnidadesBase,MATCH(E1993,Unidades,0))&lt;&gt;INDEX(InsBase,MATCH(B1993,ListaInsumos,0)),"Unidad incompatible",IF(A1993="","Falta fecha","OK")))))</f>
        <v/>
      </c>
      <c r="J1993" s="15"/>
    </row>
    <row r="1994" customFormat="false" ht="15" hidden="false" customHeight="false" outlineLevel="0" collapsed="false">
      <c r="A1994" s="26"/>
      <c r="B1994" s="15"/>
      <c r="C1994" s="15"/>
      <c r="D1994" s="27"/>
      <c r="E1994" s="15"/>
      <c r="F1994" s="28"/>
      <c r="G1994" s="25" t="str">
        <f aca="true">IF(OR(D1994="",E1994=""),"",IFERROR(D1994*INDEX(UnidadesFactor,MATCH(E1994,Unidades,0)),""))</f>
        <v/>
      </c>
      <c r="H1994" s="17" t="str">
        <f aca="false">IF(I1994&lt;&gt;"OK","",IF(G1994=0,"",F1994/G1994))</f>
        <v/>
      </c>
      <c r="I1994" s="20" t="str">
        <f aca="true">IF(B1994="","",IF(ISNA(MATCH(B1994,ListaInsumos,0)),"Insumo no está en Insumos",IF(OR(D1994="",E1994="",F1994=""),"Faltan datos",IF(INDEX(UnidadesBase,MATCH(E1994,Unidades,0))&lt;&gt;INDEX(InsBase,MATCH(B1994,ListaInsumos,0)),"Unidad incompatible",IF(A1994="","Falta fecha","OK")))))</f>
        <v/>
      </c>
      <c r="J1994" s="15"/>
    </row>
    <row r="1995" customFormat="false" ht="15" hidden="false" customHeight="false" outlineLevel="0" collapsed="false">
      <c r="A1995" s="26"/>
      <c r="B1995" s="15"/>
      <c r="C1995" s="15"/>
      <c r="D1995" s="27"/>
      <c r="E1995" s="15"/>
      <c r="F1995" s="28"/>
      <c r="G1995" s="25" t="str">
        <f aca="true">IF(OR(D1995="",E1995=""),"",IFERROR(D1995*INDEX(UnidadesFactor,MATCH(E1995,Unidades,0)),""))</f>
        <v/>
      </c>
      <c r="H1995" s="17" t="str">
        <f aca="false">IF(I1995&lt;&gt;"OK","",IF(G1995=0,"",F1995/G1995))</f>
        <v/>
      </c>
      <c r="I1995" s="20" t="str">
        <f aca="true">IF(B1995="","",IF(ISNA(MATCH(B1995,ListaInsumos,0)),"Insumo no está en Insumos",IF(OR(D1995="",E1995="",F1995=""),"Faltan datos",IF(INDEX(UnidadesBase,MATCH(E1995,Unidades,0))&lt;&gt;INDEX(InsBase,MATCH(B1995,ListaInsumos,0)),"Unidad incompatible",IF(A1995="","Falta fecha","OK")))))</f>
        <v/>
      </c>
      <c r="J1995" s="15"/>
    </row>
    <row r="1996" customFormat="false" ht="15" hidden="false" customHeight="false" outlineLevel="0" collapsed="false">
      <c r="A1996" s="26"/>
      <c r="B1996" s="15"/>
      <c r="C1996" s="15"/>
      <c r="D1996" s="27"/>
      <c r="E1996" s="15"/>
      <c r="F1996" s="28"/>
      <c r="G1996" s="25" t="str">
        <f aca="true">IF(OR(D1996="",E1996=""),"",IFERROR(D1996*INDEX(UnidadesFactor,MATCH(E1996,Unidades,0)),""))</f>
        <v/>
      </c>
      <c r="H1996" s="17" t="str">
        <f aca="false">IF(I1996&lt;&gt;"OK","",IF(G1996=0,"",F1996/G1996))</f>
        <v/>
      </c>
      <c r="I1996" s="20" t="str">
        <f aca="true">IF(B1996="","",IF(ISNA(MATCH(B1996,ListaInsumos,0)),"Insumo no está en Insumos",IF(OR(D1996="",E1996="",F1996=""),"Faltan datos",IF(INDEX(UnidadesBase,MATCH(E1996,Unidades,0))&lt;&gt;INDEX(InsBase,MATCH(B1996,ListaInsumos,0)),"Unidad incompatible",IF(A1996="","Falta fecha","OK")))))</f>
        <v/>
      </c>
      <c r="J1996" s="15"/>
    </row>
    <row r="1997" customFormat="false" ht="15" hidden="false" customHeight="false" outlineLevel="0" collapsed="false">
      <c r="A1997" s="26"/>
      <c r="B1997" s="15"/>
      <c r="C1997" s="15"/>
      <c r="D1997" s="27"/>
      <c r="E1997" s="15"/>
      <c r="F1997" s="28"/>
      <c r="G1997" s="25" t="str">
        <f aca="true">IF(OR(D1997="",E1997=""),"",IFERROR(D1997*INDEX(UnidadesFactor,MATCH(E1997,Unidades,0)),""))</f>
        <v/>
      </c>
      <c r="H1997" s="17" t="str">
        <f aca="false">IF(I1997&lt;&gt;"OK","",IF(G1997=0,"",F1997/G1997))</f>
        <v/>
      </c>
      <c r="I1997" s="20" t="str">
        <f aca="true">IF(B1997="","",IF(ISNA(MATCH(B1997,ListaInsumos,0)),"Insumo no está en Insumos",IF(OR(D1997="",E1997="",F1997=""),"Faltan datos",IF(INDEX(UnidadesBase,MATCH(E1997,Unidades,0))&lt;&gt;INDEX(InsBase,MATCH(B1997,ListaInsumos,0)),"Unidad incompatible",IF(A1997="","Falta fecha","OK")))))</f>
        <v/>
      </c>
      <c r="J1997" s="15"/>
    </row>
    <row r="1998" customFormat="false" ht="15" hidden="false" customHeight="false" outlineLevel="0" collapsed="false">
      <c r="A1998" s="26"/>
      <c r="B1998" s="15"/>
      <c r="C1998" s="15"/>
      <c r="D1998" s="27"/>
      <c r="E1998" s="15"/>
      <c r="F1998" s="28"/>
      <c r="G1998" s="25" t="str">
        <f aca="true">IF(OR(D1998="",E1998=""),"",IFERROR(D1998*INDEX(UnidadesFactor,MATCH(E1998,Unidades,0)),""))</f>
        <v/>
      </c>
      <c r="H1998" s="17" t="str">
        <f aca="false">IF(I1998&lt;&gt;"OK","",IF(G1998=0,"",F1998/G1998))</f>
        <v/>
      </c>
      <c r="I1998" s="20" t="str">
        <f aca="true">IF(B1998="","",IF(ISNA(MATCH(B1998,ListaInsumos,0)),"Insumo no está en Insumos",IF(OR(D1998="",E1998="",F1998=""),"Faltan datos",IF(INDEX(UnidadesBase,MATCH(E1998,Unidades,0))&lt;&gt;INDEX(InsBase,MATCH(B1998,ListaInsumos,0)),"Unidad incompatible",IF(A1998="","Falta fecha","OK")))))</f>
        <v/>
      </c>
      <c r="J1998" s="15"/>
    </row>
    <row r="1999" customFormat="false" ht="15" hidden="false" customHeight="false" outlineLevel="0" collapsed="false">
      <c r="A1999" s="26"/>
      <c r="B1999" s="15"/>
      <c r="C1999" s="15"/>
      <c r="D1999" s="27"/>
      <c r="E1999" s="15"/>
      <c r="F1999" s="28"/>
      <c r="G1999" s="25" t="str">
        <f aca="true">IF(OR(D1999="",E1999=""),"",IFERROR(D1999*INDEX(UnidadesFactor,MATCH(E1999,Unidades,0)),""))</f>
        <v/>
      </c>
      <c r="H1999" s="17" t="str">
        <f aca="false">IF(I1999&lt;&gt;"OK","",IF(G1999=0,"",F1999/G1999))</f>
        <v/>
      </c>
      <c r="I1999" s="20" t="str">
        <f aca="true">IF(B1999="","",IF(ISNA(MATCH(B1999,ListaInsumos,0)),"Insumo no está en Insumos",IF(OR(D1999="",E1999="",F1999=""),"Faltan datos",IF(INDEX(UnidadesBase,MATCH(E1999,Unidades,0))&lt;&gt;INDEX(InsBase,MATCH(B1999,ListaInsumos,0)),"Unidad incompatible",IF(A1999="","Falta fecha","OK")))))</f>
        <v/>
      </c>
      <c r="J1999" s="15"/>
    </row>
    <row r="2000" customFormat="false" ht="15" hidden="false" customHeight="false" outlineLevel="0" collapsed="false">
      <c r="A2000" s="26"/>
      <c r="B2000" s="15"/>
      <c r="C2000" s="15"/>
      <c r="D2000" s="27"/>
      <c r="E2000" s="15"/>
      <c r="F2000" s="28"/>
      <c r="G2000" s="25" t="str">
        <f aca="true">IF(OR(D2000="",E2000=""),"",IFERROR(D2000*INDEX(UnidadesFactor,MATCH(E2000,Unidades,0)),""))</f>
        <v/>
      </c>
      <c r="H2000" s="17" t="str">
        <f aca="false">IF(I2000&lt;&gt;"OK","",IF(G2000=0,"",F2000/G2000))</f>
        <v/>
      </c>
      <c r="I2000" s="20" t="str">
        <f aca="true">IF(B2000="","",IF(ISNA(MATCH(B2000,ListaInsumos,0)),"Insumo no está en Insumos",IF(OR(D2000="",E2000="",F2000=""),"Faltan datos",IF(INDEX(UnidadesBase,MATCH(E2000,Unidades,0))&lt;&gt;INDEX(InsBase,MATCH(B2000,ListaInsumos,0)),"Unidad incompatible",IF(A2000="","Falta fecha","OK")))))</f>
        <v/>
      </c>
      <c r="J2000" s="15"/>
    </row>
  </sheetData>
  <dataValidations count="2">
    <dataValidation allowBlank="true" error="Elegí un valor de la lista desplegable." errorStyle="stop" errorTitle="Valor no válido" operator="between" prompt="Elegí el insumo de la lista. Si no está, agregalo primero en la hoja Insumos." showDropDown="false" showErrorMessage="false" showInputMessage="true" sqref="B5:B2000" type="list">
      <formula1>ListaInsumos</formula1>
      <formula2>0</formula2>
    </dataValidation>
    <dataValidation allowBlank="true" error="Elegí un valor de la lista desplegable." errorStyle="stop" errorTitle="Valor no válido" operator="between" showDropDown="false" showErrorMessage="false" showInputMessage="false" sqref="E5:E2000" type="list">
      <formula1>Unidades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D2E"/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12" t="s">
        <v>122</v>
      </c>
    </row>
    <row r="2" customFormat="false" ht="15" hidden="false" customHeight="false" outlineLevel="0" collapsed="false">
      <c r="A2" s="13" t="s">
        <v>123</v>
      </c>
    </row>
    <row r="4" customFormat="false" ht="42" hidden="false" customHeight="true" outlineLevel="0" collapsed="false">
      <c r="A4" s="14" t="s">
        <v>124</v>
      </c>
      <c r="B4" s="14" t="s">
        <v>43</v>
      </c>
      <c r="C4" s="14" t="s">
        <v>125</v>
      </c>
      <c r="D4" s="14" t="s">
        <v>109</v>
      </c>
      <c r="E4" s="14" t="s">
        <v>111</v>
      </c>
      <c r="F4" s="14" t="s">
        <v>112</v>
      </c>
      <c r="G4" s="14" t="s">
        <v>126</v>
      </c>
      <c r="H4" s="14" t="s">
        <v>113</v>
      </c>
      <c r="I4" s="14" t="s">
        <v>114</v>
      </c>
    </row>
    <row r="5" customFormat="false" ht="15" hidden="false" customHeight="false" outlineLevel="0" collapsed="false">
      <c r="A5" s="15" t="s">
        <v>127</v>
      </c>
      <c r="B5" s="15" t="s">
        <v>65</v>
      </c>
      <c r="C5" s="27"/>
      <c r="D5" s="15" t="s">
        <v>56</v>
      </c>
      <c r="E5" s="25" t="str">
        <f aca="true">IF(OR(C5="",D5=""),"",IFERROR(C5*INDEX(UnidadesFactor,MATCH(D5,Unidades,0)),""))</f>
        <v/>
      </c>
      <c r="F5" s="18" t="str">
        <f aca="true">IF(B5="","",IFERROR(INDEX(InsCosto,MATCH(B5,ListaInsumos,0)),""))</f>
        <v/>
      </c>
      <c r="G5" s="19" t="n">
        <f aca="false">IF(AND(A5="",B5=""),"",IF(H5="OK",E5*F5,0))</f>
        <v>0</v>
      </c>
      <c r="H5" s="20" t="str">
        <f aca="true">IF(AND(A5="",B5=""),"",IF(ISNA(MATCH(B5,ListaInsumos,0)),"Insumo no está en Insumos",IF(C5="","Falta cantidad",IF(IFERROR(INDEX(UnidadesBase,MATCH(D5,Unidades,0)),"")&lt;&gt;INDEX(InsBase,MATCH(B5,ListaInsumos,0)),"Unidad incompatible",IF(F5="","Insumo sin compras","OK")))))</f>
        <v>Falta cantidad</v>
      </c>
      <c r="I5" s="15"/>
    </row>
    <row r="6" customFormat="false" ht="15" hidden="false" customHeight="false" outlineLevel="0" collapsed="false">
      <c r="A6" s="15" t="s">
        <v>127</v>
      </c>
      <c r="B6" s="15" t="s">
        <v>59</v>
      </c>
      <c r="C6" s="27"/>
      <c r="D6" s="15" t="s">
        <v>56</v>
      </c>
      <c r="E6" s="25" t="str">
        <f aca="true">IF(OR(C6="",D6=""),"",IFERROR(C6*INDEX(UnidadesFactor,MATCH(D6,Unidades,0)),""))</f>
        <v/>
      </c>
      <c r="F6" s="18" t="str">
        <f aca="true">IF(B6="","",IFERROR(INDEX(InsCosto,MATCH(B6,ListaInsumos,0)),""))</f>
        <v/>
      </c>
      <c r="G6" s="19" t="n">
        <f aca="false">IF(AND(A6="",B6=""),"",IF(H6="OK",E6*F6,0))</f>
        <v>0</v>
      </c>
      <c r="H6" s="20" t="str">
        <f aca="true">IF(AND(A6="",B6=""),"",IF(ISNA(MATCH(B6,ListaInsumos,0)),"Insumo no está en Insumos",IF(C6="","Falta cantidad",IF(IFERROR(INDEX(UnidadesBase,MATCH(D6,Unidades,0)),"")&lt;&gt;INDEX(InsBase,MATCH(B6,ListaInsumos,0)),"Unidad incompatible",IF(F6="","Insumo sin compras","OK")))))</f>
        <v>Falta cantidad</v>
      </c>
      <c r="I6" s="15"/>
    </row>
    <row r="7" customFormat="false" ht="15" hidden="false" customHeight="false" outlineLevel="0" collapsed="false">
      <c r="A7" s="15" t="s">
        <v>127</v>
      </c>
      <c r="B7" s="15" t="s">
        <v>64</v>
      </c>
      <c r="C7" s="27"/>
      <c r="D7" s="15" t="s">
        <v>54</v>
      </c>
      <c r="E7" s="25" t="str">
        <f aca="true">IF(OR(C7="",D7=""),"",IFERROR(C7*INDEX(UnidadesFactor,MATCH(D7,Unidades,0)),""))</f>
        <v/>
      </c>
      <c r="F7" s="18" t="str">
        <f aca="true">IF(B7="","",IFERROR(INDEX(InsCosto,MATCH(B7,ListaInsumos,0)),""))</f>
        <v/>
      </c>
      <c r="G7" s="19" t="n">
        <f aca="false">IF(AND(A7="",B7=""),"",IF(H7="OK",E7*F7,0))</f>
        <v>0</v>
      </c>
      <c r="H7" s="20" t="str">
        <f aca="true">IF(AND(A7="",B7=""),"",IF(ISNA(MATCH(B7,ListaInsumos,0)),"Insumo no está en Insumos",IF(C7="","Falta cantidad",IF(IFERROR(INDEX(UnidadesBase,MATCH(D7,Unidades,0)),"")&lt;&gt;INDEX(InsBase,MATCH(B7,ListaInsumos,0)),"Unidad incompatible",IF(F7="","Insumo sin compras","OK")))))</f>
        <v>Falta cantidad</v>
      </c>
      <c r="I7" s="15"/>
    </row>
    <row r="8" customFormat="false" ht="15" hidden="false" customHeight="false" outlineLevel="0" collapsed="false">
      <c r="A8" s="15" t="s">
        <v>127</v>
      </c>
      <c r="B8" s="15" t="s">
        <v>81</v>
      </c>
      <c r="C8" s="27"/>
      <c r="D8" s="15" t="s">
        <v>56</v>
      </c>
      <c r="E8" s="25" t="str">
        <f aca="true">IF(OR(C8="",D8=""),"",IFERROR(C8*INDEX(UnidadesFactor,MATCH(D8,Unidades,0)),""))</f>
        <v/>
      </c>
      <c r="F8" s="18" t="str">
        <f aca="true">IF(B8="","",IFERROR(INDEX(InsCosto,MATCH(B8,ListaInsumos,0)),""))</f>
        <v/>
      </c>
      <c r="G8" s="19" t="n">
        <f aca="false">IF(AND(A8="",B8=""),"",IF(H8="OK",E8*F8,0))</f>
        <v>0</v>
      </c>
      <c r="H8" s="20" t="str">
        <f aca="true">IF(AND(A8="",B8=""),"",IF(ISNA(MATCH(B8,ListaInsumos,0)),"Insumo no está en Insumos",IF(C8="","Falta cantidad",IF(IFERROR(INDEX(UnidadesBase,MATCH(D8,Unidades,0)),"")&lt;&gt;INDEX(InsBase,MATCH(B8,ListaInsumos,0)),"Unidad incompatible",IF(F8="","Insumo sin compras","OK")))))</f>
        <v>Falta cantidad</v>
      </c>
      <c r="I8" s="15"/>
    </row>
    <row r="9" customFormat="false" ht="15" hidden="false" customHeight="false" outlineLevel="0" collapsed="false">
      <c r="A9" s="15" t="s">
        <v>127</v>
      </c>
      <c r="B9" s="15" t="s">
        <v>66</v>
      </c>
      <c r="C9" s="27"/>
      <c r="D9" s="15" t="s">
        <v>56</v>
      </c>
      <c r="E9" s="25" t="str">
        <f aca="true">IF(OR(C9="",D9=""),"",IFERROR(C9*INDEX(UnidadesFactor,MATCH(D9,Unidades,0)),""))</f>
        <v/>
      </c>
      <c r="F9" s="18" t="n">
        <f aca="true">IF(B9="","",IFERROR(INDEX(InsCosto,MATCH(B9,ListaInsumos,0)),""))</f>
        <v>60</v>
      </c>
      <c r="G9" s="19" t="n">
        <f aca="false">IF(AND(A9="",B9=""),"",IF(H9="OK",E9*F9,0))</f>
        <v>0</v>
      </c>
      <c r="H9" s="20" t="str">
        <f aca="true">IF(AND(A9="",B9=""),"",IF(ISNA(MATCH(B9,ListaInsumos,0)),"Insumo no está en Insumos",IF(C9="","Falta cantidad",IF(IFERROR(INDEX(UnidadesBase,MATCH(D9,Unidades,0)),"")&lt;&gt;INDEX(InsBase,MATCH(B9,ListaInsumos,0)),"Unidad incompatible",IF(F9="","Insumo sin compras","OK")))))</f>
        <v>Falta cantidad</v>
      </c>
      <c r="I9" s="15"/>
    </row>
    <row r="10" customFormat="false" ht="15" hidden="false" customHeight="false" outlineLevel="0" collapsed="false">
      <c r="A10" s="15" t="s">
        <v>127</v>
      </c>
      <c r="B10" s="15" t="s">
        <v>62</v>
      </c>
      <c r="C10" s="27"/>
      <c r="D10" s="15" t="s">
        <v>56</v>
      </c>
      <c r="E10" s="25" t="str">
        <f aca="true">IF(OR(C10="",D10=""),"",IFERROR(C10*INDEX(UnidadesFactor,MATCH(D10,Unidades,0)),""))</f>
        <v/>
      </c>
      <c r="F10" s="18" t="str">
        <f aca="true">IF(B10="","",IFERROR(INDEX(InsCosto,MATCH(B10,ListaInsumos,0)),""))</f>
        <v/>
      </c>
      <c r="G10" s="19" t="n">
        <f aca="false">IF(AND(A10="",B10=""),"",IF(H10="OK",E10*F10,0))</f>
        <v>0</v>
      </c>
      <c r="H10" s="20" t="str">
        <f aca="true">IF(AND(A10="",B10=""),"",IF(ISNA(MATCH(B10,ListaInsumos,0)),"Insumo no está en Insumos",IF(C10="","Falta cantidad",IF(IFERROR(INDEX(UnidadesBase,MATCH(D10,Unidades,0)),"")&lt;&gt;INDEX(InsBase,MATCH(B10,ListaInsumos,0)),"Unidad incompatible",IF(F10="","Insumo sin compras","OK")))))</f>
        <v>Falta cantidad</v>
      </c>
      <c r="I10" s="15"/>
    </row>
    <row r="11" customFormat="false" ht="15" hidden="false" customHeight="false" outlineLevel="0" collapsed="false">
      <c r="A11" s="15" t="s">
        <v>127</v>
      </c>
      <c r="B11" s="15" t="s">
        <v>86</v>
      </c>
      <c r="C11" s="27"/>
      <c r="D11" s="15" t="s">
        <v>56</v>
      </c>
      <c r="E11" s="25" t="str">
        <f aca="true">IF(OR(C11="",D11=""),"",IFERROR(C11*INDEX(UnidadesFactor,MATCH(D11,Unidades,0)),""))</f>
        <v/>
      </c>
      <c r="F11" s="18" t="n">
        <f aca="true">IF(B11="","",IFERROR(INDEX(InsCosto,MATCH(B11,ListaInsumos,0)),""))</f>
        <v>5</v>
      </c>
      <c r="G11" s="19" t="n">
        <f aca="false">IF(AND(A11="",B11=""),"",IF(H11="OK",E11*F11,0))</f>
        <v>0</v>
      </c>
      <c r="H11" s="20" t="str">
        <f aca="true">IF(AND(A11="",B11=""),"",IF(ISNA(MATCH(B11,ListaInsumos,0)),"Insumo no está en Insumos",IF(C11="","Falta cantidad",IF(IFERROR(INDEX(UnidadesBase,MATCH(D11,Unidades,0)),"")&lt;&gt;INDEX(InsBase,MATCH(B11,ListaInsumos,0)),"Unidad incompatible",IF(F11="","Insumo sin compras","OK")))))</f>
        <v>Falta cantidad</v>
      </c>
      <c r="I11" s="15"/>
    </row>
    <row r="12" customFormat="false" ht="15" hidden="false" customHeight="false" outlineLevel="0" collapsed="false">
      <c r="A12" s="15" t="s">
        <v>128</v>
      </c>
      <c r="B12" s="15" t="s">
        <v>89</v>
      </c>
      <c r="C12" s="27"/>
      <c r="D12" s="15" t="s">
        <v>56</v>
      </c>
      <c r="E12" s="25" t="str">
        <f aca="true">IF(OR(C12="",D12=""),"",IFERROR(C12*INDEX(UnidadesFactor,MATCH(D12,Unidades,0)),""))</f>
        <v/>
      </c>
      <c r="F12" s="18" t="str">
        <f aca="true">IF(B12="","",IFERROR(INDEX(InsCosto,MATCH(B12,ListaInsumos,0)),""))</f>
        <v/>
      </c>
      <c r="G12" s="19" t="n">
        <f aca="false">IF(AND(A12="",B12=""),"",IF(H12="OK",E12*F12,0))</f>
        <v>0</v>
      </c>
      <c r="H12" s="20" t="str">
        <f aca="true">IF(AND(A12="",B12=""),"",IF(ISNA(MATCH(B12,ListaInsumos,0)),"Insumo no está en Insumos",IF(C12="","Falta cantidad",IF(IFERROR(INDEX(UnidadesBase,MATCH(D12,Unidades,0)),"")&lt;&gt;INDEX(InsBase,MATCH(B12,ListaInsumos,0)),"Unidad incompatible",IF(F12="","Insumo sin compras","OK")))))</f>
        <v>Falta cantidad</v>
      </c>
      <c r="I12" s="15"/>
    </row>
    <row r="13" customFormat="false" ht="15" hidden="false" customHeight="false" outlineLevel="0" collapsed="false">
      <c r="A13" s="15" t="s">
        <v>128</v>
      </c>
      <c r="B13" s="15" t="s">
        <v>70</v>
      </c>
      <c r="C13" s="27"/>
      <c r="D13" s="15" t="s">
        <v>56</v>
      </c>
      <c r="E13" s="25" t="str">
        <f aca="true">IF(OR(C13="",D13=""),"",IFERROR(C13*INDEX(UnidadesFactor,MATCH(D13,Unidades,0)),""))</f>
        <v/>
      </c>
      <c r="F13" s="18" t="str">
        <f aca="true">IF(B13="","",IFERROR(INDEX(InsCosto,MATCH(B13,ListaInsumos,0)),""))</f>
        <v/>
      </c>
      <c r="G13" s="19" t="n">
        <f aca="false">IF(AND(A13="",B13=""),"",IF(H13="OK",E13*F13,0))</f>
        <v>0</v>
      </c>
      <c r="H13" s="20" t="str">
        <f aca="true">IF(AND(A13="",B13=""),"",IF(ISNA(MATCH(B13,ListaInsumos,0)),"Insumo no está en Insumos",IF(C13="","Falta cantidad",IF(IFERROR(INDEX(UnidadesBase,MATCH(D13,Unidades,0)),"")&lt;&gt;INDEX(InsBase,MATCH(B13,ListaInsumos,0)),"Unidad incompatible",IF(F13="","Insumo sin compras","OK")))))</f>
        <v>Falta cantidad</v>
      </c>
      <c r="I13" s="15"/>
    </row>
    <row r="14" customFormat="false" ht="15" hidden="false" customHeight="false" outlineLevel="0" collapsed="false">
      <c r="A14" s="15" t="s">
        <v>128</v>
      </c>
      <c r="B14" s="15" t="s">
        <v>69</v>
      </c>
      <c r="C14" s="27"/>
      <c r="D14" s="15" t="s">
        <v>56</v>
      </c>
      <c r="E14" s="25" t="str">
        <f aca="true">IF(OR(C14="",D14=""),"",IFERROR(C14*INDEX(UnidadesFactor,MATCH(D14,Unidades,0)),""))</f>
        <v/>
      </c>
      <c r="F14" s="18" t="str">
        <f aca="true">IF(B14="","",IFERROR(INDEX(InsCosto,MATCH(B14,ListaInsumos,0)),""))</f>
        <v/>
      </c>
      <c r="G14" s="19" t="n">
        <f aca="false">IF(AND(A14="",B14=""),"",IF(H14="OK",E14*F14,0))</f>
        <v>0</v>
      </c>
      <c r="H14" s="20" t="str">
        <f aca="true">IF(AND(A14="",B14=""),"",IF(ISNA(MATCH(B14,ListaInsumos,0)),"Insumo no está en Insumos",IF(C14="","Falta cantidad",IF(IFERROR(INDEX(UnidadesBase,MATCH(D14,Unidades,0)),"")&lt;&gt;INDEX(InsBase,MATCH(B14,ListaInsumos,0)),"Unidad incompatible",IF(F14="","Insumo sin compras","OK")))))</f>
        <v>Falta cantidad</v>
      </c>
      <c r="I14" s="15"/>
    </row>
    <row r="15" customFormat="false" ht="15" hidden="false" customHeight="false" outlineLevel="0" collapsed="false">
      <c r="A15" s="15" t="s">
        <v>128</v>
      </c>
      <c r="B15" s="15" t="s">
        <v>67</v>
      </c>
      <c r="C15" s="27"/>
      <c r="D15" s="15" t="s">
        <v>56</v>
      </c>
      <c r="E15" s="25" t="str">
        <f aca="true">IF(OR(C15="",D15=""),"",IFERROR(C15*INDEX(UnidadesFactor,MATCH(D15,Unidades,0)),""))</f>
        <v/>
      </c>
      <c r="F15" s="18" t="n">
        <f aca="true">IF(B15="","",IFERROR(INDEX(InsCosto,MATCH(B15,ListaInsumos,0)),""))</f>
        <v>2.8</v>
      </c>
      <c r="G15" s="19" t="n">
        <f aca="false">IF(AND(A15="",B15=""),"",IF(H15="OK",E15*F15,0))</f>
        <v>0</v>
      </c>
      <c r="H15" s="20" t="str">
        <f aca="true">IF(AND(A15="",B15=""),"",IF(ISNA(MATCH(B15,ListaInsumos,0)),"Insumo no está en Insumos",IF(C15="","Falta cantidad",IF(IFERROR(INDEX(UnidadesBase,MATCH(D15,Unidades,0)),"")&lt;&gt;INDEX(InsBase,MATCH(B15,ListaInsumos,0)),"Unidad incompatible",IF(F15="","Insumo sin compras","OK")))))</f>
        <v>Falta cantidad</v>
      </c>
      <c r="I15" s="15"/>
    </row>
    <row r="16" customFormat="false" ht="15" hidden="false" customHeight="false" outlineLevel="0" collapsed="false">
      <c r="A16" s="15" t="s">
        <v>128</v>
      </c>
      <c r="B16" s="15" t="s">
        <v>58</v>
      </c>
      <c r="C16" s="27"/>
      <c r="D16" s="15" t="s">
        <v>56</v>
      </c>
      <c r="E16" s="25" t="str">
        <f aca="true">IF(OR(C16="",D16=""),"",IFERROR(C16*INDEX(UnidadesFactor,MATCH(D16,Unidades,0)),""))</f>
        <v/>
      </c>
      <c r="F16" s="18" t="n">
        <f aca="true">IF(B16="","",IFERROR(INDEX(InsCosto,MATCH(B16,ListaInsumos,0)),""))</f>
        <v>3.5</v>
      </c>
      <c r="G16" s="19" t="n">
        <f aca="false">IF(AND(A16="",B16=""),"",IF(H16="OK",E16*F16,0))</f>
        <v>0</v>
      </c>
      <c r="H16" s="20" t="str">
        <f aca="true">IF(AND(A16="",B16=""),"",IF(ISNA(MATCH(B16,ListaInsumos,0)),"Insumo no está en Insumos",IF(C16="","Falta cantidad",IF(IFERROR(INDEX(UnidadesBase,MATCH(D16,Unidades,0)),"")&lt;&gt;INDEX(InsBase,MATCH(B16,ListaInsumos,0)),"Unidad incompatible",IF(F16="","Insumo sin compras","OK")))))</f>
        <v>Falta cantidad</v>
      </c>
      <c r="I16" s="15"/>
    </row>
    <row r="17" customFormat="false" ht="15" hidden="false" customHeight="false" outlineLevel="0" collapsed="false">
      <c r="A17" s="15" t="s">
        <v>128</v>
      </c>
      <c r="B17" s="15" t="s">
        <v>57</v>
      </c>
      <c r="C17" s="27"/>
      <c r="D17" s="15" t="s">
        <v>56</v>
      </c>
      <c r="E17" s="25" t="str">
        <f aca="true">IF(OR(C17="",D17=""),"",IFERROR(C17*INDEX(UnidadesFactor,MATCH(D17,Unidades,0)),""))</f>
        <v/>
      </c>
      <c r="F17" s="18" t="n">
        <f aca="true">IF(B17="","",IFERROR(INDEX(InsCosto,MATCH(B17,ListaInsumos,0)),""))</f>
        <v>3</v>
      </c>
      <c r="G17" s="19" t="n">
        <f aca="false">IF(AND(A17="",B17=""),"",IF(H17="OK",E17*F17,0))</f>
        <v>0</v>
      </c>
      <c r="H17" s="20" t="str">
        <f aca="true">IF(AND(A17="",B17=""),"",IF(ISNA(MATCH(B17,ListaInsumos,0)),"Insumo no está en Insumos",IF(C17="","Falta cantidad",IF(IFERROR(INDEX(UnidadesBase,MATCH(D17,Unidades,0)),"")&lt;&gt;INDEX(InsBase,MATCH(B17,ListaInsumos,0)),"Unidad incompatible",IF(F17="","Insumo sin compras","OK")))))</f>
        <v>Falta cantidad</v>
      </c>
      <c r="I17" s="15"/>
    </row>
    <row r="18" customFormat="false" ht="15" hidden="false" customHeight="false" outlineLevel="0" collapsed="false">
      <c r="A18" s="15" t="s">
        <v>128</v>
      </c>
      <c r="B18" s="15" t="s">
        <v>72</v>
      </c>
      <c r="C18" s="27"/>
      <c r="D18" s="15" t="s">
        <v>56</v>
      </c>
      <c r="E18" s="25" t="str">
        <f aca="true">IF(OR(C18="",D18=""),"",IFERROR(C18*INDEX(UnidadesFactor,MATCH(D18,Unidades,0)),""))</f>
        <v/>
      </c>
      <c r="F18" s="18" t="str">
        <f aca="true">IF(B18="","",IFERROR(INDEX(InsCosto,MATCH(B18,ListaInsumos,0)),""))</f>
        <v/>
      </c>
      <c r="G18" s="19" t="n">
        <f aca="false">IF(AND(A18="",B18=""),"",IF(H18="OK",E18*F18,0))</f>
        <v>0</v>
      </c>
      <c r="H18" s="20" t="str">
        <f aca="true">IF(AND(A18="",B18=""),"",IF(ISNA(MATCH(B18,ListaInsumos,0)),"Insumo no está en Insumos",IF(C18="","Falta cantidad",IF(IFERROR(INDEX(UnidadesBase,MATCH(D18,Unidades,0)),"")&lt;&gt;INDEX(InsBase,MATCH(B18,ListaInsumos,0)),"Unidad incompatible",IF(F18="","Insumo sin compras","OK")))))</f>
        <v>Falta cantidad</v>
      </c>
      <c r="I18" s="15"/>
    </row>
    <row r="19" customFormat="false" ht="15" hidden="false" customHeight="false" outlineLevel="0" collapsed="false">
      <c r="A19" s="15" t="s">
        <v>128</v>
      </c>
      <c r="B19" s="15" t="s">
        <v>86</v>
      </c>
      <c r="C19" s="27"/>
      <c r="D19" s="15" t="s">
        <v>56</v>
      </c>
      <c r="E19" s="25" t="str">
        <f aca="true">IF(OR(C19="",D19=""),"",IFERROR(C19*INDEX(UnidadesFactor,MATCH(D19,Unidades,0)),""))</f>
        <v/>
      </c>
      <c r="F19" s="18" t="n">
        <f aca="true">IF(B19="","",IFERROR(INDEX(InsCosto,MATCH(B19,ListaInsumos,0)),""))</f>
        <v>5</v>
      </c>
      <c r="G19" s="19" t="n">
        <f aca="false">IF(AND(A19="",B19=""),"",IF(H19="OK",E19*F19,0))</f>
        <v>0</v>
      </c>
      <c r="H19" s="20" t="str">
        <f aca="true">IF(AND(A19="",B19=""),"",IF(ISNA(MATCH(B19,ListaInsumos,0)),"Insumo no está en Insumos",IF(C19="","Falta cantidad",IF(IFERROR(INDEX(UnidadesBase,MATCH(D19,Unidades,0)),"")&lt;&gt;INDEX(InsBase,MATCH(B19,ListaInsumos,0)),"Unidad incompatible",IF(F19="","Insumo sin compras","OK")))))</f>
        <v>Falta cantidad</v>
      </c>
      <c r="I19" s="15"/>
    </row>
    <row r="20" customFormat="false" ht="15" hidden="false" customHeight="false" outlineLevel="0" collapsed="false">
      <c r="A20" s="15" t="s">
        <v>129</v>
      </c>
      <c r="B20" s="15" t="s">
        <v>67</v>
      </c>
      <c r="C20" s="27"/>
      <c r="D20" s="15" t="s">
        <v>56</v>
      </c>
      <c r="E20" s="25" t="str">
        <f aca="true">IF(OR(C20="",D20=""),"",IFERROR(C20*INDEX(UnidadesFactor,MATCH(D20,Unidades,0)),""))</f>
        <v/>
      </c>
      <c r="F20" s="18" t="n">
        <f aca="true">IF(B20="","",IFERROR(INDEX(InsCosto,MATCH(B20,ListaInsumos,0)),""))</f>
        <v>2.8</v>
      </c>
      <c r="G20" s="19" t="n">
        <f aca="false">IF(AND(A20="",B20=""),"",IF(H20="OK",E20*F20,0))</f>
        <v>0</v>
      </c>
      <c r="H20" s="20" t="str">
        <f aca="true">IF(AND(A20="",B20=""),"",IF(ISNA(MATCH(B20,ListaInsumos,0)),"Insumo no está en Insumos",IF(C20="","Falta cantidad",IF(IFERROR(INDEX(UnidadesBase,MATCH(D20,Unidades,0)),"")&lt;&gt;INDEX(InsBase,MATCH(B20,ListaInsumos,0)),"Unidad incompatible",IF(F20="","Insumo sin compras","OK")))))</f>
        <v>Falta cantidad</v>
      </c>
      <c r="I20" s="15"/>
    </row>
    <row r="21" customFormat="false" ht="15" hidden="false" customHeight="false" outlineLevel="0" collapsed="false">
      <c r="A21" s="15" t="s">
        <v>129</v>
      </c>
      <c r="B21" s="15" t="s">
        <v>89</v>
      </c>
      <c r="C21" s="27"/>
      <c r="D21" s="15" t="s">
        <v>56</v>
      </c>
      <c r="E21" s="25" t="str">
        <f aca="true">IF(OR(C21="",D21=""),"",IFERROR(C21*INDEX(UnidadesFactor,MATCH(D21,Unidades,0)),""))</f>
        <v/>
      </c>
      <c r="F21" s="18" t="str">
        <f aca="true">IF(B21="","",IFERROR(INDEX(InsCosto,MATCH(B21,ListaInsumos,0)),""))</f>
        <v/>
      </c>
      <c r="G21" s="19" t="n">
        <f aca="false">IF(AND(A21="",B21=""),"",IF(H21="OK",E21*F21,0))</f>
        <v>0</v>
      </c>
      <c r="H21" s="20" t="str">
        <f aca="true">IF(AND(A21="",B21=""),"",IF(ISNA(MATCH(B21,ListaInsumos,0)),"Insumo no está en Insumos",IF(C21="","Falta cantidad",IF(IFERROR(INDEX(UnidadesBase,MATCH(D21,Unidades,0)),"")&lt;&gt;INDEX(InsBase,MATCH(B21,ListaInsumos,0)),"Unidad incompatible",IF(F21="","Insumo sin compras","OK")))))</f>
        <v>Falta cantidad</v>
      </c>
      <c r="I21" s="15"/>
    </row>
    <row r="22" customFormat="false" ht="15" hidden="false" customHeight="false" outlineLevel="0" collapsed="false">
      <c r="A22" s="15" t="s">
        <v>129</v>
      </c>
      <c r="B22" s="15" t="s">
        <v>68</v>
      </c>
      <c r="C22" s="27"/>
      <c r="D22" s="15" t="s">
        <v>56</v>
      </c>
      <c r="E22" s="25" t="str">
        <f aca="true">IF(OR(C22="",D22=""),"",IFERROR(C22*INDEX(UnidadesFactor,MATCH(D22,Unidades,0)),""))</f>
        <v/>
      </c>
      <c r="F22" s="18" t="str">
        <f aca="true">IF(B22="","",IFERROR(INDEX(InsCosto,MATCH(B22,ListaInsumos,0)),""))</f>
        <v/>
      </c>
      <c r="G22" s="19" t="n">
        <f aca="false">IF(AND(A22="",B22=""),"",IF(H22="OK",E22*F22,0))</f>
        <v>0</v>
      </c>
      <c r="H22" s="20" t="str">
        <f aca="true">IF(AND(A22="",B22=""),"",IF(ISNA(MATCH(B22,ListaInsumos,0)),"Insumo no está en Insumos",IF(C22="","Falta cantidad",IF(IFERROR(INDEX(UnidadesBase,MATCH(D22,Unidades,0)),"")&lt;&gt;INDEX(InsBase,MATCH(B22,ListaInsumos,0)),"Unidad incompatible",IF(F22="","Insumo sin compras","OK")))))</f>
        <v>Falta cantidad</v>
      </c>
      <c r="I22" s="15"/>
    </row>
    <row r="23" customFormat="false" ht="15" hidden="false" customHeight="false" outlineLevel="0" collapsed="false">
      <c r="A23" s="15" t="s">
        <v>129</v>
      </c>
      <c r="B23" s="15" t="s">
        <v>52</v>
      </c>
      <c r="C23" s="27"/>
      <c r="D23" s="15" t="s">
        <v>54</v>
      </c>
      <c r="E23" s="25" t="str">
        <f aca="true">IF(OR(C23="",D23=""),"",IFERROR(C23*INDEX(UnidadesFactor,MATCH(D23,Unidades,0)),""))</f>
        <v/>
      </c>
      <c r="F23" s="18" t="n">
        <f aca="true">IF(B23="","",IFERROR(INDEX(InsCosto,MATCH(B23,ListaInsumos,0)),""))</f>
        <v>18</v>
      </c>
      <c r="G23" s="19" t="n">
        <f aca="false">IF(AND(A23="",B23=""),"",IF(H23="OK",E23*F23,0))</f>
        <v>0</v>
      </c>
      <c r="H23" s="20" t="str">
        <f aca="true">IF(AND(A23="",B23=""),"",IF(ISNA(MATCH(B23,ListaInsumos,0)),"Insumo no está en Insumos",IF(C23="","Falta cantidad",IF(IFERROR(INDEX(UnidadesBase,MATCH(D23,Unidades,0)),"")&lt;&gt;INDEX(InsBase,MATCH(B23,ListaInsumos,0)),"Unidad incompatible",IF(F23="","Insumo sin compras","OK")))))</f>
        <v>Falta cantidad</v>
      </c>
      <c r="I23" s="15"/>
    </row>
    <row r="24" customFormat="false" ht="15" hidden="false" customHeight="false" outlineLevel="0" collapsed="false">
      <c r="A24" s="15" t="s">
        <v>129</v>
      </c>
      <c r="B24" s="15" t="s">
        <v>86</v>
      </c>
      <c r="C24" s="27"/>
      <c r="D24" s="15" t="s">
        <v>56</v>
      </c>
      <c r="E24" s="25" t="str">
        <f aca="true">IF(OR(C24="",D24=""),"",IFERROR(C24*INDEX(UnidadesFactor,MATCH(D24,Unidades,0)),""))</f>
        <v/>
      </c>
      <c r="F24" s="18" t="n">
        <f aca="true">IF(B24="","",IFERROR(INDEX(InsCosto,MATCH(B24,ListaInsumos,0)),""))</f>
        <v>5</v>
      </c>
      <c r="G24" s="19" t="n">
        <f aca="false">IF(AND(A24="",B24=""),"",IF(H24="OK",E24*F24,0))</f>
        <v>0</v>
      </c>
      <c r="H24" s="20" t="str">
        <f aca="true">IF(AND(A24="",B24=""),"",IF(ISNA(MATCH(B24,ListaInsumos,0)),"Insumo no está en Insumos",IF(C24="","Falta cantidad",IF(IFERROR(INDEX(UnidadesBase,MATCH(D24,Unidades,0)),"")&lt;&gt;INDEX(InsBase,MATCH(B24,ListaInsumos,0)),"Unidad incompatible",IF(F24="","Insumo sin compras","OK")))))</f>
        <v>Falta cantidad</v>
      </c>
      <c r="I24" s="15"/>
    </row>
    <row r="25" customFormat="false" ht="15" hidden="false" customHeight="false" outlineLevel="0" collapsed="false">
      <c r="A25" s="15" t="s">
        <v>129</v>
      </c>
      <c r="B25" s="15" t="s">
        <v>81</v>
      </c>
      <c r="C25" s="27"/>
      <c r="D25" s="15" t="s">
        <v>56</v>
      </c>
      <c r="E25" s="25" t="str">
        <f aca="true">IF(OR(C25="",D25=""),"",IFERROR(C25*INDEX(UnidadesFactor,MATCH(D25,Unidades,0)),""))</f>
        <v/>
      </c>
      <c r="F25" s="18" t="str">
        <f aca="true">IF(B25="","",IFERROR(INDEX(InsCosto,MATCH(B25,ListaInsumos,0)),""))</f>
        <v/>
      </c>
      <c r="G25" s="19" t="n">
        <f aca="false">IF(AND(A25="",B25=""),"",IF(H25="OK",E25*F25,0))</f>
        <v>0</v>
      </c>
      <c r="H25" s="20" t="str">
        <f aca="true">IF(AND(A25="",B25=""),"",IF(ISNA(MATCH(B25,ListaInsumos,0)),"Insumo no está en Insumos",IF(C25="","Falta cantidad",IF(IFERROR(INDEX(UnidadesBase,MATCH(D25,Unidades,0)),"")&lt;&gt;INDEX(InsBase,MATCH(B25,ListaInsumos,0)),"Unidad incompatible",IF(F25="","Insumo sin compras","OK")))))</f>
        <v>Falta cantidad</v>
      </c>
      <c r="I25" s="15"/>
    </row>
    <row r="26" customFormat="false" ht="15" hidden="false" customHeight="false" outlineLevel="0" collapsed="false">
      <c r="A26" s="15" t="s">
        <v>129</v>
      </c>
      <c r="B26" s="15" t="s">
        <v>66</v>
      </c>
      <c r="C26" s="27"/>
      <c r="D26" s="15" t="s">
        <v>56</v>
      </c>
      <c r="E26" s="25" t="str">
        <f aca="true">IF(OR(C26="",D26=""),"",IFERROR(C26*INDEX(UnidadesFactor,MATCH(D26,Unidades,0)),""))</f>
        <v/>
      </c>
      <c r="F26" s="18" t="n">
        <f aca="true">IF(B26="","",IFERROR(INDEX(InsCosto,MATCH(B26,ListaInsumos,0)),""))</f>
        <v>60</v>
      </c>
      <c r="G26" s="19" t="n">
        <f aca="false">IF(AND(A26="",B26=""),"",IF(H26="OK",E26*F26,0))</f>
        <v>0</v>
      </c>
      <c r="H26" s="20" t="str">
        <f aca="true">IF(AND(A26="",B26=""),"",IF(ISNA(MATCH(B26,ListaInsumos,0)),"Insumo no está en Insumos",IF(C26="","Falta cantidad",IF(IFERROR(INDEX(UnidadesBase,MATCH(D26,Unidades,0)),"")&lt;&gt;INDEX(InsBase,MATCH(B26,ListaInsumos,0)),"Unidad incompatible",IF(F26="","Insumo sin compras","OK")))))</f>
        <v>Falta cantidad</v>
      </c>
      <c r="I26" s="15"/>
    </row>
    <row r="27" customFormat="false" ht="15" hidden="false" customHeight="false" outlineLevel="0" collapsed="false">
      <c r="A27" s="15" t="s">
        <v>129</v>
      </c>
      <c r="B27" s="15" t="s">
        <v>87</v>
      </c>
      <c r="C27" s="27"/>
      <c r="D27" s="15" t="s">
        <v>56</v>
      </c>
      <c r="E27" s="25" t="str">
        <f aca="true">IF(OR(C27="",D27=""),"",IFERROR(C27*INDEX(UnidadesFactor,MATCH(D27,Unidades,0)),""))</f>
        <v/>
      </c>
      <c r="F27" s="18" t="str">
        <f aca="true">IF(B27="","",IFERROR(INDEX(InsCosto,MATCH(B27,ListaInsumos,0)),""))</f>
        <v/>
      </c>
      <c r="G27" s="19" t="n">
        <f aca="false">IF(AND(A27="",B27=""),"",IF(H27="OK",E27*F27,0))</f>
        <v>0</v>
      </c>
      <c r="H27" s="20" t="str">
        <f aca="true">IF(AND(A27="",B27=""),"",IF(ISNA(MATCH(B27,ListaInsumos,0)),"Insumo no está en Insumos",IF(C27="","Falta cantidad",IF(IFERROR(INDEX(UnidadesBase,MATCH(D27,Unidades,0)),"")&lt;&gt;INDEX(InsBase,MATCH(B27,ListaInsumos,0)),"Unidad incompatible",IF(F27="","Insumo sin compras","OK")))))</f>
        <v>Falta cantidad</v>
      </c>
      <c r="I27" s="15"/>
    </row>
    <row r="28" customFormat="false" ht="15" hidden="false" customHeight="false" outlineLevel="0" collapsed="false">
      <c r="A28" s="22" t="s">
        <v>130</v>
      </c>
      <c r="B28" s="22" t="s">
        <v>57</v>
      </c>
      <c r="C28" s="23" t="n">
        <v>200</v>
      </c>
      <c r="D28" s="22" t="s">
        <v>56</v>
      </c>
      <c r="E28" s="25" t="n">
        <f aca="true">IF(OR(C28="",D28=""),"",IFERROR(C28*INDEX(UnidadesFactor,MATCH(D28,Unidades,0)),""))</f>
        <v>200</v>
      </c>
      <c r="F28" s="18" t="n">
        <f aca="true">IF(B28="","",IFERROR(INDEX(InsCosto,MATCH(B28,ListaInsumos,0)),""))</f>
        <v>3</v>
      </c>
      <c r="G28" s="19" t="n">
        <f aca="false">IF(AND(A28="",B28=""),"",IF(H28="OK",E28*F28,0))</f>
        <v>600</v>
      </c>
      <c r="H28" s="20" t="str">
        <f aca="true">IF(AND(A28="",B28=""),"",IF(ISNA(MATCH(B28,ListaInsumos,0)),"Insumo no está en Insumos",IF(C28="","Falta cantidad",IF(IFERROR(INDEX(UnidadesBase,MATCH(D28,Unidades,0)),"")&lt;&gt;INDEX(InsBase,MATCH(B28,ListaInsumos,0)),"Unidad incompatible",IF(F28="","Insumo sin compras","OK")))))</f>
        <v>OK</v>
      </c>
      <c r="I28" s="22" t="s">
        <v>117</v>
      </c>
    </row>
    <row r="29" customFormat="false" ht="15" hidden="false" customHeight="false" outlineLevel="0" collapsed="false">
      <c r="A29" s="22" t="s">
        <v>130</v>
      </c>
      <c r="B29" s="22" t="s">
        <v>67</v>
      </c>
      <c r="C29" s="23" t="n">
        <v>150</v>
      </c>
      <c r="D29" s="22" t="s">
        <v>56</v>
      </c>
      <c r="E29" s="25" t="n">
        <f aca="true">IF(OR(C29="",D29=""),"",IFERROR(C29*INDEX(UnidadesFactor,MATCH(D29,Unidades,0)),""))</f>
        <v>150</v>
      </c>
      <c r="F29" s="18" t="n">
        <f aca="true">IF(B29="","",IFERROR(INDEX(InsCosto,MATCH(B29,ListaInsumos,0)),""))</f>
        <v>2.8</v>
      </c>
      <c r="G29" s="19" t="n">
        <f aca="false">IF(AND(A29="",B29=""),"",IF(H29="OK",E29*F29,0))</f>
        <v>420</v>
      </c>
      <c r="H29" s="20" t="str">
        <f aca="true">IF(AND(A29="",B29=""),"",IF(ISNA(MATCH(B29,ListaInsumos,0)),"Insumo no está en Insumos",IF(C29="","Falta cantidad",IF(IFERROR(INDEX(UnidadesBase,MATCH(D29,Unidades,0)),"")&lt;&gt;INDEX(InsBase,MATCH(B29,ListaInsumos,0)),"Unidad incompatible",IF(F29="","Insumo sin compras","OK")))))</f>
        <v>OK</v>
      </c>
      <c r="I29" s="22" t="s">
        <v>117</v>
      </c>
    </row>
    <row r="30" customFormat="false" ht="15" hidden="false" customHeight="false" outlineLevel="0" collapsed="false">
      <c r="A30" s="22" t="s">
        <v>130</v>
      </c>
      <c r="B30" s="22" t="s">
        <v>58</v>
      </c>
      <c r="C30" s="23" t="n">
        <v>100</v>
      </c>
      <c r="D30" s="22" t="s">
        <v>56</v>
      </c>
      <c r="E30" s="25" t="n">
        <f aca="true">IF(OR(C30="",D30=""),"",IFERROR(C30*INDEX(UnidadesFactor,MATCH(D30,Unidades,0)),""))</f>
        <v>100</v>
      </c>
      <c r="F30" s="18" t="n">
        <f aca="true">IF(B30="","",IFERROR(INDEX(InsCosto,MATCH(B30,ListaInsumos,0)),""))</f>
        <v>3.5</v>
      </c>
      <c r="G30" s="19" t="n">
        <f aca="false">IF(AND(A30="",B30=""),"",IF(H30="OK",E30*F30,0))</f>
        <v>350</v>
      </c>
      <c r="H30" s="20" t="str">
        <f aca="true">IF(AND(A30="",B30=""),"",IF(ISNA(MATCH(B30,ListaInsumos,0)),"Insumo no está en Insumos",IF(C30="","Falta cantidad",IF(IFERROR(INDEX(UnidadesBase,MATCH(D30,Unidades,0)),"")&lt;&gt;INDEX(InsBase,MATCH(B30,ListaInsumos,0)),"Unidad incompatible",IF(F30="","Insumo sin compras","OK")))))</f>
        <v>OK</v>
      </c>
      <c r="I30" s="22" t="s">
        <v>117</v>
      </c>
    </row>
    <row r="31" customFormat="false" ht="15" hidden="false" customHeight="false" outlineLevel="0" collapsed="false">
      <c r="A31" s="22" t="s">
        <v>130</v>
      </c>
      <c r="B31" s="22" t="s">
        <v>52</v>
      </c>
      <c r="C31" s="23" t="n">
        <v>60</v>
      </c>
      <c r="D31" s="22" t="s">
        <v>54</v>
      </c>
      <c r="E31" s="25" t="n">
        <f aca="true">IF(OR(C31="",D31=""),"",IFERROR(C31*INDEX(UnidadesFactor,MATCH(D31,Unidades,0)),""))</f>
        <v>60</v>
      </c>
      <c r="F31" s="18" t="n">
        <f aca="true">IF(B31="","",IFERROR(INDEX(InsCosto,MATCH(B31,ListaInsumos,0)),""))</f>
        <v>18</v>
      </c>
      <c r="G31" s="19" t="n">
        <f aca="false">IF(AND(A31="",B31=""),"",IF(H31="OK",E31*F31,0))</f>
        <v>1080</v>
      </c>
      <c r="H31" s="20" t="str">
        <f aca="true">IF(AND(A31="",B31=""),"",IF(ISNA(MATCH(B31,ListaInsumos,0)),"Insumo no está en Insumos",IF(C31="","Falta cantidad",IF(IFERROR(INDEX(UnidadesBase,MATCH(D31,Unidades,0)),"")&lt;&gt;INDEX(InsBase,MATCH(B31,ListaInsumos,0)),"Unidad incompatible",IF(F31="","Insumo sin compras","OK")))))</f>
        <v>OK</v>
      </c>
      <c r="I31" s="22" t="s">
        <v>117</v>
      </c>
    </row>
    <row r="32" customFormat="false" ht="15" hidden="false" customHeight="false" outlineLevel="0" collapsed="false">
      <c r="A32" s="22" t="s">
        <v>130</v>
      </c>
      <c r="B32" s="22" t="s">
        <v>86</v>
      </c>
      <c r="C32" s="23" t="n">
        <v>5</v>
      </c>
      <c r="D32" s="22" t="s">
        <v>56</v>
      </c>
      <c r="E32" s="25" t="n">
        <f aca="true">IF(OR(C32="",D32=""),"",IFERROR(C32*INDEX(UnidadesFactor,MATCH(D32,Unidades,0)),""))</f>
        <v>5</v>
      </c>
      <c r="F32" s="18" t="n">
        <f aca="true">IF(B32="","",IFERROR(INDEX(InsCosto,MATCH(B32,ListaInsumos,0)),""))</f>
        <v>5</v>
      </c>
      <c r="G32" s="19" t="n">
        <f aca="false">IF(AND(A32="",B32=""),"",IF(H32="OK",E32*F32,0))</f>
        <v>25</v>
      </c>
      <c r="H32" s="20" t="str">
        <f aca="true">IF(AND(A32="",B32=""),"",IF(ISNA(MATCH(B32,ListaInsumos,0)),"Insumo no está en Insumos",IF(C32="","Falta cantidad",IF(IFERROR(INDEX(UnidadesBase,MATCH(D32,Unidades,0)),"")&lt;&gt;INDEX(InsBase,MATCH(B32,ListaInsumos,0)),"Unidad incompatible",IF(F32="","Insumo sin compras","OK")))))</f>
        <v>OK</v>
      </c>
      <c r="I32" s="22" t="s">
        <v>117</v>
      </c>
    </row>
    <row r="33" customFormat="false" ht="15" hidden="false" customHeight="false" outlineLevel="0" collapsed="false">
      <c r="A33" s="22" t="s">
        <v>130</v>
      </c>
      <c r="B33" s="22" t="s">
        <v>66</v>
      </c>
      <c r="C33" s="23" t="n">
        <v>5</v>
      </c>
      <c r="D33" s="22" t="s">
        <v>56</v>
      </c>
      <c r="E33" s="25" t="n">
        <f aca="true">IF(OR(C33="",D33=""),"",IFERROR(C33*INDEX(UnidadesFactor,MATCH(D33,Unidades,0)),""))</f>
        <v>5</v>
      </c>
      <c r="F33" s="18" t="n">
        <f aca="true">IF(B33="","",IFERROR(INDEX(InsCosto,MATCH(B33,ListaInsumos,0)),""))</f>
        <v>60</v>
      </c>
      <c r="G33" s="19" t="n">
        <f aca="false">IF(AND(A33="",B33=""),"",IF(H33="OK",E33*F33,0))</f>
        <v>300</v>
      </c>
      <c r="H33" s="20" t="str">
        <f aca="true">IF(AND(A33="",B33=""),"",IF(ISNA(MATCH(B33,ListaInsumos,0)),"Insumo no está en Insumos",IF(C33="","Falta cantidad",IF(IFERROR(INDEX(UnidadesBase,MATCH(D33,Unidades,0)),"")&lt;&gt;INDEX(InsBase,MATCH(B33,ListaInsumos,0)),"Unidad incompatible",IF(F33="","Insumo sin compras","OK")))))</f>
        <v>OK</v>
      </c>
      <c r="I33" s="22" t="s">
        <v>117</v>
      </c>
    </row>
    <row r="34" customFormat="false" ht="15" hidden="false" customHeight="false" outlineLevel="0" collapsed="false">
      <c r="A34" s="22" t="s">
        <v>130</v>
      </c>
      <c r="B34" s="22" t="s">
        <v>82</v>
      </c>
      <c r="C34" s="23" t="n">
        <v>8</v>
      </c>
      <c r="D34" s="22" t="s">
        <v>56</v>
      </c>
      <c r="E34" s="25" t="n">
        <f aca="true">IF(OR(C34="",D34=""),"",IFERROR(C34*INDEX(UnidadesFactor,MATCH(D34,Unidades,0)),""))</f>
        <v>8</v>
      </c>
      <c r="F34" s="18" t="n">
        <f aca="true">IF(B34="","",IFERROR(INDEX(InsCosto,MATCH(B34,ListaInsumos,0)),""))</f>
        <v>15</v>
      </c>
      <c r="G34" s="19" t="n">
        <f aca="false">IF(AND(A34="",B34=""),"",IF(H34="OK",E34*F34,0))</f>
        <v>120</v>
      </c>
      <c r="H34" s="20" t="str">
        <f aca="true">IF(AND(A34="",B34=""),"",IF(ISNA(MATCH(B34,ListaInsumos,0)),"Insumo no está en Insumos",IF(C34="","Falta cantidad",IF(IFERROR(INDEX(UnidadesBase,MATCH(D34,Unidades,0)),"")&lt;&gt;INDEX(InsBase,MATCH(B34,ListaInsumos,0)),"Unidad incompatible",IF(F34="","Insumo sin compras","OK")))))</f>
        <v>OK</v>
      </c>
      <c r="I34" s="22" t="s">
        <v>117</v>
      </c>
    </row>
    <row r="35" customFormat="false" ht="15" hidden="false" customHeight="false" outlineLevel="0" collapsed="false">
      <c r="A35" s="15" t="s">
        <v>131</v>
      </c>
      <c r="B35" s="15" t="s">
        <v>74</v>
      </c>
      <c r="C35" s="27"/>
      <c r="D35" s="15" t="s">
        <v>56</v>
      </c>
      <c r="E35" s="25" t="str">
        <f aca="true">IF(OR(C35="",D35=""),"",IFERROR(C35*INDEX(UnidadesFactor,MATCH(D35,Unidades,0)),""))</f>
        <v/>
      </c>
      <c r="F35" s="18" t="str">
        <f aca="true">IF(B35="","",IFERROR(INDEX(InsCosto,MATCH(B35,ListaInsumos,0)),""))</f>
        <v/>
      </c>
      <c r="G35" s="19" t="n">
        <f aca="false">IF(AND(A35="",B35=""),"",IF(H35="OK",E35*F35,0))</f>
        <v>0</v>
      </c>
      <c r="H35" s="20" t="str">
        <f aca="true">IF(AND(A35="",B35=""),"",IF(ISNA(MATCH(B35,ListaInsumos,0)),"Insumo no está en Insumos",IF(C35="","Falta cantidad",IF(IFERROR(INDEX(UnidadesBase,MATCH(D35,Unidades,0)),"")&lt;&gt;INDEX(InsBase,MATCH(B35,ListaInsumos,0)),"Unidad incompatible",IF(F35="","Insumo sin compras","OK")))))</f>
        <v>Falta cantidad</v>
      </c>
      <c r="I35" s="15"/>
    </row>
    <row r="36" customFormat="false" ht="15" hidden="false" customHeight="false" outlineLevel="0" collapsed="false">
      <c r="A36" s="15" t="s">
        <v>131</v>
      </c>
      <c r="B36" s="15" t="s">
        <v>61</v>
      </c>
      <c r="C36" s="27"/>
      <c r="D36" s="15" t="s">
        <v>56</v>
      </c>
      <c r="E36" s="25" t="str">
        <f aca="true">IF(OR(C36="",D36=""),"",IFERROR(C36*INDEX(UnidadesFactor,MATCH(D36,Unidades,0)),""))</f>
        <v/>
      </c>
      <c r="F36" s="18" t="str">
        <f aca="true">IF(B36="","",IFERROR(INDEX(InsCosto,MATCH(B36,ListaInsumos,0)),""))</f>
        <v/>
      </c>
      <c r="G36" s="19" t="n">
        <f aca="false">IF(AND(A36="",B36=""),"",IF(H36="OK",E36*F36,0))</f>
        <v>0</v>
      </c>
      <c r="H36" s="20" t="str">
        <f aca="true">IF(AND(A36="",B36=""),"",IF(ISNA(MATCH(B36,ListaInsumos,0)),"Insumo no está en Insumos",IF(C36="","Falta cantidad",IF(IFERROR(INDEX(UnidadesBase,MATCH(D36,Unidades,0)),"")&lt;&gt;INDEX(InsBase,MATCH(B36,ListaInsumos,0)),"Unidad incompatible",IF(F36="","Insumo sin compras","OK")))))</f>
        <v>Falta cantidad</v>
      </c>
      <c r="I36" s="15"/>
    </row>
    <row r="37" customFormat="false" ht="15" hidden="false" customHeight="false" outlineLevel="0" collapsed="false">
      <c r="A37" s="15" t="s">
        <v>131</v>
      </c>
      <c r="B37" s="15" t="s">
        <v>80</v>
      </c>
      <c r="C37" s="27"/>
      <c r="D37" s="15" t="s">
        <v>56</v>
      </c>
      <c r="E37" s="25" t="str">
        <f aca="true">IF(OR(C37="",D37=""),"",IFERROR(C37*INDEX(UnidadesFactor,MATCH(D37,Unidades,0)),""))</f>
        <v/>
      </c>
      <c r="F37" s="18" t="str">
        <f aca="true">IF(B37="","",IFERROR(INDEX(InsCosto,MATCH(B37,ListaInsumos,0)),""))</f>
        <v/>
      </c>
      <c r="G37" s="19" t="n">
        <f aca="false">IF(AND(A37="",B37=""),"",IF(H37="OK",E37*F37,0))</f>
        <v>0</v>
      </c>
      <c r="H37" s="20" t="str">
        <f aca="true">IF(AND(A37="",B37=""),"",IF(ISNA(MATCH(B37,ListaInsumos,0)),"Insumo no está en Insumos",IF(C37="","Falta cantidad",IF(IFERROR(INDEX(UnidadesBase,MATCH(D37,Unidades,0)),"")&lt;&gt;INDEX(InsBase,MATCH(B37,ListaInsumos,0)),"Unidad incompatible",IF(F37="","Insumo sin compras","OK")))))</f>
        <v>Falta cantidad</v>
      </c>
      <c r="I37" s="15"/>
    </row>
    <row r="38" customFormat="false" ht="15" hidden="false" customHeight="false" outlineLevel="0" collapsed="false">
      <c r="A38" s="15" t="s">
        <v>131</v>
      </c>
      <c r="B38" s="15" t="s">
        <v>63</v>
      </c>
      <c r="C38" s="27"/>
      <c r="D38" s="15" t="s">
        <v>56</v>
      </c>
      <c r="E38" s="25" t="str">
        <f aca="true">IF(OR(C38="",D38=""),"",IFERROR(C38*INDEX(UnidadesFactor,MATCH(D38,Unidades,0)),""))</f>
        <v/>
      </c>
      <c r="F38" s="18" t="str">
        <f aca="true">IF(B38="","",IFERROR(INDEX(InsCosto,MATCH(B38,ListaInsumos,0)),""))</f>
        <v/>
      </c>
      <c r="G38" s="19" t="n">
        <f aca="false">IF(AND(A38="",B38=""),"",IF(H38="OK",E38*F38,0))</f>
        <v>0</v>
      </c>
      <c r="H38" s="20" t="str">
        <f aca="true">IF(AND(A38="",B38=""),"",IF(ISNA(MATCH(B38,ListaInsumos,0)),"Insumo no está en Insumos",IF(C38="","Falta cantidad",IF(IFERROR(INDEX(UnidadesBase,MATCH(D38,Unidades,0)),"")&lt;&gt;INDEX(InsBase,MATCH(B38,ListaInsumos,0)),"Unidad incompatible",IF(F38="","Insumo sin compras","OK")))))</f>
        <v>Falta cantidad</v>
      </c>
      <c r="I38" s="15"/>
    </row>
    <row r="39" customFormat="false" ht="15" hidden="false" customHeight="false" outlineLevel="0" collapsed="false">
      <c r="A39" s="15" t="s">
        <v>131</v>
      </c>
      <c r="B39" s="15" t="s">
        <v>52</v>
      </c>
      <c r="C39" s="27"/>
      <c r="D39" s="15" t="s">
        <v>54</v>
      </c>
      <c r="E39" s="25" t="str">
        <f aca="true">IF(OR(C39="",D39=""),"",IFERROR(C39*INDEX(UnidadesFactor,MATCH(D39,Unidades,0)),""))</f>
        <v/>
      </c>
      <c r="F39" s="18" t="n">
        <f aca="true">IF(B39="","",IFERROR(INDEX(InsCosto,MATCH(B39,ListaInsumos,0)),""))</f>
        <v>18</v>
      </c>
      <c r="G39" s="19" t="n">
        <f aca="false">IF(AND(A39="",B39=""),"",IF(H39="OK",E39*F39,0))</f>
        <v>0</v>
      </c>
      <c r="H39" s="20" t="str">
        <f aca="true">IF(AND(A39="",B39=""),"",IF(ISNA(MATCH(B39,ListaInsumos,0)),"Insumo no está en Insumos",IF(C39="","Falta cantidad",IF(IFERROR(INDEX(UnidadesBase,MATCH(D39,Unidades,0)),"")&lt;&gt;INDEX(InsBase,MATCH(B39,ListaInsumos,0)),"Unidad incompatible",IF(F39="","Insumo sin compras","OK")))))</f>
        <v>Falta cantidad</v>
      </c>
      <c r="I39" s="15"/>
    </row>
    <row r="40" customFormat="false" ht="15" hidden="false" customHeight="false" outlineLevel="0" collapsed="false">
      <c r="A40" s="15" t="s">
        <v>131</v>
      </c>
      <c r="B40" s="15" t="s">
        <v>86</v>
      </c>
      <c r="C40" s="27"/>
      <c r="D40" s="15" t="s">
        <v>56</v>
      </c>
      <c r="E40" s="25" t="str">
        <f aca="true">IF(OR(C40="",D40=""),"",IFERROR(C40*INDEX(UnidadesFactor,MATCH(D40,Unidades,0)),""))</f>
        <v/>
      </c>
      <c r="F40" s="18" t="n">
        <f aca="true">IF(B40="","",IFERROR(INDEX(InsCosto,MATCH(B40,ListaInsumos,0)),""))</f>
        <v>5</v>
      </c>
      <c r="G40" s="19" t="n">
        <f aca="false">IF(AND(A40="",B40=""),"",IF(H40="OK",E40*F40,0))</f>
        <v>0</v>
      </c>
      <c r="H40" s="20" t="str">
        <f aca="true">IF(AND(A40="",B40=""),"",IF(ISNA(MATCH(B40,ListaInsumos,0)),"Insumo no está en Insumos",IF(C40="","Falta cantidad",IF(IFERROR(INDEX(UnidadesBase,MATCH(D40,Unidades,0)),"")&lt;&gt;INDEX(InsBase,MATCH(B40,ListaInsumos,0)),"Unidad incompatible",IF(F40="","Insumo sin compras","OK")))))</f>
        <v>Falta cantidad</v>
      </c>
      <c r="I40" s="15"/>
    </row>
    <row r="41" customFormat="false" ht="15" hidden="false" customHeight="false" outlineLevel="0" collapsed="false">
      <c r="A41" s="15" t="s">
        <v>131</v>
      </c>
      <c r="B41" s="15" t="s">
        <v>66</v>
      </c>
      <c r="C41" s="27"/>
      <c r="D41" s="15" t="s">
        <v>56</v>
      </c>
      <c r="E41" s="25" t="str">
        <f aca="true">IF(OR(C41="",D41=""),"",IFERROR(C41*INDEX(UnidadesFactor,MATCH(D41,Unidades,0)),""))</f>
        <v/>
      </c>
      <c r="F41" s="18" t="n">
        <f aca="true">IF(B41="","",IFERROR(INDEX(InsCosto,MATCH(B41,ListaInsumos,0)),""))</f>
        <v>60</v>
      </c>
      <c r="G41" s="19" t="n">
        <f aca="false">IF(AND(A41="",B41=""),"",IF(H41="OK",E41*F41,0))</f>
        <v>0</v>
      </c>
      <c r="H41" s="20" t="str">
        <f aca="true">IF(AND(A41="",B41=""),"",IF(ISNA(MATCH(B41,ListaInsumos,0)),"Insumo no está en Insumos",IF(C41="","Falta cantidad",IF(IFERROR(INDEX(UnidadesBase,MATCH(D41,Unidades,0)),"")&lt;&gt;INDEX(InsBase,MATCH(B41,ListaInsumos,0)),"Unidad incompatible",IF(F41="","Insumo sin compras","OK")))))</f>
        <v>Falta cantidad</v>
      </c>
      <c r="I41" s="15"/>
    </row>
    <row r="42" customFormat="false" ht="15" hidden="false" customHeight="false" outlineLevel="0" collapsed="false">
      <c r="A42" s="15" t="s">
        <v>132</v>
      </c>
      <c r="B42" s="15" t="s">
        <v>60</v>
      </c>
      <c r="C42" s="27"/>
      <c r="D42" s="15" t="s">
        <v>56</v>
      </c>
      <c r="E42" s="25" t="str">
        <f aca="true">IF(OR(C42="",D42=""),"",IFERROR(C42*INDEX(UnidadesFactor,MATCH(D42,Unidades,0)),""))</f>
        <v/>
      </c>
      <c r="F42" s="18" t="str">
        <f aca="true">IF(B42="","",IFERROR(INDEX(InsCosto,MATCH(B42,ListaInsumos,0)),""))</f>
        <v/>
      </c>
      <c r="G42" s="19" t="n">
        <f aca="false">IF(AND(A42="",B42=""),"",IF(H42="OK",E42*F42,0))</f>
        <v>0</v>
      </c>
      <c r="H42" s="20" t="str">
        <f aca="true">IF(AND(A42="",B42=""),"",IF(ISNA(MATCH(B42,ListaInsumos,0)),"Insumo no está en Insumos",IF(C42="","Falta cantidad",IF(IFERROR(INDEX(UnidadesBase,MATCH(D42,Unidades,0)),"")&lt;&gt;INDEX(InsBase,MATCH(B42,ListaInsumos,0)),"Unidad incompatible",IF(F42="","Insumo sin compras","OK")))))</f>
        <v>Falta cantidad</v>
      </c>
      <c r="I42" s="15"/>
    </row>
    <row r="43" customFormat="false" ht="15" hidden="false" customHeight="false" outlineLevel="0" collapsed="false">
      <c r="A43" s="15" t="s">
        <v>132</v>
      </c>
      <c r="B43" s="15" t="s">
        <v>85</v>
      </c>
      <c r="C43" s="27"/>
      <c r="D43" s="15" t="s">
        <v>56</v>
      </c>
      <c r="E43" s="25" t="str">
        <f aca="true">IF(OR(C43="",D43=""),"",IFERROR(C43*INDEX(UnidadesFactor,MATCH(D43,Unidades,0)),""))</f>
        <v/>
      </c>
      <c r="F43" s="18" t="str">
        <f aca="true">IF(B43="","",IFERROR(INDEX(InsCosto,MATCH(B43,ListaInsumos,0)),""))</f>
        <v/>
      </c>
      <c r="G43" s="19" t="n">
        <f aca="false">IF(AND(A43="",B43=""),"",IF(H43="OK",E43*F43,0))</f>
        <v>0</v>
      </c>
      <c r="H43" s="20" t="str">
        <f aca="true">IF(AND(A43="",B43=""),"",IF(ISNA(MATCH(B43,ListaInsumos,0)),"Insumo no está en Insumos",IF(C43="","Falta cantidad",IF(IFERROR(INDEX(UnidadesBase,MATCH(D43,Unidades,0)),"")&lt;&gt;INDEX(InsBase,MATCH(B43,ListaInsumos,0)),"Unidad incompatible",IF(F43="","Insumo sin compras","OK")))))</f>
        <v>Falta cantidad</v>
      </c>
      <c r="I43" s="15"/>
    </row>
    <row r="44" customFormat="false" ht="15" hidden="false" customHeight="false" outlineLevel="0" collapsed="false">
      <c r="A44" s="15" t="s">
        <v>132</v>
      </c>
      <c r="B44" s="15" t="s">
        <v>52</v>
      </c>
      <c r="C44" s="27"/>
      <c r="D44" s="15" t="s">
        <v>54</v>
      </c>
      <c r="E44" s="25" t="str">
        <f aca="true">IF(OR(C44="",D44=""),"",IFERROR(C44*INDEX(UnidadesFactor,MATCH(D44,Unidades,0)),""))</f>
        <v/>
      </c>
      <c r="F44" s="18" t="n">
        <f aca="true">IF(B44="","",IFERROR(INDEX(InsCosto,MATCH(B44,ListaInsumos,0)),""))</f>
        <v>18</v>
      </c>
      <c r="G44" s="19" t="n">
        <f aca="false">IF(AND(A44="",B44=""),"",IF(H44="OK",E44*F44,0))</f>
        <v>0</v>
      </c>
      <c r="H44" s="20" t="str">
        <f aca="true">IF(AND(A44="",B44=""),"",IF(ISNA(MATCH(B44,ListaInsumos,0)),"Insumo no está en Insumos",IF(C44="","Falta cantidad",IF(IFERROR(INDEX(UnidadesBase,MATCH(D44,Unidades,0)),"")&lt;&gt;INDEX(InsBase,MATCH(B44,ListaInsumos,0)),"Unidad incompatible",IF(F44="","Insumo sin compras","OK")))))</f>
        <v>Falta cantidad</v>
      </c>
      <c r="I44" s="15"/>
    </row>
    <row r="45" customFormat="false" ht="15" hidden="false" customHeight="false" outlineLevel="0" collapsed="false">
      <c r="A45" s="15" t="s">
        <v>132</v>
      </c>
      <c r="B45" s="15" t="s">
        <v>86</v>
      </c>
      <c r="C45" s="27"/>
      <c r="D45" s="15" t="s">
        <v>56</v>
      </c>
      <c r="E45" s="25" t="str">
        <f aca="true">IF(OR(C45="",D45=""),"",IFERROR(C45*INDEX(UnidadesFactor,MATCH(D45,Unidades,0)),""))</f>
        <v/>
      </c>
      <c r="F45" s="18" t="n">
        <f aca="true">IF(B45="","",IFERROR(INDEX(InsCosto,MATCH(B45,ListaInsumos,0)),""))</f>
        <v>5</v>
      </c>
      <c r="G45" s="19" t="n">
        <f aca="false">IF(AND(A45="",B45=""),"",IF(H45="OK",E45*F45,0))</f>
        <v>0</v>
      </c>
      <c r="H45" s="20" t="str">
        <f aca="true">IF(AND(A45="",B45=""),"",IF(ISNA(MATCH(B45,ListaInsumos,0)),"Insumo no está en Insumos",IF(C45="","Falta cantidad",IF(IFERROR(INDEX(UnidadesBase,MATCH(D45,Unidades,0)),"")&lt;&gt;INDEX(InsBase,MATCH(B45,ListaInsumos,0)),"Unidad incompatible",IF(F45="","Insumo sin compras","OK")))))</f>
        <v>Falta cantidad</v>
      </c>
      <c r="I45" s="15"/>
    </row>
    <row r="46" customFormat="false" ht="15" hidden="false" customHeight="false" outlineLevel="0" collapsed="false">
      <c r="A46" s="15" t="s">
        <v>132</v>
      </c>
      <c r="B46" s="15" t="s">
        <v>66</v>
      </c>
      <c r="C46" s="27"/>
      <c r="D46" s="15" t="s">
        <v>56</v>
      </c>
      <c r="E46" s="25" t="str">
        <f aca="true">IF(OR(C46="",D46=""),"",IFERROR(C46*INDEX(UnidadesFactor,MATCH(D46,Unidades,0)),""))</f>
        <v/>
      </c>
      <c r="F46" s="18" t="n">
        <f aca="true">IF(B46="","",IFERROR(INDEX(InsCosto,MATCH(B46,ListaInsumos,0)),""))</f>
        <v>60</v>
      </c>
      <c r="G46" s="19" t="n">
        <f aca="false">IF(AND(A46="",B46=""),"",IF(H46="OK",E46*F46,0))</f>
        <v>0</v>
      </c>
      <c r="H46" s="20" t="str">
        <f aca="true">IF(AND(A46="",B46=""),"",IF(ISNA(MATCH(B46,ListaInsumos,0)),"Insumo no está en Insumos",IF(C46="","Falta cantidad",IF(IFERROR(INDEX(UnidadesBase,MATCH(D46,Unidades,0)),"")&lt;&gt;INDEX(InsBase,MATCH(B46,ListaInsumos,0)),"Unidad incompatible",IF(F46="","Insumo sin compras","OK")))))</f>
        <v>Falta cantidad</v>
      </c>
      <c r="I46" s="15"/>
    </row>
    <row r="47" customFormat="false" ht="15" hidden="false" customHeight="false" outlineLevel="0" collapsed="false">
      <c r="A47" s="15" t="s">
        <v>133</v>
      </c>
      <c r="B47" s="15" t="s">
        <v>65</v>
      </c>
      <c r="C47" s="27"/>
      <c r="D47" s="15" t="s">
        <v>56</v>
      </c>
      <c r="E47" s="25" t="str">
        <f aca="true">IF(OR(C47="",D47=""),"",IFERROR(C47*INDEX(UnidadesFactor,MATCH(D47,Unidades,0)),""))</f>
        <v/>
      </c>
      <c r="F47" s="18" t="str">
        <f aca="true">IF(B47="","",IFERROR(INDEX(InsCosto,MATCH(B47,ListaInsumos,0)),""))</f>
        <v/>
      </c>
      <c r="G47" s="19" t="n">
        <f aca="false">IF(AND(A47="",B47=""),"",IF(H47="OK",E47*F47,0))</f>
        <v>0</v>
      </c>
      <c r="H47" s="20" t="str">
        <f aca="true">IF(AND(A47="",B47=""),"",IF(ISNA(MATCH(B47,ListaInsumos,0)),"Insumo no está en Insumos",IF(C47="","Falta cantidad",IF(IFERROR(INDEX(UnidadesBase,MATCH(D47,Unidades,0)),"")&lt;&gt;INDEX(InsBase,MATCH(B47,ListaInsumos,0)),"Unidad incompatible",IF(F47="","Insumo sin compras","OK")))))</f>
        <v>Falta cantidad</v>
      </c>
      <c r="I47" s="15"/>
    </row>
    <row r="48" customFormat="false" ht="15" hidden="false" customHeight="false" outlineLevel="0" collapsed="false">
      <c r="A48" s="15" t="s">
        <v>133</v>
      </c>
      <c r="B48" s="15" t="s">
        <v>52</v>
      </c>
      <c r="C48" s="27"/>
      <c r="D48" s="15" t="s">
        <v>54</v>
      </c>
      <c r="E48" s="25" t="str">
        <f aca="true">IF(OR(C48="",D48=""),"",IFERROR(C48*INDEX(UnidadesFactor,MATCH(D48,Unidades,0)),""))</f>
        <v/>
      </c>
      <c r="F48" s="18" t="n">
        <f aca="true">IF(B48="","",IFERROR(INDEX(InsCosto,MATCH(B48,ListaInsumos,0)),""))</f>
        <v>18</v>
      </c>
      <c r="G48" s="19" t="n">
        <f aca="false">IF(AND(A48="",B48=""),"",IF(H48="OK",E48*F48,0))</f>
        <v>0</v>
      </c>
      <c r="H48" s="20" t="str">
        <f aca="true">IF(AND(A48="",B48=""),"",IF(ISNA(MATCH(B48,ListaInsumos,0)),"Insumo no está en Insumos",IF(C48="","Falta cantidad",IF(IFERROR(INDEX(UnidadesBase,MATCH(D48,Unidades,0)),"")&lt;&gt;INDEX(InsBase,MATCH(B48,ListaInsumos,0)),"Unidad incompatible",IF(F48="","Insumo sin compras","OK")))))</f>
        <v>Falta cantidad</v>
      </c>
      <c r="I48" s="15"/>
    </row>
    <row r="49" customFormat="false" ht="15" hidden="false" customHeight="false" outlineLevel="0" collapsed="false">
      <c r="A49" s="15" t="s">
        <v>133</v>
      </c>
      <c r="B49" s="15" t="s">
        <v>86</v>
      </c>
      <c r="C49" s="27"/>
      <c r="D49" s="15" t="s">
        <v>56</v>
      </c>
      <c r="E49" s="25" t="str">
        <f aca="true">IF(OR(C49="",D49=""),"",IFERROR(C49*INDEX(UnidadesFactor,MATCH(D49,Unidades,0)),""))</f>
        <v/>
      </c>
      <c r="F49" s="18" t="n">
        <f aca="true">IF(B49="","",IFERROR(INDEX(InsCosto,MATCH(B49,ListaInsumos,0)),""))</f>
        <v>5</v>
      </c>
      <c r="G49" s="19" t="n">
        <f aca="false">IF(AND(A49="",B49=""),"",IF(H49="OK",E49*F49,0))</f>
        <v>0</v>
      </c>
      <c r="H49" s="20" t="str">
        <f aca="true">IF(AND(A49="",B49=""),"",IF(ISNA(MATCH(B49,ListaInsumos,0)),"Insumo no está en Insumos",IF(C49="","Falta cantidad",IF(IFERROR(INDEX(UnidadesBase,MATCH(D49,Unidades,0)),"")&lt;&gt;INDEX(InsBase,MATCH(B49,ListaInsumos,0)),"Unidad incompatible",IF(F49="","Insumo sin compras","OK")))))</f>
        <v>Falta cantidad</v>
      </c>
      <c r="I49" s="15"/>
    </row>
    <row r="50" customFormat="false" ht="15" hidden="false" customHeight="false" outlineLevel="0" collapsed="false">
      <c r="A50" s="15" t="s">
        <v>133</v>
      </c>
      <c r="B50" s="15" t="s">
        <v>73</v>
      </c>
      <c r="C50" s="27"/>
      <c r="D50" s="15" t="s">
        <v>56</v>
      </c>
      <c r="E50" s="25" t="str">
        <f aca="true">IF(OR(C50="",D50=""),"",IFERROR(C50*INDEX(UnidadesFactor,MATCH(D50,Unidades,0)),""))</f>
        <v/>
      </c>
      <c r="F50" s="18" t="str">
        <f aca="true">IF(B50="","",IFERROR(INDEX(InsCosto,MATCH(B50,ListaInsumos,0)),""))</f>
        <v/>
      </c>
      <c r="G50" s="19" t="n">
        <f aca="false">IF(AND(A50="",B50=""),"",IF(H50="OK",E50*F50,0))</f>
        <v>0</v>
      </c>
      <c r="H50" s="20" t="str">
        <f aca="true">IF(AND(A50="",B50=""),"",IF(ISNA(MATCH(B50,ListaInsumos,0)),"Insumo no está en Insumos",IF(C50="","Falta cantidad",IF(IFERROR(INDEX(UnidadesBase,MATCH(D50,Unidades,0)),"")&lt;&gt;INDEX(InsBase,MATCH(B50,ListaInsumos,0)),"Unidad incompatible",IF(F50="","Insumo sin compras","OK")))))</f>
        <v>Falta cantidad</v>
      </c>
      <c r="I50" s="15"/>
    </row>
    <row r="51" customFormat="false" ht="15" hidden="false" customHeight="false" outlineLevel="0" collapsed="false">
      <c r="A51" s="15" t="s">
        <v>133</v>
      </c>
      <c r="B51" s="15" t="s">
        <v>88</v>
      </c>
      <c r="C51" s="27"/>
      <c r="D51" s="15" t="s">
        <v>56</v>
      </c>
      <c r="E51" s="25" t="str">
        <f aca="true">IF(OR(C51="",D51=""),"",IFERROR(C51*INDEX(UnidadesFactor,MATCH(D51,Unidades,0)),""))</f>
        <v/>
      </c>
      <c r="F51" s="18" t="str">
        <f aca="true">IF(B51="","",IFERROR(INDEX(InsCosto,MATCH(B51,ListaInsumos,0)),""))</f>
        <v/>
      </c>
      <c r="G51" s="19" t="n">
        <f aca="false">IF(AND(A51="",B51=""),"",IF(H51="OK",E51*F51,0))</f>
        <v>0</v>
      </c>
      <c r="H51" s="20" t="str">
        <f aca="true">IF(AND(A51="",B51=""),"",IF(ISNA(MATCH(B51,ListaInsumos,0)),"Insumo no está en Insumos",IF(C51="","Falta cantidad",IF(IFERROR(INDEX(UnidadesBase,MATCH(D51,Unidades,0)),"")&lt;&gt;INDEX(InsBase,MATCH(B51,ListaInsumos,0)),"Unidad incompatible",IF(F51="","Insumo sin compras","OK")))))</f>
        <v>Falta cantidad</v>
      </c>
      <c r="I51" s="15"/>
    </row>
    <row r="52" customFormat="false" ht="15" hidden="false" customHeight="false" outlineLevel="0" collapsed="false">
      <c r="A52" s="15" t="s">
        <v>133</v>
      </c>
      <c r="B52" s="15" t="s">
        <v>66</v>
      </c>
      <c r="C52" s="27"/>
      <c r="D52" s="15" t="s">
        <v>56</v>
      </c>
      <c r="E52" s="25" t="str">
        <f aca="true">IF(OR(C52="",D52=""),"",IFERROR(C52*INDEX(UnidadesFactor,MATCH(D52,Unidades,0)),""))</f>
        <v/>
      </c>
      <c r="F52" s="18" t="n">
        <f aca="true">IF(B52="","",IFERROR(INDEX(InsCosto,MATCH(B52,ListaInsumos,0)),""))</f>
        <v>60</v>
      </c>
      <c r="G52" s="19" t="n">
        <f aca="false">IF(AND(A52="",B52=""),"",IF(H52="OK",E52*F52,0))</f>
        <v>0</v>
      </c>
      <c r="H52" s="20" t="str">
        <f aca="true">IF(AND(A52="",B52=""),"",IF(ISNA(MATCH(B52,ListaInsumos,0)),"Insumo no está en Insumos",IF(C52="","Falta cantidad",IF(IFERROR(INDEX(UnidadesBase,MATCH(D52,Unidades,0)),"")&lt;&gt;INDEX(InsBase,MATCH(B52,ListaInsumos,0)),"Unidad incompatible",IF(F52="","Insumo sin compras","OK")))))</f>
        <v>Falta cantidad</v>
      </c>
      <c r="I52" s="15"/>
    </row>
    <row r="53" customFormat="false" ht="15" hidden="false" customHeight="false" outlineLevel="0" collapsed="false">
      <c r="A53" s="15" t="s">
        <v>134</v>
      </c>
      <c r="B53" s="15" t="s">
        <v>71</v>
      </c>
      <c r="C53" s="27"/>
      <c r="D53" s="15" t="s">
        <v>56</v>
      </c>
      <c r="E53" s="25" t="str">
        <f aca="true">IF(OR(C53="",D53=""),"",IFERROR(C53*INDEX(UnidadesFactor,MATCH(D53,Unidades,0)),""))</f>
        <v/>
      </c>
      <c r="F53" s="18" t="str">
        <f aca="true">IF(B53="","",IFERROR(INDEX(InsCosto,MATCH(B53,ListaInsumos,0)),""))</f>
        <v/>
      </c>
      <c r="G53" s="19" t="n">
        <f aca="false">IF(AND(A53="",B53=""),"",IF(H53="OK",E53*F53,0))</f>
        <v>0</v>
      </c>
      <c r="H53" s="20" t="str">
        <f aca="true">IF(AND(A53="",B53=""),"",IF(ISNA(MATCH(B53,ListaInsumos,0)),"Insumo no está en Insumos",IF(C53="","Falta cantidad",IF(IFERROR(INDEX(UnidadesBase,MATCH(D53,Unidades,0)),"")&lt;&gt;INDEX(InsBase,MATCH(B53,ListaInsumos,0)),"Unidad incompatible",IF(F53="","Insumo sin compras","OK")))))</f>
        <v>Falta cantidad</v>
      </c>
      <c r="I53" s="15"/>
    </row>
    <row r="54" customFormat="false" ht="15" hidden="false" customHeight="false" outlineLevel="0" collapsed="false">
      <c r="A54" s="15" t="s">
        <v>134</v>
      </c>
      <c r="B54" s="15" t="s">
        <v>79</v>
      </c>
      <c r="C54" s="27"/>
      <c r="D54" s="15" t="s">
        <v>56</v>
      </c>
      <c r="E54" s="25" t="str">
        <f aca="true">IF(OR(C54="",D54=""),"",IFERROR(C54*INDEX(UnidadesFactor,MATCH(D54,Unidades,0)),""))</f>
        <v/>
      </c>
      <c r="F54" s="18" t="str">
        <f aca="true">IF(B54="","",IFERROR(INDEX(InsCosto,MATCH(B54,ListaInsumos,0)),""))</f>
        <v/>
      </c>
      <c r="G54" s="19" t="n">
        <f aca="false">IF(AND(A54="",B54=""),"",IF(H54="OK",E54*F54,0))</f>
        <v>0</v>
      </c>
      <c r="H54" s="20" t="str">
        <f aca="true">IF(AND(A54="",B54=""),"",IF(ISNA(MATCH(B54,ListaInsumos,0)),"Insumo no está en Insumos",IF(C54="","Falta cantidad",IF(IFERROR(INDEX(UnidadesBase,MATCH(D54,Unidades,0)),"")&lt;&gt;INDEX(InsBase,MATCH(B54,ListaInsumos,0)),"Unidad incompatible",IF(F54="","Insumo sin compras","OK")))))</f>
        <v>Falta cantidad</v>
      </c>
      <c r="I54" s="15"/>
    </row>
    <row r="55" customFormat="false" ht="15" hidden="false" customHeight="false" outlineLevel="0" collapsed="false">
      <c r="A55" s="15" t="s">
        <v>134</v>
      </c>
      <c r="B55" s="15" t="s">
        <v>55</v>
      </c>
      <c r="C55" s="27"/>
      <c r="D55" s="15" t="s">
        <v>56</v>
      </c>
      <c r="E55" s="25" t="str">
        <f aca="true">IF(OR(C55="",D55=""),"",IFERROR(C55*INDEX(UnidadesFactor,MATCH(D55,Unidades,0)),""))</f>
        <v/>
      </c>
      <c r="F55" s="18" t="str">
        <f aca="true">IF(B55="","",IFERROR(INDEX(InsCosto,MATCH(B55,ListaInsumos,0)),""))</f>
        <v/>
      </c>
      <c r="G55" s="19" t="n">
        <f aca="false">IF(AND(A55="",B55=""),"",IF(H55="OK",E55*F55,0))</f>
        <v>0</v>
      </c>
      <c r="H55" s="20" t="str">
        <f aca="true">IF(AND(A55="",B55=""),"",IF(ISNA(MATCH(B55,ListaInsumos,0)),"Insumo no está en Insumos",IF(C55="","Falta cantidad",IF(IFERROR(INDEX(UnidadesBase,MATCH(D55,Unidades,0)),"")&lt;&gt;INDEX(InsBase,MATCH(B55,ListaInsumos,0)),"Unidad incompatible",IF(F55="","Insumo sin compras","OK")))))</f>
        <v>Falta cantidad</v>
      </c>
      <c r="I55" s="15"/>
    </row>
    <row r="56" customFormat="false" ht="15" hidden="false" customHeight="false" outlineLevel="0" collapsed="false">
      <c r="A56" s="15" t="s">
        <v>134</v>
      </c>
      <c r="B56" s="15" t="s">
        <v>52</v>
      </c>
      <c r="C56" s="27"/>
      <c r="D56" s="15" t="s">
        <v>54</v>
      </c>
      <c r="E56" s="25" t="str">
        <f aca="true">IF(OR(C56="",D56=""),"",IFERROR(C56*INDEX(UnidadesFactor,MATCH(D56,Unidades,0)),""))</f>
        <v/>
      </c>
      <c r="F56" s="18" t="n">
        <f aca="true">IF(B56="","",IFERROR(INDEX(InsCosto,MATCH(B56,ListaInsumos,0)),""))</f>
        <v>18</v>
      </c>
      <c r="G56" s="19" t="n">
        <f aca="false">IF(AND(A56="",B56=""),"",IF(H56="OK",E56*F56,0))</f>
        <v>0</v>
      </c>
      <c r="H56" s="20" t="str">
        <f aca="true">IF(AND(A56="",B56=""),"",IF(ISNA(MATCH(B56,ListaInsumos,0)),"Insumo no está en Insumos",IF(C56="","Falta cantidad",IF(IFERROR(INDEX(UnidadesBase,MATCH(D56,Unidades,0)),"")&lt;&gt;INDEX(InsBase,MATCH(B56,ListaInsumos,0)),"Unidad incompatible",IF(F56="","Insumo sin compras","OK")))))</f>
        <v>Falta cantidad</v>
      </c>
      <c r="I56" s="15"/>
    </row>
    <row r="57" customFormat="false" ht="15" hidden="false" customHeight="false" outlineLevel="0" collapsed="false">
      <c r="A57" s="15" t="s">
        <v>134</v>
      </c>
      <c r="B57" s="15" t="s">
        <v>86</v>
      </c>
      <c r="C57" s="27"/>
      <c r="D57" s="15" t="s">
        <v>56</v>
      </c>
      <c r="E57" s="25" t="str">
        <f aca="true">IF(OR(C57="",D57=""),"",IFERROR(C57*INDEX(UnidadesFactor,MATCH(D57,Unidades,0)),""))</f>
        <v/>
      </c>
      <c r="F57" s="18" t="n">
        <f aca="true">IF(B57="","",IFERROR(INDEX(InsCosto,MATCH(B57,ListaInsumos,0)),""))</f>
        <v>5</v>
      </c>
      <c r="G57" s="19" t="n">
        <f aca="false">IF(AND(A57="",B57=""),"",IF(H57="OK",E57*F57,0))</f>
        <v>0</v>
      </c>
      <c r="H57" s="20" t="str">
        <f aca="true">IF(AND(A57="",B57=""),"",IF(ISNA(MATCH(B57,ListaInsumos,0)),"Insumo no está en Insumos",IF(C57="","Falta cantidad",IF(IFERROR(INDEX(UnidadesBase,MATCH(D57,Unidades,0)),"")&lt;&gt;INDEX(InsBase,MATCH(B57,ListaInsumos,0)),"Unidad incompatible",IF(F57="","Insumo sin compras","OK")))))</f>
        <v>Falta cantidad</v>
      </c>
      <c r="I57" s="15"/>
    </row>
    <row r="58" customFormat="false" ht="15" hidden="false" customHeight="false" outlineLevel="0" collapsed="false">
      <c r="A58" s="15" t="s">
        <v>134</v>
      </c>
      <c r="B58" s="15" t="s">
        <v>81</v>
      </c>
      <c r="C58" s="27"/>
      <c r="D58" s="15" t="s">
        <v>56</v>
      </c>
      <c r="E58" s="25" t="str">
        <f aca="true">IF(OR(C58="",D58=""),"",IFERROR(C58*INDEX(UnidadesFactor,MATCH(D58,Unidades,0)),""))</f>
        <v/>
      </c>
      <c r="F58" s="18" t="str">
        <f aca="true">IF(B58="","",IFERROR(INDEX(InsCosto,MATCH(B58,ListaInsumos,0)),""))</f>
        <v/>
      </c>
      <c r="G58" s="19" t="n">
        <f aca="false">IF(AND(A58="",B58=""),"",IF(H58="OK",E58*F58,0))</f>
        <v>0</v>
      </c>
      <c r="H58" s="20" t="str">
        <f aca="true">IF(AND(A58="",B58=""),"",IF(ISNA(MATCH(B58,ListaInsumos,0)),"Insumo no está en Insumos",IF(C58="","Falta cantidad",IF(IFERROR(INDEX(UnidadesBase,MATCH(D58,Unidades,0)),"")&lt;&gt;INDEX(InsBase,MATCH(B58,ListaInsumos,0)),"Unidad incompatible",IF(F58="","Insumo sin compras","OK")))))</f>
        <v>Falta cantidad</v>
      </c>
      <c r="I58" s="15"/>
    </row>
    <row r="59" customFormat="false" ht="15" hidden="false" customHeight="false" outlineLevel="0" collapsed="false">
      <c r="A59" s="15" t="s">
        <v>134</v>
      </c>
      <c r="B59" s="15" t="s">
        <v>66</v>
      </c>
      <c r="C59" s="27"/>
      <c r="D59" s="15" t="s">
        <v>56</v>
      </c>
      <c r="E59" s="25" t="str">
        <f aca="true">IF(OR(C59="",D59=""),"",IFERROR(C59*INDEX(UnidadesFactor,MATCH(D59,Unidades,0)),""))</f>
        <v/>
      </c>
      <c r="F59" s="18" t="n">
        <f aca="true">IF(B59="","",IFERROR(INDEX(InsCosto,MATCH(B59,ListaInsumos,0)),""))</f>
        <v>60</v>
      </c>
      <c r="G59" s="19" t="n">
        <f aca="false">IF(AND(A59="",B59=""),"",IF(H59="OK",E59*F59,0))</f>
        <v>0</v>
      </c>
      <c r="H59" s="20" t="str">
        <f aca="true">IF(AND(A59="",B59=""),"",IF(ISNA(MATCH(B59,ListaInsumos,0)),"Insumo no está en Insumos",IF(C59="","Falta cantidad",IF(IFERROR(INDEX(UnidadesBase,MATCH(D59,Unidades,0)),"")&lt;&gt;INDEX(InsBase,MATCH(B59,ListaInsumos,0)),"Unidad incompatible",IF(F59="","Insumo sin compras","OK")))))</f>
        <v>Falta cantidad</v>
      </c>
      <c r="I59" s="15"/>
    </row>
    <row r="60" customFormat="false" ht="15" hidden="false" customHeight="false" outlineLevel="0" collapsed="false">
      <c r="A60" s="15" t="s">
        <v>135</v>
      </c>
      <c r="B60" s="15" t="s">
        <v>78</v>
      </c>
      <c r="C60" s="27"/>
      <c r="D60" s="15" t="s">
        <v>56</v>
      </c>
      <c r="E60" s="25" t="str">
        <f aca="true">IF(OR(C60="",D60=""),"",IFERROR(C60*INDEX(UnidadesFactor,MATCH(D60,Unidades,0)),""))</f>
        <v/>
      </c>
      <c r="F60" s="18" t="str">
        <f aca="true">IF(B60="","",IFERROR(INDEX(InsCosto,MATCH(B60,ListaInsumos,0)),""))</f>
        <v/>
      </c>
      <c r="G60" s="19" t="n">
        <f aca="false">IF(AND(A60="",B60=""),"",IF(H60="OK",E60*F60,0))</f>
        <v>0</v>
      </c>
      <c r="H60" s="20" t="str">
        <f aca="true">IF(AND(A60="",B60=""),"",IF(ISNA(MATCH(B60,ListaInsumos,0)),"Insumo no está en Insumos",IF(C60="","Falta cantidad",IF(IFERROR(INDEX(UnidadesBase,MATCH(D60,Unidades,0)),"")&lt;&gt;INDEX(InsBase,MATCH(B60,ListaInsumos,0)),"Unidad incompatible",IF(F60="","Insumo sin compras","OK")))))</f>
        <v>Falta cantidad</v>
      </c>
      <c r="I60" s="15"/>
    </row>
    <row r="61" customFormat="false" ht="15" hidden="false" customHeight="false" outlineLevel="0" collapsed="false">
      <c r="A61" s="15" t="s">
        <v>135</v>
      </c>
      <c r="B61" s="15" t="s">
        <v>77</v>
      </c>
      <c r="C61" s="27"/>
      <c r="D61" s="15" t="s">
        <v>56</v>
      </c>
      <c r="E61" s="25" t="str">
        <f aca="true">IF(OR(C61="",D61=""),"",IFERROR(C61*INDEX(UnidadesFactor,MATCH(D61,Unidades,0)),""))</f>
        <v/>
      </c>
      <c r="F61" s="18" t="str">
        <f aca="true">IF(B61="","",IFERROR(INDEX(InsCosto,MATCH(B61,ListaInsumos,0)),""))</f>
        <v/>
      </c>
      <c r="G61" s="19" t="n">
        <f aca="false">IF(AND(A61="",B61=""),"",IF(H61="OK",E61*F61,0))</f>
        <v>0</v>
      </c>
      <c r="H61" s="20" t="str">
        <f aca="true">IF(AND(A61="",B61=""),"",IF(ISNA(MATCH(B61,ListaInsumos,0)),"Insumo no está en Insumos",IF(C61="","Falta cantidad",IF(IFERROR(INDEX(UnidadesBase,MATCH(D61,Unidades,0)),"")&lt;&gt;INDEX(InsBase,MATCH(B61,ListaInsumos,0)),"Unidad incompatible",IF(F61="","Insumo sin compras","OK")))))</f>
        <v>Falta cantidad</v>
      </c>
      <c r="I61" s="15"/>
    </row>
    <row r="62" customFormat="false" ht="15" hidden="false" customHeight="false" outlineLevel="0" collapsed="false">
      <c r="A62" s="15" t="s">
        <v>135</v>
      </c>
      <c r="B62" s="15" t="s">
        <v>52</v>
      </c>
      <c r="C62" s="27"/>
      <c r="D62" s="15" t="s">
        <v>54</v>
      </c>
      <c r="E62" s="25" t="str">
        <f aca="true">IF(OR(C62="",D62=""),"",IFERROR(C62*INDEX(UnidadesFactor,MATCH(D62,Unidades,0)),""))</f>
        <v/>
      </c>
      <c r="F62" s="18" t="n">
        <f aca="true">IF(B62="","",IFERROR(INDEX(InsCosto,MATCH(B62,ListaInsumos,0)),""))</f>
        <v>18</v>
      </c>
      <c r="G62" s="19" t="n">
        <f aca="false">IF(AND(A62="",B62=""),"",IF(H62="OK",E62*F62,0))</f>
        <v>0</v>
      </c>
      <c r="H62" s="20" t="str">
        <f aca="true">IF(AND(A62="",B62=""),"",IF(ISNA(MATCH(B62,ListaInsumos,0)),"Insumo no está en Insumos",IF(C62="","Falta cantidad",IF(IFERROR(INDEX(UnidadesBase,MATCH(D62,Unidades,0)),"")&lt;&gt;INDEX(InsBase,MATCH(B62,ListaInsumos,0)),"Unidad incompatible",IF(F62="","Insumo sin compras","OK")))))</f>
        <v>Falta cantidad</v>
      </c>
      <c r="I62" s="15"/>
    </row>
    <row r="63" customFormat="false" ht="15" hidden="false" customHeight="false" outlineLevel="0" collapsed="false">
      <c r="A63" s="15" t="s">
        <v>135</v>
      </c>
      <c r="B63" s="15" t="s">
        <v>86</v>
      </c>
      <c r="C63" s="27"/>
      <c r="D63" s="15" t="s">
        <v>56</v>
      </c>
      <c r="E63" s="25" t="str">
        <f aca="true">IF(OR(C63="",D63=""),"",IFERROR(C63*INDEX(UnidadesFactor,MATCH(D63,Unidades,0)),""))</f>
        <v/>
      </c>
      <c r="F63" s="18" t="n">
        <f aca="true">IF(B63="","",IFERROR(INDEX(InsCosto,MATCH(B63,ListaInsumos,0)),""))</f>
        <v>5</v>
      </c>
      <c r="G63" s="19" t="n">
        <f aca="false">IF(AND(A63="",B63=""),"",IF(H63="OK",E63*F63,0))</f>
        <v>0</v>
      </c>
      <c r="H63" s="20" t="str">
        <f aca="true">IF(AND(A63="",B63=""),"",IF(ISNA(MATCH(B63,ListaInsumos,0)),"Insumo no está en Insumos",IF(C63="","Falta cantidad",IF(IFERROR(INDEX(UnidadesBase,MATCH(D63,Unidades,0)),"")&lt;&gt;INDEX(InsBase,MATCH(B63,ListaInsumos,0)),"Unidad incompatible",IF(F63="","Insumo sin compras","OK")))))</f>
        <v>Falta cantidad</v>
      </c>
      <c r="I63" s="15"/>
    </row>
    <row r="64" customFormat="false" ht="15" hidden="false" customHeight="false" outlineLevel="0" collapsed="false">
      <c r="A64" s="15" t="s">
        <v>136</v>
      </c>
      <c r="B64" s="15" t="s">
        <v>65</v>
      </c>
      <c r="C64" s="27"/>
      <c r="D64" s="15" t="s">
        <v>56</v>
      </c>
      <c r="E64" s="25" t="str">
        <f aca="true">IF(OR(C64="",D64=""),"",IFERROR(C64*INDEX(UnidadesFactor,MATCH(D64,Unidades,0)),""))</f>
        <v/>
      </c>
      <c r="F64" s="18" t="str">
        <f aca="true">IF(B64="","",IFERROR(INDEX(InsCosto,MATCH(B64,ListaInsumos,0)),""))</f>
        <v/>
      </c>
      <c r="G64" s="19" t="n">
        <f aca="false">IF(AND(A64="",B64=""),"",IF(H64="OK",E64*F64,0))</f>
        <v>0</v>
      </c>
      <c r="H64" s="20" t="str">
        <f aca="true">IF(AND(A64="",B64=""),"",IF(ISNA(MATCH(B64,ListaInsumos,0)),"Insumo no está en Insumos",IF(C64="","Falta cantidad",IF(IFERROR(INDEX(UnidadesBase,MATCH(D64,Unidades,0)),"")&lt;&gt;INDEX(InsBase,MATCH(B64,ListaInsumos,0)),"Unidad incompatible",IF(F64="","Insumo sin compras","OK")))))</f>
        <v>Falta cantidad</v>
      </c>
      <c r="I64" s="15"/>
    </row>
    <row r="65" customFormat="false" ht="15" hidden="false" customHeight="false" outlineLevel="0" collapsed="false">
      <c r="A65" s="15" t="s">
        <v>136</v>
      </c>
      <c r="B65" s="15" t="s">
        <v>78</v>
      </c>
      <c r="C65" s="27"/>
      <c r="D65" s="15" t="s">
        <v>56</v>
      </c>
      <c r="E65" s="25" t="str">
        <f aca="true">IF(OR(C65="",D65=""),"",IFERROR(C65*INDEX(UnidadesFactor,MATCH(D65,Unidades,0)),""))</f>
        <v/>
      </c>
      <c r="F65" s="18" t="str">
        <f aca="true">IF(B65="","",IFERROR(INDEX(InsCosto,MATCH(B65,ListaInsumos,0)),""))</f>
        <v/>
      </c>
      <c r="G65" s="19" t="n">
        <f aca="false">IF(AND(A65="",B65=""),"",IF(H65="OK",E65*F65,0))</f>
        <v>0</v>
      </c>
      <c r="H65" s="20" t="str">
        <f aca="true">IF(AND(A65="",B65=""),"",IF(ISNA(MATCH(B65,ListaInsumos,0)),"Insumo no está en Insumos",IF(C65="","Falta cantidad",IF(IFERROR(INDEX(UnidadesBase,MATCH(D65,Unidades,0)),"")&lt;&gt;INDEX(InsBase,MATCH(B65,ListaInsumos,0)),"Unidad incompatible",IF(F65="","Insumo sin compras","OK")))))</f>
        <v>Falta cantidad</v>
      </c>
      <c r="I65" s="15"/>
    </row>
    <row r="66" customFormat="false" ht="15" hidden="false" customHeight="false" outlineLevel="0" collapsed="false">
      <c r="A66" s="15" t="s">
        <v>136</v>
      </c>
      <c r="B66" s="15" t="s">
        <v>83</v>
      </c>
      <c r="C66" s="27"/>
      <c r="D66" s="15" t="s">
        <v>56</v>
      </c>
      <c r="E66" s="25" t="str">
        <f aca="true">IF(OR(C66="",D66=""),"",IFERROR(C66*INDEX(UnidadesFactor,MATCH(D66,Unidades,0)),""))</f>
        <v/>
      </c>
      <c r="F66" s="18" t="str">
        <f aca="true">IF(B66="","",IFERROR(INDEX(InsCosto,MATCH(B66,ListaInsumos,0)),""))</f>
        <v/>
      </c>
      <c r="G66" s="19" t="n">
        <f aca="false">IF(AND(A66="",B66=""),"",IF(H66="OK",E66*F66,0))</f>
        <v>0</v>
      </c>
      <c r="H66" s="20" t="str">
        <f aca="true">IF(AND(A66="",B66=""),"",IF(ISNA(MATCH(B66,ListaInsumos,0)),"Insumo no está en Insumos",IF(C66="","Falta cantidad",IF(IFERROR(INDEX(UnidadesBase,MATCH(D66,Unidades,0)),"")&lt;&gt;INDEX(InsBase,MATCH(B66,ListaInsumos,0)),"Unidad incompatible",IF(F66="","Insumo sin compras","OK")))))</f>
        <v>Falta cantidad</v>
      </c>
      <c r="I66" s="15"/>
    </row>
    <row r="67" customFormat="false" ht="15" hidden="false" customHeight="false" outlineLevel="0" collapsed="false">
      <c r="A67" s="15" t="s">
        <v>136</v>
      </c>
      <c r="B67" s="15" t="s">
        <v>86</v>
      </c>
      <c r="C67" s="27"/>
      <c r="D67" s="15" t="s">
        <v>56</v>
      </c>
      <c r="E67" s="25" t="str">
        <f aca="true">IF(OR(C67="",D67=""),"",IFERROR(C67*INDEX(UnidadesFactor,MATCH(D67,Unidades,0)),""))</f>
        <v/>
      </c>
      <c r="F67" s="18" t="n">
        <f aca="true">IF(B67="","",IFERROR(INDEX(InsCosto,MATCH(B67,ListaInsumos,0)),""))</f>
        <v>5</v>
      </c>
      <c r="G67" s="19" t="n">
        <f aca="false">IF(AND(A67="",B67=""),"",IF(H67="OK",E67*F67,0))</f>
        <v>0</v>
      </c>
      <c r="H67" s="20" t="str">
        <f aca="true">IF(AND(A67="",B67=""),"",IF(ISNA(MATCH(B67,ListaInsumos,0)),"Insumo no está en Insumos",IF(C67="","Falta cantidad",IF(IFERROR(INDEX(UnidadesBase,MATCH(D67,Unidades,0)),"")&lt;&gt;INDEX(InsBase,MATCH(B67,ListaInsumos,0)),"Unidad incompatible",IF(F67="","Insumo sin compras","OK")))))</f>
        <v>Falta cantidad</v>
      </c>
      <c r="I67" s="15"/>
    </row>
    <row r="68" customFormat="false" ht="15" hidden="false" customHeight="false" outlineLevel="0" collapsed="false">
      <c r="A68" s="15" t="s">
        <v>136</v>
      </c>
      <c r="B68" s="15" t="s">
        <v>52</v>
      </c>
      <c r="C68" s="27"/>
      <c r="D68" s="15" t="s">
        <v>54</v>
      </c>
      <c r="E68" s="25" t="str">
        <f aca="true">IF(OR(C68="",D68=""),"",IFERROR(C68*INDEX(UnidadesFactor,MATCH(D68,Unidades,0)),""))</f>
        <v/>
      </c>
      <c r="F68" s="18" t="n">
        <f aca="true">IF(B68="","",IFERROR(INDEX(InsCosto,MATCH(B68,ListaInsumos,0)),""))</f>
        <v>18</v>
      </c>
      <c r="G68" s="19" t="n">
        <f aca="false">IF(AND(A68="",B68=""),"",IF(H68="OK",E68*F68,0))</f>
        <v>0</v>
      </c>
      <c r="H68" s="20" t="str">
        <f aca="true">IF(AND(A68="",B68=""),"",IF(ISNA(MATCH(B68,ListaInsumos,0)),"Insumo no está en Insumos",IF(C68="","Falta cantidad",IF(IFERROR(INDEX(UnidadesBase,MATCH(D68,Unidades,0)),"")&lt;&gt;INDEX(InsBase,MATCH(B68,ListaInsumos,0)),"Unidad incompatible",IF(F68="","Insumo sin compras","OK")))))</f>
        <v>Falta cantidad</v>
      </c>
      <c r="I68" s="15"/>
    </row>
    <row r="69" customFormat="false" ht="15" hidden="false" customHeight="false" outlineLevel="0" collapsed="false">
      <c r="A69" s="15" t="s">
        <v>136</v>
      </c>
      <c r="B69" s="15" t="s">
        <v>82</v>
      </c>
      <c r="C69" s="27"/>
      <c r="D69" s="15" t="s">
        <v>56</v>
      </c>
      <c r="E69" s="25" t="str">
        <f aca="true">IF(OR(C69="",D69=""),"",IFERROR(C69*INDEX(UnidadesFactor,MATCH(D69,Unidades,0)),""))</f>
        <v/>
      </c>
      <c r="F69" s="18" t="n">
        <f aca="true">IF(B69="","",IFERROR(INDEX(InsCosto,MATCH(B69,ListaInsumos,0)),""))</f>
        <v>15</v>
      </c>
      <c r="G69" s="19" t="n">
        <f aca="false">IF(AND(A69="",B69=""),"",IF(H69="OK",E69*F69,0))</f>
        <v>0</v>
      </c>
      <c r="H69" s="20" t="str">
        <f aca="true">IF(AND(A69="",B69=""),"",IF(ISNA(MATCH(B69,ListaInsumos,0)),"Insumo no está en Insumos",IF(C69="","Falta cantidad",IF(IFERROR(INDEX(UnidadesBase,MATCH(D69,Unidades,0)),"")&lt;&gt;INDEX(InsBase,MATCH(B69,ListaInsumos,0)),"Unidad incompatible",IF(F69="","Insumo sin compras","OK")))))</f>
        <v>Falta cantidad</v>
      </c>
      <c r="I69" s="15"/>
    </row>
    <row r="70" customFormat="false" ht="15" hidden="false" customHeight="false" outlineLevel="0" collapsed="false">
      <c r="A70" s="15" t="s">
        <v>136</v>
      </c>
      <c r="B70" s="15" t="s">
        <v>66</v>
      </c>
      <c r="C70" s="27"/>
      <c r="D70" s="15" t="s">
        <v>56</v>
      </c>
      <c r="E70" s="25" t="str">
        <f aca="true">IF(OR(C70="",D70=""),"",IFERROR(C70*INDEX(UnidadesFactor,MATCH(D70,Unidades,0)),""))</f>
        <v/>
      </c>
      <c r="F70" s="18" t="n">
        <f aca="true">IF(B70="","",IFERROR(INDEX(InsCosto,MATCH(B70,ListaInsumos,0)),""))</f>
        <v>60</v>
      </c>
      <c r="G70" s="19" t="n">
        <f aca="false">IF(AND(A70="",B70=""),"",IF(H70="OK",E70*F70,0))</f>
        <v>0</v>
      </c>
      <c r="H70" s="20" t="str">
        <f aca="true">IF(AND(A70="",B70=""),"",IF(ISNA(MATCH(B70,ListaInsumos,0)),"Insumo no está en Insumos",IF(C70="","Falta cantidad",IF(IFERROR(INDEX(UnidadesBase,MATCH(D70,Unidades,0)),"")&lt;&gt;INDEX(InsBase,MATCH(B70,ListaInsumos,0)),"Unidad incompatible",IF(F70="","Insumo sin compras","OK")))))</f>
        <v>Falta cantidad</v>
      </c>
      <c r="I70" s="15"/>
    </row>
    <row r="71" customFormat="false" ht="15" hidden="false" customHeight="false" outlineLevel="0" collapsed="false">
      <c r="A71" s="15" t="s">
        <v>137</v>
      </c>
      <c r="B71" s="15" t="s">
        <v>65</v>
      </c>
      <c r="C71" s="27"/>
      <c r="D71" s="15" t="s">
        <v>56</v>
      </c>
      <c r="E71" s="25" t="str">
        <f aca="true">IF(OR(C71="",D71=""),"",IFERROR(C71*INDEX(UnidadesFactor,MATCH(D71,Unidades,0)),""))</f>
        <v/>
      </c>
      <c r="F71" s="18" t="str">
        <f aca="true">IF(B71="","",IFERROR(INDEX(InsCosto,MATCH(B71,ListaInsumos,0)),""))</f>
        <v/>
      </c>
      <c r="G71" s="19" t="n">
        <f aca="false">IF(AND(A71="",B71=""),"",IF(H71="OK",E71*F71,0))</f>
        <v>0</v>
      </c>
      <c r="H71" s="20" t="str">
        <f aca="true">IF(AND(A71="",B71=""),"",IF(ISNA(MATCH(B71,ListaInsumos,0)),"Insumo no está en Insumos",IF(C71="","Falta cantidad",IF(IFERROR(INDEX(UnidadesBase,MATCH(D71,Unidades,0)),"")&lt;&gt;INDEX(InsBase,MATCH(B71,ListaInsumos,0)),"Unidad incompatible",IF(F71="","Insumo sin compras","OK")))))</f>
        <v>Falta cantidad</v>
      </c>
      <c r="I71" s="15"/>
    </row>
    <row r="72" customFormat="false" ht="15" hidden="false" customHeight="false" outlineLevel="0" collapsed="false">
      <c r="A72" s="15" t="s">
        <v>137</v>
      </c>
      <c r="B72" s="15" t="s">
        <v>75</v>
      </c>
      <c r="C72" s="27"/>
      <c r="D72" s="15" t="s">
        <v>56</v>
      </c>
      <c r="E72" s="25" t="str">
        <f aca="true">IF(OR(C72="",D72=""),"",IFERROR(C72*INDEX(UnidadesFactor,MATCH(D72,Unidades,0)),""))</f>
        <v/>
      </c>
      <c r="F72" s="18" t="str">
        <f aca="true">IF(B72="","",IFERROR(INDEX(InsCosto,MATCH(B72,ListaInsumos,0)),""))</f>
        <v/>
      </c>
      <c r="G72" s="19" t="n">
        <f aca="false">IF(AND(A72="",B72=""),"",IF(H72="OK",E72*F72,0))</f>
        <v>0</v>
      </c>
      <c r="H72" s="20" t="str">
        <f aca="true">IF(AND(A72="",B72=""),"",IF(ISNA(MATCH(B72,ListaInsumos,0)),"Insumo no está en Insumos",IF(C72="","Falta cantidad",IF(IFERROR(INDEX(UnidadesBase,MATCH(D72,Unidades,0)),"")&lt;&gt;INDEX(InsBase,MATCH(B72,ListaInsumos,0)),"Unidad incompatible",IF(F72="","Insumo sin compras","OK")))))</f>
        <v>Falta cantidad</v>
      </c>
      <c r="I72" s="15"/>
    </row>
    <row r="73" customFormat="false" ht="15" hidden="false" customHeight="false" outlineLevel="0" collapsed="false">
      <c r="A73" s="15" t="s">
        <v>137</v>
      </c>
      <c r="B73" s="15" t="s">
        <v>59</v>
      </c>
      <c r="C73" s="27"/>
      <c r="D73" s="15" t="s">
        <v>56</v>
      </c>
      <c r="E73" s="25" t="str">
        <f aca="true">IF(OR(C73="",D73=""),"",IFERROR(C73*INDEX(UnidadesFactor,MATCH(D73,Unidades,0)),""))</f>
        <v/>
      </c>
      <c r="F73" s="18" t="str">
        <f aca="true">IF(B73="","",IFERROR(INDEX(InsCosto,MATCH(B73,ListaInsumos,0)),""))</f>
        <v/>
      </c>
      <c r="G73" s="19" t="n">
        <f aca="false">IF(AND(A73="",B73=""),"",IF(H73="OK",E73*F73,0))</f>
        <v>0</v>
      </c>
      <c r="H73" s="20" t="str">
        <f aca="true">IF(AND(A73="",B73=""),"",IF(ISNA(MATCH(B73,ListaInsumos,0)),"Insumo no está en Insumos",IF(C73="","Falta cantidad",IF(IFERROR(INDEX(UnidadesBase,MATCH(D73,Unidades,0)),"")&lt;&gt;INDEX(InsBase,MATCH(B73,ListaInsumos,0)),"Unidad incompatible",IF(F73="","Insumo sin compras","OK")))))</f>
        <v>Falta cantidad</v>
      </c>
      <c r="I73" s="15"/>
    </row>
    <row r="74" customFormat="false" ht="15" hidden="false" customHeight="false" outlineLevel="0" collapsed="false">
      <c r="A74" s="15" t="s">
        <v>137</v>
      </c>
      <c r="B74" s="15" t="s">
        <v>64</v>
      </c>
      <c r="C74" s="27"/>
      <c r="D74" s="15" t="s">
        <v>54</v>
      </c>
      <c r="E74" s="25" t="str">
        <f aca="true">IF(OR(C74="",D74=""),"",IFERROR(C74*INDEX(UnidadesFactor,MATCH(D74,Unidades,0)),""))</f>
        <v/>
      </c>
      <c r="F74" s="18" t="str">
        <f aca="true">IF(B74="","",IFERROR(INDEX(InsCosto,MATCH(B74,ListaInsumos,0)),""))</f>
        <v/>
      </c>
      <c r="G74" s="19" t="n">
        <f aca="false">IF(AND(A74="",B74=""),"",IF(H74="OK",E74*F74,0))</f>
        <v>0</v>
      </c>
      <c r="H74" s="20" t="str">
        <f aca="true">IF(AND(A74="",B74=""),"",IF(ISNA(MATCH(B74,ListaInsumos,0)),"Insumo no está en Insumos",IF(C74="","Falta cantidad",IF(IFERROR(INDEX(UnidadesBase,MATCH(D74,Unidades,0)),"")&lt;&gt;INDEX(InsBase,MATCH(B74,ListaInsumos,0)),"Unidad incompatible",IF(F74="","Insumo sin compras","OK")))))</f>
        <v>Falta cantidad</v>
      </c>
      <c r="I74" s="15"/>
    </row>
    <row r="75" customFormat="false" ht="15" hidden="false" customHeight="false" outlineLevel="0" collapsed="false">
      <c r="A75" s="15" t="s">
        <v>137</v>
      </c>
      <c r="B75" s="15" t="s">
        <v>81</v>
      </c>
      <c r="C75" s="27"/>
      <c r="D75" s="15" t="s">
        <v>56</v>
      </c>
      <c r="E75" s="25" t="str">
        <f aca="true">IF(OR(C75="",D75=""),"",IFERROR(C75*INDEX(UnidadesFactor,MATCH(D75,Unidades,0)),""))</f>
        <v/>
      </c>
      <c r="F75" s="18" t="str">
        <f aca="true">IF(B75="","",IFERROR(INDEX(InsCosto,MATCH(B75,ListaInsumos,0)),""))</f>
        <v/>
      </c>
      <c r="G75" s="19" t="n">
        <f aca="false">IF(AND(A75="",B75=""),"",IF(H75="OK",E75*F75,0))</f>
        <v>0</v>
      </c>
      <c r="H75" s="20" t="str">
        <f aca="true">IF(AND(A75="",B75=""),"",IF(ISNA(MATCH(B75,ListaInsumos,0)),"Insumo no está en Insumos",IF(C75="","Falta cantidad",IF(IFERROR(INDEX(UnidadesBase,MATCH(D75,Unidades,0)),"")&lt;&gt;INDEX(InsBase,MATCH(B75,ListaInsumos,0)),"Unidad incompatible",IF(F75="","Insumo sin compras","OK")))))</f>
        <v>Falta cantidad</v>
      </c>
      <c r="I75" s="15"/>
    </row>
    <row r="76" customFormat="false" ht="15" hidden="false" customHeight="false" outlineLevel="0" collapsed="false">
      <c r="A76" s="15" t="s">
        <v>137</v>
      </c>
      <c r="B76" s="15" t="s">
        <v>66</v>
      </c>
      <c r="C76" s="27"/>
      <c r="D76" s="15" t="s">
        <v>56</v>
      </c>
      <c r="E76" s="25" t="str">
        <f aca="true">IF(OR(C76="",D76=""),"",IFERROR(C76*INDEX(UnidadesFactor,MATCH(D76,Unidades,0)),""))</f>
        <v/>
      </c>
      <c r="F76" s="18" t="n">
        <f aca="true">IF(B76="","",IFERROR(INDEX(InsCosto,MATCH(B76,ListaInsumos,0)),""))</f>
        <v>60</v>
      </c>
      <c r="G76" s="19" t="n">
        <f aca="false">IF(AND(A76="",B76=""),"",IF(H76="OK",E76*F76,0))</f>
        <v>0</v>
      </c>
      <c r="H76" s="20" t="str">
        <f aca="true">IF(AND(A76="",B76=""),"",IF(ISNA(MATCH(B76,ListaInsumos,0)),"Insumo no está en Insumos",IF(C76="","Falta cantidad",IF(IFERROR(INDEX(UnidadesBase,MATCH(D76,Unidades,0)),"")&lt;&gt;INDEX(InsBase,MATCH(B76,ListaInsumos,0)),"Unidad incompatible",IF(F76="","Insumo sin compras","OK")))))</f>
        <v>Falta cantidad</v>
      </c>
      <c r="I76" s="15"/>
    </row>
    <row r="77" customFormat="false" ht="15" hidden="false" customHeight="false" outlineLevel="0" collapsed="false">
      <c r="A77" s="15" t="s">
        <v>137</v>
      </c>
      <c r="B77" s="15" t="s">
        <v>62</v>
      </c>
      <c r="C77" s="27"/>
      <c r="D77" s="15" t="s">
        <v>56</v>
      </c>
      <c r="E77" s="25" t="str">
        <f aca="true">IF(OR(C77="",D77=""),"",IFERROR(C77*INDEX(UnidadesFactor,MATCH(D77,Unidades,0)),""))</f>
        <v/>
      </c>
      <c r="F77" s="18" t="str">
        <f aca="true">IF(B77="","",IFERROR(INDEX(InsCosto,MATCH(B77,ListaInsumos,0)),""))</f>
        <v/>
      </c>
      <c r="G77" s="19" t="n">
        <f aca="false">IF(AND(A77="",B77=""),"",IF(H77="OK",E77*F77,0))</f>
        <v>0</v>
      </c>
      <c r="H77" s="20" t="str">
        <f aca="true">IF(AND(A77="",B77=""),"",IF(ISNA(MATCH(B77,ListaInsumos,0)),"Insumo no está en Insumos",IF(C77="","Falta cantidad",IF(IFERROR(INDEX(UnidadesBase,MATCH(D77,Unidades,0)),"")&lt;&gt;INDEX(InsBase,MATCH(B77,ListaInsumos,0)),"Unidad incompatible",IF(F77="","Insumo sin compras","OK")))))</f>
        <v>Falta cantidad</v>
      </c>
      <c r="I77" s="15"/>
    </row>
    <row r="78" customFormat="false" ht="15" hidden="false" customHeight="false" outlineLevel="0" collapsed="false">
      <c r="A78" s="15" t="s">
        <v>138</v>
      </c>
      <c r="B78" s="15" t="s">
        <v>74</v>
      </c>
      <c r="C78" s="27"/>
      <c r="D78" s="15" t="s">
        <v>56</v>
      </c>
      <c r="E78" s="25" t="str">
        <f aca="true">IF(OR(C78="",D78=""),"",IFERROR(C78*INDEX(UnidadesFactor,MATCH(D78,Unidades,0)),""))</f>
        <v/>
      </c>
      <c r="F78" s="18" t="str">
        <f aca="true">IF(B78="","",IFERROR(INDEX(InsCosto,MATCH(B78,ListaInsumos,0)),""))</f>
        <v/>
      </c>
      <c r="G78" s="19" t="n">
        <f aca="false">IF(AND(A78="",B78=""),"",IF(H78="OK",E78*F78,0))</f>
        <v>0</v>
      </c>
      <c r="H78" s="20" t="str">
        <f aca="true">IF(AND(A78="",B78=""),"",IF(ISNA(MATCH(B78,ListaInsumos,0)),"Insumo no está en Insumos",IF(C78="","Falta cantidad",IF(IFERROR(INDEX(UnidadesBase,MATCH(D78,Unidades,0)),"")&lt;&gt;INDEX(InsBase,MATCH(B78,ListaInsumos,0)),"Unidad incompatible",IF(F78="","Insumo sin compras","OK")))))</f>
        <v>Falta cantidad</v>
      </c>
      <c r="I78" s="15"/>
    </row>
    <row r="79" customFormat="false" ht="15" hidden="false" customHeight="false" outlineLevel="0" collapsed="false">
      <c r="A79" s="15" t="s">
        <v>138</v>
      </c>
      <c r="B79" s="15" t="s">
        <v>90</v>
      </c>
      <c r="C79" s="27"/>
      <c r="D79" s="15" t="s">
        <v>56</v>
      </c>
      <c r="E79" s="25" t="str">
        <f aca="true">IF(OR(C79="",D79=""),"",IFERROR(C79*INDEX(UnidadesFactor,MATCH(D79,Unidades,0)),""))</f>
        <v/>
      </c>
      <c r="F79" s="18" t="str">
        <f aca="true">IF(B79="","",IFERROR(INDEX(InsCosto,MATCH(B79,ListaInsumos,0)),""))</f>
        <v/>
      </c>
      <c r="G79" s="19" t="n">
        <f aca="false">IF(AND(A79="",B79=""),"",IF(H79="OK",E79*F79,0))</f>
        <v>0</v>
      </c>
      <c r="H79" s="20" t="str">
        <f aca="true">IF(AND(A79="",B79=""),"",IF(ISNA(MATCH(B79,ListaInsumos,0)),"Insumo no está en Insumos",IF(C79="","Falta cantidad",IF(IFERROR(INDEX(UnidadesBase,MATCH(D79,Unidades,0)),"")&lt;&gt;INDEX(InsBase,MATCH(B79,ListaInsumos,0)),"Unidad incompatible",IF(F79="","Insumo sin compras","OK")))))</f>
        <v>Falta cantidad</v>
      </c>
      <c r="I79" s="15"/>
    </row>
    <row r="80" customFormat="false" ht="15" hidden="false" customHeight="false" outlineLevel="0" collapsed="false">
      <c r="A80" s="15" t="s">
        <v>138</v>
      </c>
      <c r="B80" s="15" t="s">
        <v>84</v>
      </c>
      <c r="C80" s="27"/>
      <c r="D80" s="15" t="s">
        <v>56</v>
      </c>
      <c r="E80" s="25" t="str">
        <f aca="true">IF(OR(C80="",D80=""),"",IFERROR(C80*INDEX(UnidadesFactor,MATCH(D80,Unidades,0)),""))</f>
        <v/>
      </c>
      <c r="F80" s="18" t="str">
        <f aca="true">IF(B80="","",IFERROR(INDEX(InsCosto,MATCH(B80,ListaInsumos,0)),""))</f>
        <v/>
      </c>
      <c r="G80" s="19" t="n">
        <f aca="false">IF(AND(A80="",B80=""),"",IF(H80="OK",E80*F80,0))</f>
        <v>0</v>
      </c>
      <c r="H80" s="20" t="str">
        <f aca="true">IF(AND(A80="",B80=""),"",IF(ISNA(MATCH(B80,ListaInsumos,0)),"Insumo no está en Insumos",IF(C80="","Falta cantidad",IF(IFERROR(INDEX(UnidadesBase,MATCH(D80,Unidades,0)),"")&lt;&gt;INDEX(InsBase,MATCH(B80,ListaInsumos,0)),"Unidad incompatible",IF(F80="","Insumo sin compras","OK")))))</f>
        <v>Falta cantidad</v>
      </c>
      <c r="I80" s="15"/>
    </row>
    <row r="81" customFormat="false" ht="15" hidden="false" customHeight="false" outlineLevel="0" collapsed="false">
      <c r="A81" s="15" t="s">
        <v>138</v>
      </c>
      <c r="B81" s="15" t="s">
        <v>86</v>
      </c>
      <c r="C81" s="27"/>
      <c r="D81" s="15" t="s">
        <v>56</v>
      </c>
      <c r="E81" s="25" t="str">
        <f aca="true">IF(OR(C81="",D81=""),"",IFERROR(C81*INDEX(UnidadesFactor,MATCH(D81,Unidades,0)),""))</f>
        <v/>
      </c>
      <c r="F81" s="18" t="n">
        <f aca="true">IF(B81="","",IFERROR(INDEX(InsCosto,MATCH(B81,ListaInsumos,0)),""))</f>
        <v>5</v>
      </c>
      <c r="G81" s="19" t="n">
        <f aca="false">IF(AND(A81="",B81=""),"",IF(H81="OK",E81*F81,0))</f>
        <v>0</v>
      </c>
      <c r="H81" s="20" t="str">
        <f aca="true">IF(AND(A81="",B81=""),"",IF(ISNA(MATCH(B81,ListaInsumos,0)),"Insumo no está en Insumos",IF(C81="","Falta cantidad",IF(IFERROR(INDEX(UnidadesBase,MATCH(D81,Unidades,0)),"")&lt;&gt;INDEX(InsBase,MATCH(B81,ListaInsumos,0)),"Unidad incompatible",IF(F81="","Insumo sin compras","OK")))))</f>
        <v>Falta cantidad</v>
      </c>
      <c r="I81" s="15"/>
    </row>
    <row r="82" customFormat="false" ht="15" hidden="false" customHeight="false" outlineLevel="0" collapsed="false">
      <c r="A82" s="15" t="s">
        <v>138</v>
      </c>
      <c r="B82" s="15" t="s">
        <v>66</v>
      </c>
      <c r="C82" s="27"/>
      <c r="D82" s="15" t="s">
        <v>56</v>
      </c>
      <c r="E82" s="25" t="str">
        <f aca="true">IF(OR(C82="",D82=""),"",IFERROR(C82*INDEX(UnidadesFactor,MATCH(D82,Unidades,0)),""))</f>
        <v/>
      </c>
      <c r="F82" s="18" t="n">
        <f aca="true">IF(B82="","",IFERROR(INDEX(InsCosto,MATCH(B82,ListaInsumos,0)),""))</f>
        <v>60</v>
      </c>
      <c r="G82" s="19" t="n">
        <f aca="false">IF(AND(A82="",B82=""),"",IF(H82="OK",E82*F82,0))</f>
        <v>0</v>
      </c>
      <c r="H82" s="20" t="str">
        <f aca="true">IF(AND(A82="",B82=""),"",IF(ISNA(MATCH(B82,ListaInsumos,0)),"Insumo no está en Insumos",IF(C82="","Falta cantidad",IF(IFERROR(INDEX(UnidadesBase,MATCH(D82,Unidades,0)),"")&lt;&gt;INDEX(InsBase,MATCH(B82,ListaInsumos,0)),"Unidad incompatible",IF(F82="","Insumo sin compras","OK")))))</f>
        <v>Falta cantidad</v>
      </c>
      <c r="I82" s="15"/>
    </row>
    <row r="83" customFormat="false" ht="15" hidden="false" customHeight="false" outlineLevel="0" collapsed="false">
      <c r="A83" s="15" t="s">
        <v>138</v>
      </c>
      <c r="B83" s="15" t="s">
        <v>52</v>
      </c>
      <c r="C83" s="27"/>
      <c r="D83" s="15" t="s">
        <v>54</v>
      </c>
      <c r="E83" s="25" t="str">
        <f aca="true">IF(OR(C83="",D83=""),"",IFERROR(C83*INDEX(UnidadesFactor,MATCH(D83,Unidades,0)),""))</f>
        <v/>
      </c>
      <c r="F83" s="18" t="n">
        <f aca="true">IF(B83="","",IFERROR(INDEX(InsCosto,MATCH(B83,ListaInsumos,0)),""))</f>
        <v>18</v>
      </c>
      <c r="G83" s="19" t="n">
        <f aca="false">IF(AND(A83="",B83=""),"",IF(H83="OK",E83*F83,0))</f>
        <v>0</v>
      </c>
      <c r="H83" s="20" t="str">
        <f aca="true">IF(AND(A83="",B83=""),"",IF(ISNA(MATCH(B83,ListaInsumos,0)),"Insumo no está en Insumos",IF(C83="","Falta cantidad",IF(IFERROR(INDEX(UnidadesBase,MATCH(D83,Unidades,0)),"")&lt;&gt;INDEX(InsBase,MATCH(B83,ListaInsumos,0)),"Unidad incompatible",IF(F83="","Insumo sin compras","OK")))))</f>
        <v>Falta cantidad</v>
      </c>
      <c r="I83" s="15"/>
    </row>
    <row r="84" customFormat="false" ht="15" hidden="false" customHeight="false" outlineLevel="0" collapsed="false">
      <c r="A84" s="15" t="s">
        <v>138</v>
      </c>
      <c r="B84" s="15" t="s">
        <v>76</v>
      </c>
      <c r="C84" s="27"/>
      <c r="D84" s="15" t="s">
        <v>56</v>
      </c>
      <c r="E84" s="25" t="str">
        <f aca="true">IF(OR(C84="",D84=""),"",IFERROR(C84*INDEX(UnidadesFactor,MATCH(D84,Unidades,0)),""))</f>
        <v/>
      </c>
      <c r="F84" s="18" t="str">
        <f aca="true">IF(B84="","",IFERROR(INDEX(InsCosto,MATCH(B84,ListaInsumos,0)),""))</f>
        <v/>
      </c>
      <c r="G84" s="19" t="n">
        <f aca="false">IF(AND(A84="",B84=""),"",IF(H84="OK",E84*F84,0))</f>
        <v>0</v>
      </c>
      <c r="H84" s="20" t="str">
        <f aca="true">IF(AND(A84="",B84=""),"",IF(ISNA(MATCH(B84,ListaInsumos,0)),"Insumo no está en Insumos",IF(C84="","Falta cantidad",IF(IFERROR(INDEX(UnidadesBase,MATCH(D84,Unidades,0)),"")&lt;&gt;INDEX(InsBase,MATCH(B84,ListaInsumos,0)),"Unidad incompatible",IF(F84="","Insumo sin compras","OK")))))</f>
        <v>Falta cantidad</v>
      </c>
      <c r="I84" s="15"/>
    </row>
    <row r="85" customFormat="false" ht="15" hidden="false" customHeight="false" outlineLevel="0" collapsed="false">
      <c r="A85" s="15" t="s">
        <v>139</v>
      </c>
      <c r="B85" s="15" t="s">
        <v>59</v>
      </c>
      <c r="C85" s="27" t="n">
        <v>200</v>
      </c>
      <c r="D85" s="15" t="s">
        <v>56</v>
      </c>
      <c r="E85" s="25" t="n">
        <f aca="true">IF(OR(C85="",D85=""),"",IFERROR(C85*INDEX(UnidadesFactor,MATCH(D85,Unidades,0)),""))</f>
        <v>200</v>
      </c>
      <c r="F85" s="18" t="str">
        <f aca="true">IF(B85="","",IFERROR(INDEX(InsCosto,MATCH(B85,ListaInsumos,0)),""))</f>
        <v/>
      </c>
      <c r="G85" s="19" t="n">
        <f aca="false">IF(AND(A85="",B85=""),"",IF(H85="OK",E85*F85,0))</f>
        <v>0</v>
      </c>
      <c r="H85" s="20" t="str">
        <f aca="true">IF(AND(A85="",B85=""),"",IF(ISNA(MATCH(B85,ListaInsumos,0)),"Insumo no está en Insumos",IF(C85="","Falta cantidad",IF(IFERROR(INDEX(UnidadesBase,MATCH(D85,Unidades,0)),"")&lt;&gt;INDEX(InsBase,MATCH(B85,ListaInsumos,0)),"Unidad incompatible",IF(F85="","Insumo sin compras","OK")))))</f>
        <v>Insumo sin compras</v>
      </c>
      <c r="I85" s="15"/>
    </row>
    <row r="86" customFormat="false" ht="15" hidden="false" customHeight="false" outlineLevel="0" collapsed="false">
      <c r="A86" s="15" t="s">
        <v>140</v>
      </c>
      <c r="B86" s="15" t="s">
        <v>98</v>
      </c>
      <c r="C86" s="27" t="n">
        <v>1</v>
      </c>
      <c r="D86" s="15" t="s">
        <v>93</v>
      </c>
      <c r="E86" s="25" t="n">
        <f aca="true">IF(OR(C86="",D86=""),"",IFERROR(C86*INDEX(UnidadesFactor,MATCH(D86,Unidades,0)),""))</f>
        <v>1</v>
      </c>
      <c r="F86" s="18" t="str">
        <f aca="true">IF(B86="","",IFERROR(INDEX(InsCosto,MATCH(B86,ListaInsumos,0)),""))</f>
        <v/>
      </c>
      <c r="G86" s="19" t="n">
        <f aca="false">IF(AND(A86="",B86=""),"",IF(H86="OK",E86*F86,0))</f>
        <v>0</v>
      </c>
      <c r="H86" s="20" t="str">
        <f aca="true">IF(AND(A86="",B86=""),"",IF(ISNA(MATCH(B86,ListaInsumos,0)),"Insumo no está en Insumos",IF(C86="","Falta cantidad",IF(IFERROR(INDEX(UnidadesBase,MATCH(D86,Unidades,0)),"")&lt;&gt;INDEX(InsBase,MATCH(B86,ListaInsumos,0)),"Unidad incompatible",IF(F86="","Insumo sin compras","OK")))))</f>
        <v>Insumo sin compras</v>
      </c>
      <c r="I86" s="15"/>
    </row>
    <row r="87" customFormat="false" ht="15" hidden="false" customHeight="false" outlineLevel="0" collapsed="false">
      <c r="A87" s="15" t="s">
        <v>141</v>
      </c>
      <c r="B87" s="15" t="s">
        <v>100</v>
      </c>
      <c r="C87" s="27" t="n">
        <v>1</v>
      </c>
      <c r="D87" s="15" t="s">
        <v>93</v>
      </c>
      <c r="E87" s="25" t="n">
        <f aca="true">IF(OR(C87="",D87=""),"",IFERROR(C87*INDEX(UnidadesFactor,MATCH(D87,Unidades,0)),""))</f>
        <v>1</v>
      </c>
      <c r="F87" s="18" t="str">
        <f aca="true">IF(B87="","",IFERROR(INDEX(InsCosto,MATCH(B87,ListaInsumos,0)),""))</f>
        <v/>
      </c>
      <c r="G87" s="19" t="n">
        <f aca="false">IF(AND(A87="",B87=""),"",IF(H87="OK",E87*F87,0))</f>
        <v>0</v>
      </c>
      <c r="H87" s="20" t="str">
        <f aca="true">IF(AND(A87="",B87=""),"",IF(ISNA(MATCH(B87,ListaInsumos,0)),"Insumo no está en Insumos",IF(C87="","Falta cantidad",IF(IFERROR(INDEX(UnidadesBase,MATCH(D87,Unidades,0)),"")&lt;&gt;INDEX(InsBase,MATCH(B87,ListaInsumos,0)),"Unidad incompatible",IF(F87="","Insumo sin compras","OK")))))</f>
        <v>Insumo sin compras</v>
      </c>
      <c r="I87" s="15"/>
    </row>
    <row r="88" customFormat="false" ht="15" hidden="false" customHeight="false" outlineLevel="0" collapsed="false">
      <c r="A88" s="15" t="s">
        <v>142</v>
      </c>
      <c r="B88" s="15" t="s">
        <v>101</v>
      </c>
      <c r="C88" s="27" t="n">
        <v>1</v>
      </c>
      <c r="D88" s="15" t="s">
        <v>93</v>
      </c>
      <c r="E88" s="25" t="n">
        <f aca="true">IF(OR(C88="",D88=""),"",IFERROR(C88*INDEX(UnidadesFactor,MATCH(D88,Unidades,0)),""))</f>
        <v>1</v>
      </c>
      <c r="F88" s="18" t="str">
        <f aca="true">IF(B88="","",IFERROR(INDEX(InsCosto,MATCH(B88,ListaInsumos,0)),""))</f>
        <v/>
      </c>
      <c r="G88" s="19" t="n">
        <f aca="false">IF(AND(A88="",B88=""),"",IF(H88="OK",E88*F88,0))</f>
        <v>0</v>
      </c>
      <c r="H88" s="20" t="str">
        <f aca="true">IF(AND(A88="",B88=""),"",IF(ISNA(MATCH(B88,ListaInsumos,0)),"Insumo no está en Insumos",IF(C88="","Falta cantidad",IF(IFERROR(INDEX(UnidadesBase,MATCH(D88,Unidades,0)),"")&lt;&gt;INDEX(InsBase,MATCH(B88,ListaInsumos,0)),"Unidad incompatible",IF(F88="","Insumo sin compras","OK")))))</f>
        <v>Insumo sin compras</v>
      </c>
      <c r="I88" s="15"/>
    </row>
    <row r="89" customFormat="false" ht="15" hidden="false" customHeight="false" outlineLevel="0" collapsed="false">
      <c r="A89" s="15" t="s">
        <v>143</v>
      </c>
      <c r="B89" s="15" t="s">
        <v>102</v>
      </c>
      <c r="C89" s="27" t="n">
        <v>1</v>
      </c>
      <c r="D89" s="15" t="s">
        <v>93</v>
      </c>
      <c r="E89" s="25" t="n">
        <f aca="true">IF(OR(C89="",D89=""),"",IFERROR(C89*INDEX(UnidadesFactor,MATCH(D89,Unidades,0)),""))</f>
        <v>1</v>
      </c>
      <c r="F89" s="18" t="str">
        <f aca="true">IF(B89="","",IFERROR(INDEX(InsCosto,MATCH(B89,ListaInsumos,0)),""))</f>
        <v/>
      </c>
      <c r="G89" s="19" t="n">
        <f aca="false">IF(AND(A89="",B89=""),"",IF(H89="OK",E89*F89,0))</f>
        <v>0</v>
      </c>
      <c r="H89" s="20" t="str">
        <f aca="true">IF(AND(A89="",B89=""),"",IF(ISNA(MATCH(B89,ListaInsumos,0)),"Insumo no está en Insumos",IF(C89="","Falta cantidad",IF(IFERROR(INDEX(UnidadesBase,MATCH(D89,Unidades,0)),"")&lt;&gt;INDEX(InsBase,MATCH(B89,ListaInsumos,0)),"Unidad incompatible",IF(F89="","Insumo sin compras","OK")))))</f>
        <v>Insumo sin compras</v>
      </c>
      <c r="I89" s="15"/>
    </row>
    <row r="90" customFormat="false" ht="15" hidden="false" customHeight="false" outlineLevel="0" collapsed="false">
      <c r="A90" s="15" t="s">
        <v>144</v>
      </c>
      <c r="B90" s="15" t="s">
        <v>103</v>
      </c>
      <c r="C90" s="27" t="n">
        <v>1</v>
      </c>
      <c r="D90" s="15" t="s">
        <v>93</v>
      </c>
      <c r="E90" s="25" t="n">
        <f aca="true">IF(OR(C90="",D90=""),"",IFERROR(C90*INDEX(UnidadesFactor,MATCH(D90,Unidades,0)),""))</f>
        <v>1</v>
      </c>
      <c r="F90" s="18" t="str">
        <f aca="true">IF(B90="","",IFERROR(INDEX(InsCosto,MATCH(B90,ListaInsumos,0)),""))</f>
        <v/>
      </c>
      <c r="G90" s="19" t="n">
        <f aca="false">IF(AND(A90="",B90=""),"",IF(H90="OK",E90*F90,0))</f>
        <v>0</v>
      </c>
      <c r="H90" s="20" t="str">
        <f aca="true">IF(AND(A90="",B90=""),"",IF(ISNA(MATCH(B90,ListaInsumos,0)),"Insumo no está en Insumos",IF(C90="","Falta cantidad",IF(IFERROR(INDEX(UnidadesBase,MATCH(D90,Unidades,0)),"")&lt;&gt;INDEX(InsBase,MATCH(B90,ListaInsumos,0)),"Unidad incompatible",IF(F90="","Insumo sin compras","OK")))))</f>
        <v>Insumo sin compras</v>
      </c>
      <c r="I90" s="15"/>
    </row>
    <row r="91" customFormat="false" ht="15" hidden="false" customHeight="false" outlineLevel="0" collapsed="false">
      <c r="A91" s="15"/>
      <c r="B91" s="15"/>
      <c r="C91" s="27"/>
      <c r="D91" s="15"/>
      <c r="E91" s="25" t="str">
        <f aca="true">IF(OR(C91="",D91=""),"",IFERROR(C91*INDEX(UnidadesFactor,MATCH(D91,Unidades,0)),""))</f>
        <v/>
      </c>
      <c r="F91" s="18" t="str">
        <f aca="true">IF(B91="","",IFERROR(INDEX(InsCosto,MATCH(B91,ListaInsumos,0)),""))</f>
        <v/>
      </c>
      <c r="G91" s="19" t="str">
        <f aca="false">IF(AND(A91="",B91=""),"",IF(H91="OK",E91*F91,0))</f>
        <v/>
      </c>
      <c r="H91" s="20" t="str">
        <f aca="true">IF(AND(A91="",B91=""),"",IF(ISNA(MATCH(B91,ListaInsumos,0)),"Insumo no está en Insumos",IF(C91="","Falta cantidad",IF(IFERROR(INDEX(UnidadesBase,MATCH(D91,Unidades,0)),"")&lt;&gt;INDEX(InsBase,MATCH(B91,ListaInsumos,0)),"Unidad incompatible",IF(F91="","Insumo sin compras","OK")))))</f>
        <v/>
      </c>
      <c r="I91" s="15"/>
    </row>
    <row r="92" customFormat="false" ht="15" hidden="false" customHeight="false" outlineLevel="0" collapsed="false">
      <c r="A92" s="15"/>
      <c r="B92" s="15"/>
      <c r="C92" s="27"/>
      <c r="D92" s="15"/>
      <c r="E92" s="25" t="str">
        <f aca="true">IF(OR(C92="",D92=""),"",IFERROR(C92*INDEX(UnidadesFactor,MATCH(D92,Unidades,0)),""))</f>
        <v/>
      </c>
      <c r="F92" s="18" t="str">
        <f aca="true">IF(B92="","",IFERROR(INDEX(InsCosto,MATCH(B92,ListaInsumos,0)),""))</f>
        <v/>
      </c>
      <c r="G92" s="19" t="str">
        <f aca="false">IF(AND(A92="",B92=""),"",IF(H92="OK",E92*F92,0))</f>
        <v/>
      </c>
      <c r="H92" s="20" t="str">
        <f aca="true">IF(AND(A92="",B92=""),"",IF(ISNA(MATCH(B92,ListaInsumos,0)),"Insumo no está en Insumos",IF(C92="","Falta cantidad",IF(IFERROR(INDEX(UnidadesBase,MATCH(D92,Unidades,0)),"")&lt;&gt;INDEX(InsBase,MATCH(B92,ListaInsumos,0)),"Unidad incompatible",IF(F92="","Insumo sin compras","OK")))))</f>
        <v/>
      </c>
      <c r="I92" s="15"/>
    </row>
    <row r="93" customFormat="false" ht="15" hidden="false" customHeight="false" outlineLevel="0" collapsed="false">
      <c r="A93" s="15"/>
      <c r="B93" s="15"/>
      <c r="C93" s="27"/>
      <c r="D93" s="15"/>
      <c r="E93" s="25" t="str">
        <f aca="true">IF(OR(C93="",D93=""),"",IFERROR(C93*INDEX(UnidadesFactor,MATCH(D93,Unidades,0)),""))</f>
        <v/>
      </c>
      <c r="F93" s="18" t="str">
        <f aca="true">IF(B93="","",IFERROR(INDEX(InsCosto,MATCH(B93,ListaInsumos,0)),""))</f>
        <v/>
      </c>
      <c r="G93" s="19" t="str">
        <f aca="false">IF(AND(A93="",B93=""),"",IF(H93="OK",E93*F93,0))</f>
        <v/>
      </c>
      <c r="H93" s="20" t="str">
        <f aca="true">IF(AND(A93="",B93=""),"",IF(ISNA(MATCH(B93,ListaInsumos,0)),"Insumo no está en Insumos",IF(C93="","Falta cantidad",IF(IFERROR(INDEX(UnidadesBase,MATCH(D93,Unidades,0)),"")&lt;&gt;INDEX(InsBase,MATCH(B93,ListaInsumos,0)),"Unidad incompatible",IF(F93="","Insumo sin compras","OK")))))</f>
        <v/>
      </c>
      <c r="I93" s="15"/>
    </row>
    <row r="94" customFormat="false" ht="15" hidden="false" customHeight="false" outlineLevel="0" collapsed="false">
      <c r="A94" s="15"/>
      <c r="B94" s="15"/>
      <c r="C94" s="27"/>
      <c r="D94" s="15"/>
      <c r="E94" s="25" t="str">
        <f aca="true">IF(OR(C94="",D94=""),"",IFERROR(C94*INDEX(UnidadesFactor,MATCH(D94,Unidades,0)),""))</f>
        <v/>
      </c>
      <c r="F94" s="18" t="str">
        <f aca="true">IF(B94="","",IFERROR(INDEX(InsCosto,MATCH(B94,ListaInsumos,0)),""))</f>
        <v/>
      </c>
      <c r="G94" s="19" t="str">
        <f aca="false">IF(AND(A94="",B94=""),"",IF(H94="OK",E94*F94,0))</f>
        <v/>
      </c>
      <c r="H94" s="20" t="str">
        <f aca="true">IF(AND(A94="",B94=""),"",IF(ISNA(MATCH(B94,ListaInsumos,0)),"Insumo no está en Insumos",IF(C94="","Falta cantidad",IF(IFERROR(INDEX(UnidadesBase,MATCH(D94,Unidades,0)),"")&lt;&gt;INDEX(InsBase,MATCH(B94,ListaInsumos,0)),"Unidad incompatible",IF(F94="","Insumo sin compras","OK")))))</f>
        <v/>
      </c>
      <c r="I94" s="15"/>
    </row>
    <row r="95" customFormat="false" ht="15" hidden="false" customHeight="false" outlineLevel="0" collapsed="false">
      <c r="A95" s="15"/>
      <c r="B95" s="15"/>
      <c r="C95" s="27"/>
      <c r="D95" s="15"/>
      <c r="E95" s="25" t="str">
        <f aca="true">IF(OR(C95="",D95=""),"",IFERROR(C95*INDEX(UnidadesFactor,MATCH(D95,Unidades,0)),""))</f>
        <v/>
      </c>
      <c r="F95" s="18" t="str">
        <f aca="true">IF(B95="","",IFERROR(INDEX(InsCosto,MATCH(B95,ListaInsumos,0)),""))</f>
        <v/>
      </c>
      <c r="G95" s="19" t="str">
        <f aca="false">IF(AND(A95="",B95=""),"",IF(H95="OK",E95*F95,0))</f>
        <v/>
      </c>
      <c r="H95" s="20" t="str">
        <f aca="true">IF(AND(A95="",B95=""),"",IF(ISNA(MATCH(B95,ListaInsumos,0)),"Insumo no está en Insumos",IF(C95="","Falta cantidad",IF(IFERROR(INDEX(UnidadesBase,MATCH(D95,Unidades,0)),"")&lt;&gt;INDEX(InsBase,MATCH(B95,ListaInsumos,0)),"Unidad incompatible",IF(F95="","Insumo sin compras","OK")))))</f>
        <v/>
      </c>
      <c r="I95" s="15"/>
    </row>
    <row r="96" customFormat="false" ht="15" hidden="false" customHeight="false" outlineLevel="0" collapsed="false">
      <c r="A96" s="15"/>
      <c r="B96" s="15"/>
      <c r="C96" s="27"/>
      <c r="D96" s="15"/>
      <c r="E96" s="25" t="str">
        <f aca="true">IF(OR(C96="",D96=""),"",IFERROR(C96*INDEX(UnidadesFactor,MATCH(D96,Unidades,0)),""))</f>
        <v/>
      </c>
      <c r="F96" s="18" t="str">
        <f aca="true">IF(B96="","",IFERROR(INDEX(InsCosto,MATCH(B96,ListaInsumos,0)),""))</f>
        <v/>
      </c>
      <c r="G96" s="19" t="str">
        <f aca="false">IF(AND(A96="",B96=""),"",IF(H96="OK",E96*F96,0))</f>
        <v/>
      </c>
      <c r="H96" s="20" t="str">
        <f aca="true">IF(AND(A96="",B96=""),"",IF(ISNA(MATCH(B96,ListaInsumos,0)),"Insumo no está en Insumos",IF(C96="","Falta cantidad",IF(IFERROR(INDEX(UnidadesBase,MATCH(D96,Unidades,0)),"")&lt;&gt;INDEX(InsBase,MATCH(B96,ListaInsumos,0)),"Unidad incompatible",IF(F96="","Insumo sin compras","OK")))))</f>
        <v/>
      </c>
      <c r="I96" s="15"/>
    </row>
    <row r="97" customFormat="false" ht="15" hidden="false" customHeight="false" outlineLevel="0" collapsed="false">
      <c r="A97" s="15"/>
      <c r="B97" s="15"/>
      <c r="C97" s="27"/>
      <c r="D97" s="15"/>
      <c r="E97" s="25" t="str">
        <f aca="true">IF(OR(C97="",D97=""),"",IFERROR(C97*INDEX(UnidadesFactor,MATCH(D97,Unidades,0)),""))</f>
        <v/>
      </c>
      <c r="F97" s="18" t="str">
        <f aca="true">IF(B97="","",IFERROR(INDEX(InsCosto,MATCH(B97,ListaInsumos,0)),""))</f>
        <v/>
      </c>
      <c r="G97" s="19" t="str">
        <f aca="false">IF(AND(A97="",B97=""),"",IF(H97="OK",E97*F97,0))</f>
        <v/>
      </c>
      <c r="H97" s="20" t="str">
        <f aca="true">IF(AND(A97="",B97=""),"",IF(ISNA(MATCH(B97,ListaInsumos,0)),"Insumo no está en Insumos",IF(C97="","Falta cantidad",IF(IFERROR(INDEX(UnidadesBase,MATCH(D97,Unidades,0)),"")&lt;&gt;INDEX(InsBase,MATCH(B97,ListaInsumos,0)),"Unidad incompatible",IF(F97="","Insumo sin compras","OK")))))</f>
        <v/>
      </c>
      <c r="I97" s="15"/>
    </row>
    <row r="98" customFormat="false" ht="15" hidden="false" customHeight="false" outlineLevel="0" collapsed="false">
      <c r="A98" s="15"/>
      <c r="B98" s="15"/>
      <c r="C98" s="27"/>
      <c r="D98" s="15"/>
      <c r="E98" s="25" t="str">
        <f aca="true">IF(OR(C98="",D98=""),"",IFERROR(C98*INDEX(UnidadesFactor,MATCH(D98,Unidades,0)),""))</f>
        <v/>
      </c>
      <c r="F98" s="18" t="str">
        <f aca="true">IF(B98="","",IFERROR(INDEX(InsCosto,MATCH(B98,ListaInsumos,0)),""))</f>
        <v/>
      </c>
      <c r="G98" s="19" t="str">
        <f aca="false">IF(AND(A98="",B98=""),"",IF(H98="OK",E98*F98,0))</f>
        <v/>
      </c>
      <c r="H98" s="20" t="str">
        <f aca="true">IF(AND(A98="",B98=""),"",IF(ISNA(MATCH(B98,ListaInsumos,0)),"Insumo no está en Insumos",IF(C98="","Falta cantidad",IF(IFERROR(INDEX(UnidadesBase,MATCH(D98,Unidades,0)),"")&lt;&gt;INDEX(InsBase,MATCH(B98,ListaInsumos,0)),"Unidad incompatible",IF(F98="","Insumo sin compras","OK")))))</f>
        <v/>
      </c>
      <c r="I98" s="15"/>
    </row>
    <row r="99" customFormat="false" ht="15" hidden="false" customHeight="false" outlineLevel="0" collapsed="false">
      <c r="A99" s="15"/>
      <c r="B99" s="15"/>
      <c r="C99" s="27"/>
      <c r="D99" s="15"/>
      <c r="E99" s="25" t="str">
        <f aca="true">IF(OR(C99="",D99=""),"",IFERROR(C99*INDEX(UnidadesFactor,MATCH(D99,Unidades,0)),""))</f>
        <v/>
      </c>
      <c r="F99" s="18" t="str">
        <f aca="true">IF(B99="","",IFERROR(INDEX(InsCosto,MATCH(B99,ListaInsumos,0)),""))</f>
        <v/>
      </c>
      <c r="G99" s="19" t="str">
        <f aca="false">IF(AND(A99="",B99=""),"",IF(H99="OK",E99*F99,0))</f>
        <v/>
      </c>
      <c r="H99" s="20" t="str">
        <f aca="true">IF(AND(A99="",B99=""),"",IF(ISNA(MATCH(B99,ListaInsumos,0)),"Insumo no está en Insumos",IF(C99="","Falta cantidad",IF(IFERROR(INDEX(UnidadesBase,MATCH(D99,Unidades,0)),"")&lt;&gt;INDEX(InsBase,MATCH(B99,ListaInsumos,0)),"Unidad incompatible",IF(F99="","Insumo sin compras","OK")))))</f>
        <v/>
      </c>
      <c r="I99" s="15"/>
    </row>
    <row r="100" customFormat="false" ht="15" hidden="false" customHeight="false" outlineLevel="0" collapsed="false">
      <c r="A100" s="15"/>
      <c r="B100" s="15"/>
      <c r="C100" s="27"/>
      <c r="D100" s="15"/>
      <c r="E100" s="25" t="str">
        <f aca="true">IF(OR(C100="",D100=""),"",IFERROR(C100*INDEX(UnidadesFactor,MATCH(D100,Unidades,0)),""))</f>
        <v/>
      </c>
      <c r="F100" s="18" t="str">
        <f aca="true">IF(B100="","",IFERROR(INDEX(InsCosto,MATCH(B100,ListaInsumos,0)),""))</f>
        <v/>
      </c>
      <c r="G100" s="19" t="str">
        <f aca="false">IF(AND(A100="",B100=""),"",IF(H100="OK",E100*F100,0))</f>
        <v/>
      </c>
      <c r="H100" s="20" t="str">
        <f aca="true">IF(AND(A100="",B100=""),"",IF(ISNA(MATCH(B100,ListaInsumos,0)),"Insumo no está en Insumos",IF(C100="","Falta cantidad",IF(IFERROR(INDEX(UnidadesBase,MATCH(D100,Unidades,0)),"")&lt;&gt;INDEX(InsBase,MATCH(B100,ListaInsumos,0)),"Unidad incompatible",IF(F100="","Insumo sin compras","OK")))))</f>
        <v/>
      </c>
      <c r="I100" s="15"/>
    </row>
    <row r="101" customFormat="false" ht="15" hidden="false" customHeight="false" outlineLevel="0" collapsed="false">
      <c r="A101" s="15"/>
      <c r="B101" s="15"/>
      <c r="C101" s="27"/>
      <c r="D101" s="15"/>
      <c r="E101" s="25" t="str">
        <f aca="true">IF(OR(C101="",D101=""),"",IFERROR(C101*INDEX(UnidadesFactor,MATCH(D101,Unidades,0)),""))</f>
        <v/>
      </c>
      <c r="F101" s="18" t="str">
        <f aca="true">IF(B101="","",IFERROR(INDEX(InsCosto,MATCH(B101,ListaInsumos,0)),""))</f>
        <v/>
      </c>
      <c r="G101" s="19" t="str">
        <f aca="false">IF(AND(A101="",B101=""),"",IF(H101="OK",E101*F101,0))</f>
        <v/>
      </c>
      <c r="H101" s="20" t="str">
        <f aca="true">IF(AND(A101="",B101=""),"",IF(ISNA(MATCH(B101,ListaInsumos,0)),"Insumo no está en Insumos",IF(C101="","Falta cantidad",IF(IFERROR(INDEX(UnidadesBase,MATCH(D101,Unidades,0)),"")&lt;&gt;INDEX(InsBase,MATCH(B101,ListaInsumos,0)),"Unidad incompatible",IF(F101="","Insumo sin compras","OK")))))</f>
        <v/>
      </c>
      <c r="I101" s="15"/>
    </row>
    <row r="102" customFormat="false" ht="15" hidden="false" customHeight="false" outlineLevel="0" collapsed="false">
      <c r="A102" s="15"/>
      <c r="B102" s="15"/>
      <c r="C102" s="27"/>
      <c r="D102" s="15"/>
      <c r="E102" s="25" t="str">
        <f aca="true">IF(OR(C102="",D102=""),"",IFERROR(C102*INDEX(UnidadesFactor,MATCH(D102,Unidades,0)),""))</f>
        <v/>
      </c>
      <c r="F102" s="18" t="str">
        <f aca="true">IF(B102="","",IFERROR(INDEX(InsCosto,MATCH(B102,ListaInsumos,0)),""))</f>
        <v/>
      </c>
      <c r="G102" s="19" t="str">
        <f aca="false">IF(AND(A102="",B102=""),"",IF(H102="OK",E102*F102,0))</f>
        <v/>
      </c>
      <c r="H102" s="20" t="str">
        <f aca="true">IF(AND(A102="",B102=""),"",IF(ISNA(MATCH(B102,ListaInsumos,0)),"Insumo no está en Insumos",IF(C102="","Falta cantidad",IF(IFERROR(INDEX(UnidadesBase,MATCH(D102,Unidades,0)),"")&lt;&gt;INDEX(InsBase,MATCH(B102,ListaInsumos,0)),"Unidad incompatible",IF(F102="","Insumo sin compras","OK")))))</f>
        <v/>
      </c>
      <c r="I102" s="15"/>
    </row>
    <row r="103" customFormat="false" ht="15" hidden="false" customHeight="false" outlineLevel="0" collapsed="false">
      <c r="A103" s="15"/>
      <c r="B103" s="15"/>
      <c r="C103" s="27"/>
      <c r="D103" s="15"/>
      <c r="E103" s="25" t="str">
        <f aca="true">IF(OR(C103="",D103=""),"",IFERROR(C103*INDEX(UnidadesFactor,MATCH(D103,Unidades,0)),""))</f>
        <v/>
      </c>
      <c r="F103" s="18" t="str">
        <f aca="true">IF(B103="","",IFERROR(INDEX(InsCosto,MATCH(B103,ListaInsumos,0)),""))</f>
        <v/>
      </c>
      <c r="G103" s="19" t="str">
        <f aca="false">IF(AND(A103="",B103=""),"",IF(H103="OK",E103*F103,0))</f>
        <v/>
      </c>
      <c r="H103" s="20" t="str">
        <f aca="true">IF(AND(A103="",B103=""),"",IF(ISNA(MATCH(B103,ListaInsumos,0)),"Insumo no está en Insumos",IF(C103="","Falta cantidad",IF(IFERROR(INDEX(UnidadesBase,MATCH(D103,Unidades,0)),"")&lt;&gt;INDEX(InsBase,MATCH(B103,ListaInsumos,0)),"Unidad incompatible",IF(F103="","Insumo sin compras","OK")))))</f>
        <v/>
      </c>
      <c r="I103" s="15"/>
    </row>
    <row r="104" customFormat="false" ht="15" hidden="false" customHeight="false" outlineLevel="0" collapsed="false">
      <c r="A104" s="15"/>
      <c r="B104" s="15"/>
      <c r="C104" s="27"/>
      <c r="D104" s="15"/>
      <c r="E104" s="25" t="str">
        <f aca="true">IF(OR(C104="",D104=""),"",IFERROR(C104*INDEX(UnidadesFactor,MATCH(D104,Unidades,0)),""))</f>
        <v/>
      </c>
      <c r="F104" s="18" t="str">
        <f aca="true">IF(B104="","",IFERROR(INDEX(InsCosto,MATCH(B104,ListaInsumos,0)),""))</f>
        <v/>
      </c>
      <c r="G104" s="19" t="str">
        <f aca="false">IF(AND(A104="",B104=""),"",IF(H104="OK",E104*F104,0))</f>
        <v/>
      </c>
      <c r="H104" s="20" t="str">
        <f aca="true">IF(AND(A104="",B104=""),"",IF(ISNA(MATCH(B104,ListaInsumos,0)),"Insumo no está en Insumos",IF(C104="","Falta cantidad",IF(IFERROR(INDEX(UnidadesBase,MATCH(D104,Unidades,0)),"")&lt;&gt;INDEX(InsBase,MATCH(B104,ListaInsumos,0)),"Unidad incompatible",IF(F104="","Insumo sin compras","OK")))))</f>
        <v/>
      </c>
      <c r="I104" s="15"/>
    </row>
    <row r="105" customFormat="false" ht="15" hidden="false" customHeight="false" outlineLevel="0" collapsed="false">
      <c r="A105" s="15"/>
      <c r="B105" s="15"/>
      <c r="C105" s="27"/>
      <c r="D105" s="15"/>
      <c r="E105" s="25" t="str">
        <f aca="true">IF(OR(C105="",D105=""),"",IFERROR(C105*INDEX(UnidadesFactor,MATCH(D105,Unidades,0)),""))</f>
        <v/>
      </c>
      <c r="F105" s="18" t="str">
        <f aca="true">IF(B105="","",IFERROR(INDEX(InsCosto,MATCH(B105,ListaInsumos,0)),""))</f>
        <v/>
      </c>
      <c r="G105" s="19" t="str">
        <f aca="false">IF(AND(A105="",B105=""),"",IF(H105="OK",E105*F105,0))</f>
        <v/>
      </c>
      <c r="H105" s="20" t="str">
        <f aca="true">IF(AND(A105="",B105=""),"",IF(ISNA(MATCH(B105,ListaInsumos,0)),"Insumo no está en Insumos",IF(C105="","Falta cantidad",IF(IFERROR(INDEX(UnidadesBase,MATCH(D105,Unidades,0)),"")&lt;&gt;INDEX(InsBase,MATCH(B105,ListaInsumos,0)),"Unidad incompatible",IF(F105="","Insumo sin compras","OK")))))</f>
        <v/>
      </c>
      <c r="I105" s="15"/>
    </row>
    <row r="106" customFormat="false" ht="15" hidden="false" customHeight="false" outlineLevel="0" collapsed="false">
      <c r="A106" s="15"/>
      <c r="B106" s="15"/>
      <c r="C106" s="27"/>
      <c r="D106" s="15"/>
      <c r="E106" s="25" t="str">
        <f aca="true">IF(OR(C106="",D106=""),"",IFERROR(C106*INDEX(UnidadesFactor,MATCH(D106,Unidades,0)),""))</f>
        <v/>
      </c>
      <c r="F106" s="18" t="str">
        <f aca="true">IF(B106="","",IFERROR(INDEX(InsCosto,MATCH(B106,ListaInsumos,0)),""))</f>
        <v/>
      </c>
      <c r="G106" s="19" t="str">
        <f aca="false">IF(AND(A106="",B106=""),"",IF(H106="OK",E106*F106,0))</f>
        <v/>
      </c>
      <c r="H106" s="20" t="str">
        <f aca="true">IF(AND(A106="",B106=""),"",IF(ISNA(MATCH(B106,ListaInsumos,0)),"Insumo no está en Insumos",IF(C106="","Falta cantidad",IF(IFERROR(INDEX(UnidadesBase,MATCH(D106,Unidades,0)),"")&lt;&gt;INDEX(InsBase,MATCH(B106,ListaInsumos,0)),"Unidad incompatible",IF(F106="","Insumo sin compras","OK")))))</f>
        <v/>
      </c>
      <c r="I106" s="15"/>
    </row>
    <row r="107" customFormat="false" ht="15" hidden="false" customHeight="false" outlineLevel="0" collapsed="false">
      <c r="A107" s="15"/>
      <c r="B107" s="15"/>
      <c r="C107" s="27"/>
      <c r="D107" s="15"/>
      <c r="E107" s="25" t="str">
        <f aca="true">IF(OR(C107="",D107=""),"",IFERROR(C107*INDEX(UnidadesFactor,MATCH(D107,Unidades,0)),""))</f>
        <v/>
      </c>
      <c r="F107" s="18" t="str">
        <f aca="true">IF(B107="","",IFERROR(INDEX(InsCosto,MATCH(B107,ListaInsumos,0)),""))</f>
        <v/>
      </c>
      <c r="G107" s="19" t="str">
        <f aca="false">IF(AND(A107="",B107=""),"",IF(H107="OK",E107*F107,0))</f>
        <v/>
      </c>
      <c r="H107" s="20" t="str">
        <f aca="true">IF(AND(A107="",B107=""),"",IF(ISNA(MATCH(B107,ListaInsumos,0)),"Insumo no está en Insumos",IF(C107="","Falta cantidad",IF(IFERROR(INDEX(UnidadesBase,MATCH(D107,Unidades,0)),"")&lt;&gt;INDEX(InsBase,MATCH(B107,ListaInsumos,0)),"Unidad incompatible",IF(F107="","Insumo sin compras","OK")))))</f>
        <v/>
      </c>
      <c r="I107" s="15"/>
    </row>
    <row r="108" customFormat="false" ht="15" hidden="false" customHeight="false" outlineLevel="0" collapsed="false">
      <c r="A108" s="15"/>
      <c r="B108" s="15"/>
      <c r="C108" s="27"/>
      <c r="D108" s="15"/>
      <c r="E108" s="25" t="str">
        <f aca="true">IF(OR(C108="",D108=""),"",IFERROR(C108*INDEX(UnidadesFactor,MATCH(D108,Unidades,0)),""))</f>
        <v/>
      </c>
      <c r="F108" s="18" t="str">
        <f aca="true">IF(B108="","",IFERROR(INDEX(InsCosto,MATCH(B108,ListaInsumos,0)),""))</f>
        <v/>
      </c>
      <c r="G108" s="19" t="str">
        <f aca="false">IF(AND(A108="",B108=""),"",IF(H108="OK",E108*F108,0))</f>
        <v/>
      </c>
      <c r="H108" s="20" t="str">
        <f aca="true">IF(AND(A108="",B108=""),"",IF(ISNA(MATCH(B108,ListaInsumos,0)),"Insumo no está en Insumos",IF(C108="","Falta cantidad",IF(IFERROR(INDEX(UnidadesBase,MATCH(D108,Unidades,0)),"")&lt;&gt;INDEX(InsBase,MATCH(B108,ListaInsumos,0)),"Unidad incompatible",IF(F108="","Insumo sin compras","OK")))))</f>
        <v/>
      </c>
      <c r="I108" s="15"/>
    </row>
    <row r="109" customFormat="false" ht="15" hidden="false" customHeight="false" outlineLevel="0" collapsed="false">
      <c r="A109" s="15"/>
      <c r="B109" s="15"/>
      <c r="C109" s="27"/>
      <c r="D109" s="15"/>
      <c r="E109" s="25" t="str">
        <f aca="true">IF(OR(C109="",D109=""),"",IFERROR(C109*INDEX(UnidadesFactor,MATCH(D109,Unidades,0)),""))</f>
        <v/>
      </c>
      <c r="F109" s="18" t="str">
        <f aca="true">IF(B109="","",IFERROR(INDEX(InsCosto,MATCH(B109,ListaInsumos,0)),""))</f>
        <v/>
      </c>
      <c r="G109" s="19" t="str">
        <f aca="false">IF(AND(A109="",B109=""),"",IF(H109="OK",E109*F109,0))</f>
        <v/>
      </c>
      <c r="H109" s="20" t="str">
        <f aca="true">IF(AND(A109="",B109=""),"",IF(ISNA(MATCH(B109,ListaInsumos,0)),"Insumo no está en Insumos",IF(C109="","Falta cantidad",IF(IFERROR(INDEX(UnidadesBase,MATCH(D109,Unidades,0)),"")&lt;&gt;INDEX(InsBase,MATCH(B109,ListaInsumos,0)),"Unidad incompatible",IF(F109="","Insumo sin compras","OK")))))</f>
        <v/>
      </c>
      <c r="I109" s="15"/>
    </row>
    <row r="110" customFormat="false" ht="15" hidden="false" customHeight="false" outlineLevel="0" collapsed="false">
      <c r="A110" s="15"/>
      <c r="B110" s="15"/>
      <c r="C110" s="27"/>
      <c r="D110" s="15"/>
      <c r="E110" s="25" t="str">
        <f aca="true">IF(OR(C110="",D110=""),"",IFERROR(C110*INDEX(UnidadesFactor,MATCH(D110,Unidades,0)),""))</f>
        <v/>
      </c>
      <c r="F110" s="18" t="str">
        <f aca="true">IF(B110="","",IFERROR(INDEX(InsCosto,MATCH(B110,ListaInsumos,0)),""))</f>
        <v/>
      </c>
      <c r="G110" s="19" t="str">
        <f aca="false">IF(AND(A110="",B110=""),"",IF(H110="OK",E110*F110,0))</f>
        <v/>
      </c>
      <c r="H110" s="20" t="str">
        <f aca="true">IF(AND(A110="",B110=""),"",IF(ISNA(MATCH(B110,ListaInsumos,0)),"Insumo no está en Insumos",IF(C110="","Falta cantidad",IF(IFERROR(INDEX(UnidadesBase,MATCH(D110,Unidades,0)),"")&lt;&gt;INDEX(InsBase,MATCH(B110,ListaInsumos,0)),"Unidad incompatible",IF(F110="","Insumo sin compras","OK")))))</f>
        <v/>
      </c>
      <c r="I110" s="15"/>
    </row>
    <row r="111" customFormat="false" ht="15" hidden="false" customHeight="false" outlineLevel="0" collapsed="false">
      <c r="A111" s="15"/>
      <c r="B111" s="15"/>
      <c r="C111" s="27"/>
      <c r="D111" s="15"/>
      <c r="E111" s="25" t="str">
        <f aca="true">IF(OR(C111="",D111=""),"",IFERROR(C111*INDEX(UnidadesFactor,MATCH(D111,Unidades,0)),""))</f>
        <v/>
      </c>
      <c r="F111" s="18" t="str">
        <f aca="true">IF(B111="","",IFERROR(INDEX(InsCosto,MATCH(B111,ListaInsumos,0)),""))</f>
        <v/>
      </c>
      <c r="G111" s="19" t="str">
        <f aca="false">IF(AND(A111="",B111=""),"",IF(H111="OK",E111*F111,0))</f>
        <v/>
      </c>
      <c r="H111" s="20" t="str">
        <f aca="true">IF(AND(A111="",B111=""),"",IF(ISNA(MATCH(B111,ListaInsumos,0)),"Insumo no está en Insumos",IF(C111="","Falta cantidad",IF(IFERROR(INDEX(UnidadesBase,MATCH(D111,Unidades,0)),"")&lt;&gt;INDEX(InsBase,MATCH(B111,ListaInsumos,0)),"Unidad incompatible",IF(F111="","Insumo sin compras","OK")))))</f>
        <v/>
      </c>
      <c r="I111" s="15"/>
    </row>
    <row r="112" customFormat="false" ht="15" hidden="false" customHeight="false" outlineLevel="0" collapsed="false">
      <c r="A112" s="15"/>
      <c r="B112" s="15"/>
      <c r="C112" s="27"/>
      <c r="D112" s="15"/>
      <c r="E112" s="25" t="str">
        <f aca="true">IF(OR(C112="",D112=""),"",IFERROR(C112*INDEX(UnidadesFactor,MATCH(D112,Unidades,0)),""))</f>
        <v/>
      </c>
      <c r="F112" s="18" t="str">
        <f aca="true">IF(B112="","",IFERROR(INDEX(InsCosto,MATCH(B112,ListaInsumos,0)),""))</f>
        <v/>
      </c>
      <c r="G112" s="19" t="str">
        <f aca="false">IF(AND(A112="",B112=""),"",IF(H112="OK",E112*F112,0))</f>
        <v/>
      </c>
      <c r="H112" s="20" t="str">
        <f aca="true">IF(AND(A112="",B112=""),"",IF(ISNA(MATCH(B112,ListaInsumos,0)),"Insumo no está en Insumos",IF(C112="","Falta cantidad",IF(IFERROR(INDEX(UnidadesBase,MATCH(D112,Unidades,0)),"")&lt;&gt;INDEX(InsBase,MATCH(B112,ListaInsumos,0)),"Unidad incompatible",IF(F112="","Insumo sin compras","OK")))))</f>
        <v/>
      </c>
      <c r="I112" s="15"/>
    </row>
    <row r="113" customFormat="false" ht="15" hidden="false" customHeight="false" outlineLevel="0" collapsed="false">
      <c r="A113" s="15"/>
      <c r="B113" s="15"/>
      <c r="C113" s="27"/>
      <c r="D113" s="15"/>
      <c r="E113" s="25" t="str">
        <f aca="true">IF(OR(C113="",D113=""),"",IFERROR(C113*INDEX(UnidadesFactor,MATCH(D113,Unidades,0)),""))</f>
        <v/>
      </c>
      <c r="F113" s="18" t="str">
        <f aca="true">IF(B113="","",IFERROR(INDEX(InsCosto,MATCH(B113,ListaInsumos,0)),""))</f>
        <v/>
      </c>
      <c r="G113" s="19" t="str">
        <f aca="false">IF(AND(A113="",B113=""),"",IF(H113="OK",E113*F113,0))</f>
        <v/>
      </c>
      <c r="H113" s="20" t="str">
        <f aca="true">IF(AND(A113="",B113=""),"",IF(ISNA(MATCH(B113,ListaInsumos,0)),"Insumo no está en Insumos",IF(C113="","Falta cantidad",IF(IFERROR(INDEX(UnidadesBase,MATCH(D113,Unidades,0)),"")&lt;&gt;INDEX(InsBase,MATCH(B113,ListaInsumos,0)),"Unidad incompatible",IF(F113="","Insumo sin compras","OK")))))</f>
        <v/>
      </c>
      <c r="I113" s="15"/>
    </row>
    <row r="114" customFormat="false" ht="15" hidden="false" customHeight="false" outlineLevel="0" collapsed="false">
      <c r="A114" s="15"/>
      <c r="B114" s="15"/>
      <c r="C114" s="27"/>
      <c r="D114" s="15"/>
      <c r="E114" s="25" t="str">
        <f aca="true">IF(OR(C114="",D114=""),"",IFERROR(C114*INDEX(UnidadesFactor,MATCH(D114,Unidades,0)),""))</f>
        <v/>
      </c>
      <c r="F114" s="18" t="str">
        <f aca="true">IF(B114="","",IFERROR(INDEX(InsCosto,MATCH(B114,ListaInsumos,0)),""))</f>
        <v/>
      </c>
      <c r="G114" s="19" t="str">
        <f aca="false">IF(AND(A114="",B114=""),"",IF(H114="OK",E114*F114,0))</f>
        <v/>
      </c>
      <c r="H114" s="20" t="str">
        <f aca="true">IF(AND(A114="",B114=""),"",IF(ISNA(MATCH(B114,ListaInsumos,0)),"Insumo no está en Insumos",IF(C114="","Falta cantidad",IF(IFERROR(INDEX(UnidadesBase,MATCH(D114,Unidades,0)),"")&lt;&gt;INDEX(InsBase,MATCH(B114,ListaInsumos,0)),"Unidad incompatible",IF(F114="","Insumo sin compras","OK")))))</f>
        <v/>
      </c>
      <c r="I114" s="15"/>
    </row>
    <row r="115" customFormat="false" ht="15" hidden="false" customHeight="false" outlineLevel="0" collapsed="false">
      <c r="A115" s="15"/>
      <c r="B115" s="15"/>
      <c r="C115" s="27"/>
      <c r="D115" s="15"/>
      <c r="E115" s="25" t="str">
        <f aca="true">IF(OR(C115="",D115=""),"",IFERROR(C115*INDEX(UnidadesFactor,MATCH(D115,Unidades,0)),""))</f>
        <v/>
      </c>
      <c r="F115" s="18" t="str">
        <f aca="true">IF(B115="","",IFERROR(INDEX(InsCosto,MATCH(B115,ListaInsumos,0)),""))</f>
        <v/>
      </c>
      <c r="G115" s="19" t="str">
        <f aca="false">IF(AND(A115="",B115=""),"",IF(H115="OK",E115*F115,0))</f>
        <v/>
      </c>
      <c r="H115" s="20" t="str">
        <f aca="true">IF(AND(A115="",B115=""),"",IF(ISNA(MATCH(B115,ListaInsumos,0)),"Insumo no está en Insumos",IF(C115="","Falta cantidad",IF(IFERROR(INDEX(UnidadesBase,MATCH(D115,Unidades,0)),"")&lt;&gt;INDEX(InsBase,MATCH(B115,ListaInsumos,0)),"Unidad incompatible",IF(F115="","Insumo sin compras","OK")))))</f>
        <v/>
      </c>
      <c r="I115" s="15"/>
    </row>
    <row r="116" customFormat="false" ht="15" hidden="false" customHeight="false" outlineLevel="0" collapsed="false">
      <c r="A116" s="15"/>
      <c r="B116" s="15"/>
      <c r="C116" s="27"/>
      <c r="D116" s="15"/>
      <c r="E116" s="25" t="str">
        <f aca="true">IF(OR(C116="",D116=""),"",IFERROR(C116*INDEX(UnidadesFactor,MATCH(D116,Unidades,0)),""))</f>
        <v/>
      </c>
      <c r="F116" s="18" t="str">
        <f aca="true">IF(B116="","",IFERROR(INDEX(InsCosto,MATCH(B116,ListaInsumos,0)),""))</f>
        <v/>
      </c>
      <c r="G116" s="19" t="str">
        <f aca="false">IF(AND(A116="",B116=""),"",IF(H116="OK",E116*F116,0))</f>
        <v/>
      </c>
      <c r="H116" s="20" t="str">
        <f aca="true">IF(AND(A116="",B116=""),"",IF(ISNA(MATCH(B116,ListaInsumos,0)),"Insumo no está en Insumos",IF(C116="","Falta cantidad",IF(IFERROR(INDEX(UnidadesBase,MATCH(D116,Unidades,0)),"")&lt;&gt;INDEX(InsBase,MATCH(B116,ListaInsumos,0)),"Unidad incompatible",IF(F116="","Insumo sin compras","OK")))))</f>
        <v/>
      </c>
      <c r="I116" s="15"/>
    </row>
    <row r="117" customFormat="false" ht="15" hidden="false" customHeight="false" outlineLevel="0" collapsed="false">
      <c r="A117" s="15"/>
      <c r="B117" s="15"/>
      <c r="C117" s="27"/>
      <c r="D117" s="15"/>
      <c r="E117" s="25" t="str">
        <f aca="true">IF(OR(C117="",D117=""),"",IFERROR(C117*INDEX(UnidadesFactor,MATCH(D117,Unidades,0)),""))</f>
        <v/>
      </c>
      <c r="F117" s="18" t="str">
        <f aca="true">IF(B117="","",IFERROR(INDEX(InsCosto,MATCH(B117,ListaInsumos,0)),""))</f>
        <v/>
      </c>
      <c r="G117" s="19" t="str">
        <f aca="false">IF(AND(A117="",B117=""),"",IF(H117="OK",E117*F117,0))</f>
        <v/>
      </c>
      <c r="H117" s="20" t="str">
        <f aca="true">IF(AND(A117="",B117=""),"",IF(ISNA(MATCH(B117,ListaInsumos,0)),"Insumo no está en Insumos",IF(C117="","Falta cantidad",IF(IFERROR(INDEX(UnidadesBase,MATCH(D117,Unidades,0)),"")&lt;&gt;INDEX(InsBase,MATCH(B117,ListaInsumos,0)),"Unidad incompatible",IF(F117="","Insumo sin compras","OK")))))</f>
        <v/>
      </c>
      <c r="I117" s="15"/>
    </row>
    <row r="118" customFormat="false" ht="15" hidden="false" customHeight="false" outlineLevel="0" collapsed="false">
      <c r="A118" s="15"/>
      <c r="B118" s="15"/>
      <c r="C118" s="27"/>
      <c r="D118" s="15"/>
      <c r="E118" s="25" t="str">
        <f aca="true">IF(OR(C118="",D118=""),"",IFERROR(C118*INDEX(UnidadesFactor,MATCH(D118,Unidades,0)),""))</f>
        <v/>
      </c>
      <c r="F118" s="18" t="str">
        <f aca="true">IF(B118="","",IFERROR(INDEX(InsCosto,MATCH(B118,ListaInsumos,0)),""))</f>
        <v/>
      </c>
      <c r="G118" s="19" t="str">
        <f aca="false">IF(AND(A118="",B118=""),"",IF(H118="OK",E118*F118,0))</f>
        <v/>
      </c>
      <c r="H118" s="20" t="str">
        <f aca="true">IF(AND(A118="",B118=""),"",IF(ISNA(MATCH(B118,ListaInsumos,0)),"Insumo no está en Insumos",IF(C118="","Falta cantidad",IF(IFERROR(INDEX(UnidadesBase,MATCH(D118,Unidades,0)),"")&lt;&gt;INDEX(InsBase,MATCH(B118,ListaInsumos,0)),"Unidad incompatible",IF(F118="","Insumo sin compras","OK")))))</f>
        <v/>
      </c>
      <c r="I118" s="15"/>
    </row>
    <row r="119" customFormat="false" ht="15" hidden="false" customHeight="false" outlineLevel="0" collapsed="false">
      <c r="A119" s="15"/>
      <c r="B119" s="15"/>
      <c r="C119" s="27"/>
      <c r="D119" s="15"/>
      <c r="E119" s="25" t="str">
        <f aca="true">IF(OR(C119="",D119=""),"",IFERROR(C119*INDEX(UnidadesFactor,MATCH(D119,Unidades,0)),""))</f>
        <v/>
      </c>
      <c r="F119" s="18" t="str">
        <f aca="true">IF(B119="","",IFERROR(INDEX(InsCosto,MATCH(B119,ListaInsumos,0)),""))</f>
        <v/>
      </c>
      <c r="G119" s="19" t="str">
        <f aca="false">IF(AND(A119="",B119=""),"",IF(H119="OK",E119*F119,0))</f>
        <v/>
      </c>
      <c r="H119" s="20" t="str">
        <f aca="true">IF(AND(A119="",B119=""),"",IF(ISNA(MATCH(B119,ListaInsumos,0)),"Insumo no está en Insumos",IF(C119="","Falta cantidad",IF(IFERROR(INDEX(UnidadesBase,MATCH(D119,Unidades,0)),"")&lt;&gt;INDEX(InsBase,MATCH(B119,ListaInsumos,0)),"Unidad incompatible",IF(F119="","Insumo sin compras","OK")))))</f>
        <v/>
      </c>
      <c r="I119" s="15"/>
    </row>
    <row r="120" customFormat="false" ht="15" hidden="false" customHeight="false" outlineLevel="0" collapsed="false">
      <c r="A120" s="15"/>
      <c r="B120" s="15"/>
      <c r="C120" s="27"/>
      <c r="D120" s="15"/>
      <c r="E120" s="25" t="str">
        <f aca="true">IF(OR(C120="",D120=""),"",IFERROR(C120*INDEX(UnidadesFactor,MATCH(D120,Unidades,0)),""))</f>
        <v/>
      </c>
      <c r="F120" s="18" t="str">
        <f aca="true">IF(B120="","",IFERROR(INDEX(InsCosto,MATCH(B120,ListaInsumos,0)),""))</f>
        <v/>
      </c>
      <c r="G120" s="19" t="str">
        <f aca="false">IF(AND(A120="",B120=""),"",IF(H120="OK",E120*F120,0))</f>
        <v/>
      </c>
      <c r="H120" s="20" t="str">
        <f aca="true">IF(AND(A120="",B120=""),"",IF(ISNA(MATCH(B120,ListaInsumos,0)),"Insumo no está en Insumos",IF(C120="","Falta cantidad",IF(IFERROR(INDEX(UnidadesBase,MATCH(D120,Unidades,0)),"")&lt;&gt;INDEX(InsBase,MATCH(B120,ListaInsumos,0)),"Unidad incompatible",IF(F120="","Insumo sin compras","OK")))))</f>
        <v/>
      </c>
      <c r="I120" s="15"/>
    </row>
    <row r="121" customFormat="false" ht="15" hidden="false" customHeight="false" outlineLevel="0" collapsed="false">
      <c r="A121" s="15"/>
      <c r="B121" s="15"/>
      <c r="C121" s="27"/>
      <c r="D121" s="15"/>
      <c r="E121" s="25" t="str">
        <f aca="true">IF(OR(C121="",D121=""),"",IFERROR(C121*INDEX(UnidadesFactor,MATCH(D121,Unidades,0)),""))</f>
        <v/>
      </c>
      <c r="F121" s="18" t="str">
        <f aca="true">IF(B121="","",IFERROR(INDEX(InsCosto,MATCH(B121,ListaInsumos,0)),""))</f>
        <v/>
      </c>
      <c r="G121" s="19" t="str">
        <f aca="false">IF(AND(A121="",B121=""),"",IF(H121="OK",E121*F121,0))</f>
        <v/>
      </c>
      <c r="H121" s="20" t="str">
        <f aca="true">IF(AND(A121="",B121=""),"",IF(ISNA(MATCH(B121,ListaInsumos,0)),"Insumo no está en Insumos",IF(C121="","Falta cantidad",IF(IFERROR(INDEX(UnidadesBase,MATCH(D121,Unidades,0)),"")&lt;&gt;INDEX(InsBase,MATCH(B121,ListaInsumos,0)),"Unidad incompatible",IF(F121="","Insumo sin compras","OK")))))</f>
        <v/>
      </c>
      <c r="I121" s="15"/>
    </row>
    <row r="122" customFormat="false" ht="15" hidden="false" customHeight="false" outlineLevel="0" collapsed="false">
      <c r="A122" s="15"/>
      <c r="B122" s="15"/>
      <c r="C122" s="27"/>
      <c r="D122" s="15"/>
      <c r="E122" s="25" t="str">
        <f aca="true">IF(OR(C122="",D122=""),"",IFERROR(C122*INDEX(UnidadesFactor,MATCH(D122,Unidades,0)),""))</f>
        <v/>
      </c>
      <c r="F122" s="18" t="str">
        <f aca="true">IF(B122="","",IFERROR(INDEX(InsCosto,MATCH(B122,ListaInsumos,0)),""))</f>
        <v/>
      </c>
      <c r="G122" s="19" t="str">
        <f aca="false">IF(AND(A122="",B122=""),"",IF(H122="OK",E122*F122,0))</f>
        <v/>
      </c>
      <c r="H122" s="20" t="str">
        <f aca="true">IF(AND(A122="",B122=""),"",IF(ISNA(MATCH(B122,ListaInsumos,0)),"Insumo no está en Insumos",IF(C122="","Falta cantidad",IF(IFERROR(INDEX(UnidadesBase,MATCH(D122,Unidades,0)),"")&lt;&gt;INDEX(InsBase,MATCH(B122,ListaInsumos,0)),"Unidad incompatible",IF(F122="","Insumo sin compras","OK")))))</f>
        <v/>
      </c>
      <c r="I122" s="15"/>
    </row>
    <row r="123" customFormat="false" ht="15" hidden="false" customHeight="false" outlineLevel="0" collapsed="false">
      <c r="A123" s="15"/>
      <c r="B123" s="15"/>
      <c r="C123" s="27"/>
      <c r="D123" s="15"/>
      <c r="E123" s="25" t="str">
        <f aca="true">IF(OR(C123="",D123=""),"",IFERROR(C123*INDEX(UnidadesFactor,MATCH(D123,Unidades,0)),""))</f>
        <v/>
      </c>
      <c r="F123" s="18" t="str">
        <f aca="true">IF(B123="","",IFERROR(INDEX(InsCosto,MATCH(B123,ListaInsumos,0)),""))</f>
        <v/>
      </c>
      <c r="G123" s="19" t="str">
        <f aca="false">IF(AND(A123="",B123=""),"",IF(H123="OK",E123*F123,0))</f>
        <v/>
      </c>
      <c r="H123" s="20" t="str">
        <f aca="true">IF(AND(A123="",B123=""),"",IF(ISNA(MATCH(B123,ListaInsumos,0)),"Insumo no está en Insumos",IF(C123="","Falta cantidad",IF(IFERROR(INDEX(UnidadesBase,MATCH(D123,Unidades,0)),"")&lt;&gt;INDEX(InsBase,MATCH(B123,ListaInsumos,0)),"Unidad incompatible",IF(F123="","Insumo sin compras","OK")))))</f>
        <v/>
      </c>
      <c r="I123" s="15"/>
    </row>
    <row r="124" customFormat="false" ht="15" hidden="false" customHeight="false" outlineLevel="0" collapsed="false">
      <c r="A124" s="15"/>
      <c r="B124" s="15"/>
      <c r="C124" s="27"/>
      <c r="D124" s="15"/>
      <c r="E124" s="25" t="str">
        <f aca="true">IF(OR(C124="",D124=""),"",IFERROR(C124*INDEX(UnidadesFactor,MATCH(D124,Unidades,0)),""))</f>
        <v/>
      </c>
      <c r="F124" s="18" t="str">
        <f aca="true">IF(B124="","",IFERROR(INDEX(InsCosto,MATCH(B124,ListaInsumos,0)),""))</f>
        <v/>
      </c>
      <c r="G124" s="19" t="str">
        <f aca="false">IF(AND(A124="",B124=""),"",IF(H124="OK",E124*F124,0))</f>
        <v/>
      </c>
      <c r="H124" s="20" t="str">
        <f aca="true">IF(AND(A124="",B124=""),"",IF(ISNA(MATCH(B124,ListaInsumos,0)),"Insumo no está en Insumos",IF(C124="","Falta cantidad",IF(IFERROR(INDEX(UnidadesBase,MATCH(D124,Unidades,0)),"")&lt;&gt;INDEX(InsBase,MATCH(B124,ListaInsumos,0)),"Unidad incompatible",IF(F124="","Insumo sin compras","OK")))))</f>
        <v/>
      </c>
      <c r="I124" s="15"/>
    </row>
    <row r="125" customFormat="false" ht="15" hidden="false" customHeight="false" outlineLevel="0" collapsed="false">
      <c r="A125" s="15"/>
      <c r="B125" s="15"/>
      <c r="C125" s="27"/>
      <c r="D125" s="15"/>
      <c r="E125" s="25" t="str">
        <f aca="true">IF(OR(C125="",D125=""),"",IFERROR(C125*INDEX(UnidadesFactor,MATCH(D125,Unidades,0)),""))</f>
        <v/>
      </c>
      <c r="F125" s="18" t="str">
        <f aca="true">IF(B125="","",IFERROR(INDEX(InsCosto,MATCH(B125,ListaInsumos,0)),""))</f>
        <v/>
      </c>
      <c r="G125" s="19" t="str">
        <f aca="false">IF(AND(A125="",B125=""),"",IF(H125="OK",E125*F125,0))</f>
        <v/>
      </c>
      <c r="H125" s="20" t="str">
        <f aca="true">IF(AND(A125="",B125=""),"",IF(ISNA(MATCH(B125,ListaInsumos,0)),"Insumo no está en Insumos",IF(C125="","Falta cantidad",IF(IFERROR(INDEX(UnidadesBase,MATCH(D125,Unidades,0)),"")&lt;&gt;INDEX(InsBase,MATCH(B125,ListaInsumos,0)),"Unidad incompatible",IF(F125="","Insumo sin compras","OK")))))</f>
        <v/>
      </c>
      <c r="I125" s="15"/>
    </row>
    <row r="126" customFormat="false" ht="15" hidden="false" customHeight="false" outlineLevel="0" collapsed="false">
      <c r="A126" s="15"/>
      <c r="B126" s="15"/>
      <c r="C126" s="27"/>
      <c r="D126" s="15"/>
      <c r="E126" s="25" t="str">
        <f aca="true">IF(OR(C126="",D126=""),"",IFERROR(C126*INDEX(UnidadesFactor,MATCH(D126,Unidades,0)),""))</f>
        <v/>
      </c>
      <c r="F126" s="18" t="str">
        <f aca="true">IF(B126="","",IFERROR(INDEX(InsCosto,MATCH(B126,ListaInsumos,0)),""))</f>
        <v/>
      </c>
      <c r="G126" s="19" t="str">
        <f aca="false">IF(AND(A126="",B126=""),"",IF(H126="OK",E126*F126,0))</f>
        <v/>
      </c>
      <c r="H126" s="20" t="str">
        <f aca="true">IF(AND(A126="",B126=""),"",IF(ISNA(MATCH(B126,ListaInsumos,0)),"Insumo no está en Insumos",IF(C126="","Falta cantidad",IF(IFERROR(INDEX(UnidadesBase,MATCH(D126,Unidades,0)),"")&lt;&gt;INDEX(InsBase,MATCH(B126,ListaInsumos,0)),"Unidad incompatible",IF(F126="","Insumo sin compras","OK")))))</f>
        <v/>
      </c>
      <c r="I126" s="15"/>
    </row>
    <row r="127" customFormat="false" ht="15" hidden="false" customHeight="false" outlineLevel="0" collapsed="false">
      <c r="A127" s="15"/>
      <c r="B127" s="15"/>
      <c r="C127" s="27"/>
      <c r="D127" s="15"/>
      <c r="E127" s="25" t="str">
        <f aca="true">IF(OR(C127="",D127=""),"",IFERROR(C127*INDEX(UnidadesFactor,MATCH(D127,Unidades,0)),""))</f>
        <v/>
      </c>
      <c r="F127" s="18" t="str">
        <f aca="true">IF(B127="","",IFERROR(INDEX(InsCosto,MATCH(B127,ListaInsumos,0)),""))</f>
        <v/>
      </c>
      <c r="G127" s="19" t="str">
        <f aca="false">IF(AND(A127="",B127=""),"",IF(H127="OK",E127*F127,0))</f>
        <v/>
      </c>
      <c r="H127" s="20" t="str">
        <f aca="true">IF(AND(A127="",B127=""),"",IF(ISNA(MATCH(B127,ListaInsumos,0)),"Insumo no está en Insumos",IF(C127="","Falta cantidad",IF(IFERROR(INDEX(UnidadesBase,MATCH(D127,Unidades,0)),"")&lt;&gt;INDEX(InsBase,MATCH(B127,ListaInsumos,0)),"Unidad incompatible",IF(F127="","Insumo sin compras","OK")))))</f>
        <v/>
      </c>
      <c r="I127" s="15"/>
    </row>
    <row r="128" customFormat="false" ht="15" hidden="false" customHeight="false" outlineLevel="0" collapsed="false">
      <c r="A128" s="15"/>
      <c r="B128" s="15"/>
      <c r="C128" s="27"/>
      <c r="D128" s="15"/>
      <c r="E128" s="25" t="str">
        <f aca="true">IF(OR(C128="",D128=""),"",IFERROR(C128*INDEX(UnidadesFactor,MATCH(D128,Unidades,0)),""))</f>
        <v/>
      </c>
      <c r="F128" s="18" t="str">
        <f aca="true">IF(B128="","",IFERROR(INDEX(InsCosto,MATCH(B128,ListaInsumos,0)),""))</f>
        <v/>
      </c>
      <c r="G128" s="19" t="str">
        <f aca="false">IF(AND(A128="",B128=""),"",IF(H128="OK",E128*F128,0))</f>
        <v/>
      </c>
      <c r="H128" s="20" t="str">
        <f aca="true">IF(AND(A128="",B128=""),"",IF(ISNA(MATCH(B128,ListaInsumos,0)),"Insumo no está en Insumos",IF(C128="","Falta cantidad",IF(IFERROR(INDEX(UnidadesBase,MATCH(D128,Unidades,0)),"")&lt;&gt;INDEX(InsBase,MATCH(B128,ListaInsumos,0)),"Unidad incompatible",IF(F128="","Insumo sin compras","OK")))))</f>
        <v/>
      </c>
      <c r="I128" s="15"/>
    </row>
    <row r="129" customFormat="false" ht="15" hidden="false" customHeight="false" outlineLevel="0" collapsed="false">
      <c r="A129" s="15"/>
      <c r="B129" s="15"/>
      <c r="C129" s="27"/>
      <c r="D129" s="15"/>
      <c r="E129" s="25" t="str">
        <f aca="true">IF(OR(C129="",D129=""),"",IFERROR(C129*INDEX(UnidadesFactor,MATCH(D129,Unidades,0)),""))</f>
        <v/>
      </c>
      <c r="F129" s="18" t="str">
        <f aca="true">IF(B129="","",IFERROR(INDEX(InsCosto,MATCH(B129,ListaInsumos,0)),""))</f>
        <v/>
      </c>
      <c r="G129" s="19" t="str">
        <f aca="false">IF(AND(A129="",B129=""),"",IF(H129="OK",E129*F129,0))</f>
        <v/>
      </c>
      <c r="H129" s="20" t="str">
        <f aca="true">IF(AND(A129="",B129=""),"",IF(ISNA(MATCH(B129,ListaInsumos,0)),"Insumo no está en Insumos",IF(C129="","Falta cantidad",IF(IFERROR(INDEX(UnidadesBase,MATCH(D129,Unidades,0)),"")&lt;&gt;INDEX(InsBase,MATCH(B129,ListaInsumos,0)),"Unidad incompatible",IF(F129="","Insumo sin compras","OK")))))</f>
        <v/>
      </c>
      <c r="I129" s="15"/>
    </row>
    <row r="130" customFormat="false" ht="15" hidden="false" customHeight="false" outlineLevel="0" collapsed="false">
      <c r="A130" s="15"/>
      <c r="B130" s="15"/>
      <c r="C130" s="27"/>
      <c r="D130" s="15"/>
      <c r="E130" s="25" t="str">
        <f aca="true">IF(OR(C130="",D130=""),"",IFERROR(C130*INDEX(UnidadesFactor,MATCH(D130,Unidades,0)),""))</f>
        <v/>
      </c>
      <c r="F130" s="18" t="str">
        <f aca="true">IF(B130="","",IFERROR(INDEX(InsCosto,MATCH(B130,ListaInsumos,0)),""))</f>
        <v/>
      </c>
      <c r="G130" s="19" t="str">
        <f aca="false">IF(AND(A130="",B130=""),"",IF(H130="OK",E130*F130,0))</f>
        <v/>
      </c>
      <c r="H130" s="20" t="str">
        <f aca="true">IF(AND(A130="",B130=""),"",IF(ISNA(MATCH(B130,ListaInsumos,0)),"Insumo no está en Insumos",IF(C130="","Falta cantidad",IF(IFERROR(INDEX(UnidadesBase,MATCH(D130,Unidades,0)),"")&lt;&gt;INDEX(InsBase,MATCH(B130,ListaInsumos,0)),"Unidad incompatible",IF(F130="","Insumo sin compras","OK")))))</f>
        <v/>
      </c>
      <c r="I130" s="15"/>
    </row>
    <row r="131" customFormat="false" ht="15" hidden="false" customHeight="false" outlineLevel="0" collapsed="false">
      <c r="A131" s="15"/>
      <c r="B131" s="15"/>
      <c r="C131" s="27"/>
      <c r="D131" s="15"/>
      <c r="E131" s="25" t="str">
        <f aca="true">IF(OR(C131="",D131=""),"",IFERROR(C131*INDEX(UnidadesFactor,MATCH(D131,Unidades,0)),""))</f>
        <v/>
      </c>
      <c r="F131" s="18" t="str">
        <f aca="true">IF(B131="","",IFERROR(INDEX(InsCosto,MATCH(B131,ListaInsumos,0)),""))</f>
        <v/>
      </c>
      <c r="G131" s="19" t="str">
        <f aca="false">IF(AND(A131="",B131=""),"",IF(H131="OK",E131*F131,0))</f>
        <v/>
      </c>
      <c r="H131" s="20" t="str">
        <f aca="true">IF(AND(A131="",B131=""),"",IF(ISNA(MATCH(B131,ListaInsumos,0)),"Insumo no está en Insumos",IF(C131="","Falta cantidad",IF(IFERROR(INDEX(UnidadesBase,MATCH(D131,Unidades,0)),"")&lt;&gt;INDEX(InsBase,MATCH(B131,ListaInsumos,0)),"Unidad incompatible",IF(F131="","Insumo sin compras","OK")))))</f>
        <v/>
      </c>
      <c r="I131" s="15"/>
    </row>
    <row r="132" customFormat="false" ht="15" hidden="false" customHeight="false" outlineLevel="0" collapsed="false">
      <c r="A132" s="15"/>
      <c r="B132" s="15"/>
      <c r="C132" s="27"/>
      <c r="D132" s="15"/>
      <c r="E132" s="25" t="str">
        <f aca="true">IF(OR(C132="",D132=""),"",IFERROR(C132*INDEX(UnidadesFactor,MATCH(D132,Unidades,0)),""))</f>
        <v/>
      </c>
      <c r="F132" s="18" t="str">
        <f aca="true">IF(B132="","",IFERROR(INDEX(InsCosto,MATCH(B132,ListaInsumos,0)),""))</f>
        <v/>
      </c>
      <c r="G132" s="19" t="str">
        <f aca="false">IF(AND(A132="",B132=""),"",IF(H132="OK",E132*F132,0))</f>
        <v/>
      </c>
      <c r="H132" s="20" t="str">
        <f aca="true">IF(AND(A132="",B132=""),"",IF(ISNA(MATCH(B132,ListaInsumos,0)),"Insumo no está en Insumos",IF(C132="","Falta cantidad",IF(IFERROR(INDEX(UnidadesBase,MATCH(D132,Unidades,0)),"")&lt;&gt;INDEX(InsBase,MATCH(B132,ListaInsumos,0)),"Unidad incompatible",IF(F132="","Insumo sin compras","OK")))))</f>
        <v/>
      </c>
      <c r="I132" s="15"/>
    </row>
    <row r="133" customFormat="false" ht="15" hidden="false" customHeight="false" outlineLevel="0" collapsed="false">
      <c r="A133" s="15"/>
      <c r="B133" s="15"/>
      <c r="C133" s="27"/>
      <c r="D133" s="15"/>
      <c r="E133" s="25" t="str">
        <f aca="true">IF(OR(C133="",D133=""),"",IFERROR(C133*INDEX(UnidadesFactor,MATCH(D133,Unidades,0)),""))</f>
        <v/>
      </c>
      <c r="F133" s="18" t="str">
        <f aca="true">IF(B133="","",IFERROR(INDEX(InsCosto,MATCH(B133,ListaInsumos,0)),""))</f>
        <v/>
      </c>
      <c r="G133" s="19" t="str">
        <f aca="false">IF(AND(A133="",B133=""),"",IF(H133="OK",E133*F133,0))</f>
        <v/>
      </c>
      <c r="H133" s="20" t="str">
        <f aca="true">IF(AND(A133="",B133=""),"",IF(ISNA(MATCH(B133,ListaInsumos,0)),"Insumo no está en Insumos",IF(C133="","Falta cantidad",IF(IFERROR(INDEX(UnidadesBase,MATCH(D133,Unidades,0)),"")&lt;&gt;INDEX(InsBase,MATCH(B133,ListaInsumos,0)),"Unidad incompatible",IF(F133="","Insumo sin compras","OK")))))</f>
        <v/>
      </c>
      <c r="I133" s="15"/>
    </row>
    <row r="134" customFormat="false" ht="15" hidden="false" customHeight="false" outlineLevel="0" collapsed="false">
      <c r="A134" s="15"/>
      <c r="B134" s="15"/>
      <c r="C134" s="27"/>
      <c r="D134" s="15"/>
      <c r="E134" s="25" t="str">
        <f aca="true">IF(OR(C134="",D134=""),"",IFERROR(C134*INDEX(UnidadesFactor,MATCH(D134,Unidades,0)),""))</f>
        <v/>
      </c>
      <c r="F134" s="18" t="str">
        <f aca="true">IF(B134="","",IFERROR(INDEX(InsCosto,MATCH(B134,ListaInsumos,0)),""))</f>
        <v/>
      </c>
      <c r="G134" s="19" t="str">
        <f aca="false">IF(AND(A134="",B134=""),"",IF(H134="OK",E134*F134,0))</f>
        <v/>
      </c>
      <c r="H134" s="20" t="str">
        <f aca="true">IF(AND(A134="",B134=""),"",IF(ISNA(MATCH(B134,ListaInsumos,0)),"Insumo no está en Insumos",IF(C134="","Falta cantidad",IF(IFERROR(INDEX(UnidadesBase,MATCH(D134,Unidades,0)),"")&lt;&gt;INDEX(InsBase,MATCH(B134,ListaInsumos,0)),"Unidad incompatible",IF(F134="","Insumo sin compras","OK")))))</f>
        <v/>
      </c>
      <c r="I134" s="15"/>
    </row>
    <row r="135" customFormat="false" ht="15" hidden="false" customHeight="false" outlineLevel="0" collapsed="false">
      <c r="A135" s="15"/>
      <c r="B135" s="15"/>
      <c r="C135" s="27"/>
      <c r="D135" s="15"/>
      <c r="E135" s="25" t="str">
        <f aca="true">IF(OR(C135="",D135=""),"",IFERROR(C135*INDEX(UnidadesFactor,MATCH(D135,Unidades,0)),""))</f>
        <v/>
      </c>
      <c r="F135" s="18" t="str">
        <f aca="true">IF(B135="","",IFERROR(INDEX(InsCosto,MATCH(B135,ListaInsumos,0)),""))</f>
        <v/>
      </c>
      <c r="G135" s="19" t="str">
        <f aca="false">IF(AND(A135="",B135=""),"",IF(H135="OK",E135*F135,0))</f>
        <v/>
      </c>
      <c r="H135" s="20" t="str">
        <f aca="true">IF(AND(A135="",B135=""),"",IF(ISNA(MATCH(B135,ListaInsumos,0)),"Insumo no está en Insumos",IF(C135="","Falta cantidad",IF(IFERROR(INDEX(UnidadesBase,MATCH(D135,Unidades,0)),"")&lt;&gt;INDEX(InsBase,MATCH(B135,ListaInsumos,0)),"Unidad incompatible",IF(F135="","Insumo sin compras","OK")))))</f>
        <v/>
      </c>
      <c r="I135" s="15"/>
    </row>
    <row r="136" customFormat="false" ht="15" hidden="false" customHeight="false" outlineLevel="0" collapsed="false">
      <c r="A136" s="15"/>
      <c r="B136" s="15"/>
      <c r="C136" s="27"/>
      <c r="D136" s="15"/>
      <c r="E136" s="25" t="str">
        <f aca="true">IF(OR(C136="",D136=""),"",IFERROR(C136*INDEX(UnidadesFactor,MATCH(D136,Unidades,0)),""))</f>
        <v/>
      </c>
      <c r="F136" s="18" t="str">
        <f aca="true">IF(B136="","",IFERROR(INDEX(InsCosto,MATCH(B136,ListaInsumos,0)),""))</f>
        <v/>
      </c>
      <c r="G136" s="19" t="str">
        <f aca="false">IF(AND(A136="",B136=""),"",IF(H136="OK",E136*F136,0))</f>
        <v/>
      </c>
      <c r="H136" s="20" t="str">
        <f aca="true">IF(AND(A136="",B136=""),"",IF(ISNA(MATCH(B136,ListaInsumos,0)),"Insumo no está en Insumos",IF(C136="","Falta cantidad",IF(IFERROR(INDEX(UnidadesBase,MATCH(D136,Unidades,0)),"")&lt;&gt;INDEX(InsBase,MATCH(B136,ListaInsumos,0)),"Unidad incompatible",IF(F136="","Insumo sin compras","OK")))))</f>
        <v/>
      </c>
      <c r="I136" s="15"/>
    </row>
    <row r="137" customFormat="false" ht="15" hidden="false" customHeight="false" outlineLevel="0" collapsed="false">
      <c r="A137" s="15"/>
      <c r="B137" s="15"/>
      <c r="C137" s="27"/>
      <c r="D137" s="15"/>
      <c r="E137" s="25" t="str">
        <f aca="true">IF(OR(C137="",D137=""),"",IFERROR(C137*INDEX(UnidadesFactor,MATCH(D137,Unidades,0)),""))</f>
        <v/>
      </c>
      <c r="F137" s="18" t="str">
        <f aca="true">IF(B137="","",IFERROR(INDEX(InsCosto,MATCH(B137,ListaInsumos,0)),""))</f>
        <v/>
      </c>
      <c r="G137" s="19" t="str">
        <f aca="false">IF(AND(A137="",B137=""),"",IF(H137="OK",E137*F137,0))</f>
        <v/>
      </c>
      <c r="H137" s="20" t="str">
        <f aca="true">IF(AND(A137="",B137=""),"",IF(ISNA(MATCH(B137,ListaInsumos,0)),"Insumo no está en Insumos",IF(C137="","Falta cantidad",IF(IFERROR(INDEX(UnidadesBase,MATCH(D137,Unidades,0)),"")&lt;&gt;INDEX(InsBase,MATCH(B137,ListaInsumos,0)),"Unidad incompatible",IF(F137="","Insumo sin compras","OK")))))</f>
        <v/>
      </c>
      <c r="I137" s="15"/>
    </row>
    <row r="138" customFormat="false" ht="15" hidden="false" customHeight="false" outlineLevel="0" collapsed="false">
      <c r="A138" s="15"/>
      <c r="B138" s="15"/>
      <c r="C138" s="27"/>
      <c r="D138" s="15"/>
      <c r="E138" s="25" t="str">
        <f aca="true">IF(OR(C138="",D138=""),"",IFERROR(C138*INDEX(UnidadesFactor,MATCH(D138,Unidades,0)),""))</f>
        <v/>
      </c>
      <c r="F138" s="18" t="str">
        <f aca="true">IF(B138="","",IFERROR(INDEX(InsCosto,MATCH(B138,ListaInsumos,0)),""))</f>
        <v/>
      </c>
      <c r="G138" s="19" t="str">
        <f aca="false">IF(AND(A138="",B138=""),"",IF(H138="OK",E138*F138,0))</f>
        <v/>
      </c>
      <c r="H138" s="20" t="str">
        <f aca="true">IF(AND(A138="",B138=""),"",IF(ISNA(MATCH(B138,ListaInsumos,0)),"Insumo no está en Insumos",IF(C138="","Falta cantidad",IF(IFERROR(INDEX(UnidadesBase,MATCH(D138,Unidades,0)),"")&lt;&gt;INDEX(InsBase,MATCH(B138,ListaInsumos,0)),"Unidad incompatible",IF(F138="","Insumo sin compras","OK")))))</f>
        <v/>
      </c>
      <c r="I138" s="15"/>
    </row>
    <row r="139" customFormat="false" ht="15" hidden="false" customHeight="false" outlineLevel="0" collapsed="false">
      <c r="A139" s="15"/>
      <c r="B139" s="15"/>
      <c r="C139" s="27"/>
      <c r="D139" s="15"/>
      <c r="E139" s="25" t="str">
        <f aca="true">IF(OR(C139="",D139=""),"",IFERROR(C139*INDEX(UnidadesFactor,MATCH(D139,Unidades,0)),""))</f>
        <v/>
      </c>
      <c r="F139" s="18" t="str">
        <f aca="true">IF(B139="","",IFERROR(INDEX(InsCosto,MATCH(B139,ListaInsumos,0)),""))</f>
        <v/>
      </c>
      <c r="G139" s="19" t="str">
        <f aca="false">IF(AND(A139="",B139=""),"",IF(H139="OK",E139*F139,0))</f>
        <v/>
      </c>
      <c r="H139" s="20" t="str">
        <f aca="true">IF(AND(A139="",B139=""),"",IF(ISNA(MATCH(B139,ListaInsumos,0)),"Insumo no está en Insumos",IF(C139="","Falta cantidad",IF(IFERROR(INDEX(UnidadesBase,MATCH(D139,Unidades,0)),"")&lt;&gt;INDEX(InsBase,MATCH(B139,ListaInsumos,0)),"Unidad incompatible",IF(F139="","Insumo sin compras","OK")))))</f>
        <v/>
      </c>
      <c r="I139" s="15"/>
    </row>
    <row r="140" customFormat="false" ht="15" hidden="false" customHeight="false" outlineLevel="0" collapsed="false">
      <c r="A140" s="15"/>
      <c r="B140" s="15"/>
      <c r="C140" s="27"/>
      <c r="D140" s="15"/>
      <c r="E140" s="25" t="str">
        <f aca="true">IF(OR(C140="",D140=""),"",IFERROR(C140*INDEX(UnidadesFactor,MATCH(D140,Unidades,0)),""))</f>
        <v/>
      </c>
      <c r="F140" s="18" t="str">
        <f aca="true">IF(B140="","",IFERROR(INDEX(InsCosto,MATCH(B140,ListaInsumos,0)),""))</f>
        <v/>
      </c>
      <c r="G140" s="19" t="str">
        <f aca="false">IF(AND(A140="",B140=""),"",IF(H140="OK",E140*F140,0))</f>
        <v/>
      </c>
      <c r="H140" s="20" t="str">
        <f aca="true">IF(AND(A140="",B140=""),"",IF(ISNA(MATCH(B140,ListaInsumos,0)),"Insumo no está en Insumos",IF(C140="","Falta cantidad",IF(IFERROR(INDEX(UnidadesBase,MATCH(D140,Unidades,0)),"")&lt;&gt;INDEX(InsBase,MATCH(B140,ListaInsumos,0)),"Unidad incompatible",IF(F140="","Insumo sin compras","OK")))))</f>
        <v/>
      </c>
      <c r="I140" s="15"/>
    </row>
    <row r="141" customFormat="false" ht="15" hidden="false" customHeight="false" outlineLevel="0" collapsed="false">
      <c r="A141" s="15"/>
      <c r="B141" s="15"/>
      <c r="C141" s="27"/>
      <c r="D141" s="15"/>
      <c r="E141" s="25" t="str">
        <f aca="true">IF(OR(C141="",D141=""),"",IFERROR(C141*INDEX(UnidadesFactor,MATCH(D141,Unidades,0)),""))</f>
        <v/>
      </c>
      <c r="F141" s="18" t="str">
        <f aca="true">IF(B141="","",IFERROR(INDEX(InsCosto,MATCH(B141,ListaInsumos,0)),""))</f>
        <v/>
      </c>
      <c r="G141" s="19" t="str">
        <f aca="false">IF(AND(A141="",B141=""),"",IF(H141="OK",E141*F141,0))</f>
        <v/>
      </c>
      <c r="H141" s="20" t="str">
        <f aca="true">IF(AND(A141="",B141=""),"",IF(ISNA(MATCH(B141,ListaInsumos,0)),"Insumo no está en Insumos",IF(C141="","Falta cantidad",IF(IFERROR(INDEX(UnidadesBase,MATCH(D141,Unidades,0)),"")&lt;&gt;INDEX(InsBase,MATCH(B141,ListaInsumos,0)),"Unidad incompatible",IF(F141="","Insumo sin compras","OK")))))</f>
        <v/>
      </c>
      <c r="I141" s="15"/>
    </row>
    <row r="142" customFormat="false" ht="15" hidden="false" customHeight="false" outlineLevel="0" collapsed="false">
      <c r="A142" s="15"/>
      <c r="B142" s="15"/>
      <c r="C142" s="27"/>
      <c r="D142" s="15"/>
      <c r="E142" s="25" t="str">
        <f aca="true">IF(OR(C142="",D142=""),"",IFERROR(C142*INDEX(UnidadesFactor,MATCH(D142,Unidades,0)),""))</f>
        <v/>
      </c>
      <c r="F142" s="18" t="str">
        <f aca="true">IF(B142="","",IFERROR(INDEX(InsCosto,MATCH(B142,ListaInsumos,0)),""))</f>
        <v/>
      </c>
      <c r="G142" s="19" t="str">
        <f aca="false">IF(AND(A142="",B142=""),"",IF(H142="OK",E142*F142,0))</f>
        <v/>
      </c>
      <c r="H142" s="20" t="str">
        <f aca="true">IF(AND(A142="",B142=""),"",IF(ISNA(MATCH(B142,ListaInsumos,0)),"Insumo no está en Insumos",IF(C142="","Falta cantidad",IF(IFERROR(INDEX(UnidadesBase,MATCH(D142,Unidades,0)),"")&lt;&gt;INDEX(InsBase,MATCH(B142,ListaInsumos,0)),"Unidad incompatible",IF(F142="","Insumo sin compras","OK")))))</f>
        <v/>
      </c>
      <c r="I142" s="15"/>
    </row>
    <row r="143" customFormat="false" ht="15" hidden="false" customHeight="false" outlineLevel="0" collapsed="false">
      <c r="A143" s="15"/>
      <c r="B143" s="15"/>
      <c r="C143" s="27"/>
      <c r="D143" s="15"/>
      <c r="E143" s="25" t="str">
        <f aca="true">IF(OR(C143="",D143=""),"",IFERROR(C143*INDEX(UnidadesFactor,MATCH(D143,Unidades,0)),""))</f>
        <v/>
      </c>
      <c r="F143" s="18" t="str">
        <f aca="true">IF(B143="","",IFERROR(INDEX(InsCosto,MATCH(B143,ListaInsumos,0)),""))</f>
        <v/>
      </c>
      <c r="G143" s="19" t="str">
        <f aca="false">IF(AND(A143="",B143=""),"",IF(H143="OK",E143*F143,0))</f>
        <v/>
      </c>
      <c r="H143" s="20" t="str">
        <f aca="true">IF(AND(A143="",B143=""),"",IF(ISNA(MATCH(B143,ListaInsumos,0)),"Insumo no está en Insumos",IF(C143="","Falta cantidad",IF(IFERROR(INDEX(UnidadesBase,MATCH(D143,Unidades,0)),"")&lt;&gt;INDEX(InsBase,MATCH(B143,ListaInsumos,0)),"Unidad incompatible",IF(F143="","Insumo sin compras","OK")))))</f>
        <v/>
      </c>
      <c r="I143" s="15"/>
    </row>
    <row r="144" customFormat="false" ht="15" hidden="false" customHeight="false" outlineLevel="0" collapsed="false">
      <c r="A144" s="15"/>
      <c r="B144" s="15"/>
      <c r="C144" s="27"/>
      <c r="D144" s="15"/>
      <c r="E144" s="25" t="str">
        <f aca="true">IF(OR(C144="",D144=""),"",IFERROR(C144*INDEX(UnidadesFactor,MATCH(D144,Unidades,0)),""))</f>
        <v/>
      </c>
      <c r="F144" s="18" t="str">
        <f aca="true">IF(B144="","",IFERROR(INDEX(InsCosto,MATCH(B144,ListaInsumos,0)),""))</f>
        <v/>
      </c>
      <c r="G144" s="19" t="str">
        <f aca="false">IF(AND(A144="",B144=""),"",IF(H144="OK",E144*F144,0))</f>
        <v/>
      </c>
      <c r="H144" s="20" t="str">
        <f aca="true">IF(AND(A144="",B144=""),"",IF(ISNA(MATCH(B144,ListaInsumos,0)),"Insumo no está en Insumos",IF(C144="","Falta cantidad",IF(IFERROR(INDEX(UnidadesBase,MATCH(D144,Unidades,0)),"")&lt;&gt;INDEX(InsBase,MATCH(B144,ListaInsumos,0)),"Unidad incompatible",IF(F144="","Insumo sin compras","OK")))))</f>
        <v/>
      </c>
      <c r="I144" s="15"/>
    </row>
    <row r="145" customFormat="false" ht="15" hidden="false" customHeight="false" outlineLevel="0" collapsed="false">
      <c r="A145" s="15"/>
      <c r="B145" s="15"/>
      <c r="C145" s="27"/>
      <c r="D145" s="15"/>
      <c r="E145" s="25" t="str">
        <f aca="true">IF(OR(C145="",D145=""),"",IFERROR(C145*INDEX(UnidadesFactor,MATCH(D145,Unidades,0)),""))</f>
        <v/>
      </c>
      <c r="F145" s="18" t="str">
        <f aca="true">IF(B145="","",IFERROR(INDEX(InsCosto,MATCH(B145,ListaInsumos,0)),""))</f>
        <v/>
      </c>
      <c r="G145" s="19" t="str">
        <f aca="false">IF(AND(A145="",B145=""),"",IF(H145="OK",E145*F145,0))</f>
        <v/>
      </c>
      <c r="H145" s="20" t="str">
        <f aca="true">IF(AND(A145="",B145=""),"",IF(ISNA(MATCH(B145,ListaInsumos,0)),"Insumo no está en Insumos",IF(C145="","Falta cantidad",IF(IFERROR(INDEX(UnidadesBase,MATCH(D145,Unidades,0)),"")&lt;&gt;INDEX(InsBase,MATCH(B145,ListaInsumos,0)),"Unidad incompatible",IF(F145="","Insumo sin compras","OK")))))</f>
        <v/>
      </c>
      <c r="I145" s="15"/>
    </row>
    <row r="146" customFormat="false" ht="15" hidden="false" customHeight="false" outlineLevel="0" collapsed="false">
      <c r="A146" s="15"/>
      <c r="B146" s="15"/>
      <c r="C146" s="27"/>
      <c r="D146" s="15"/>
      <c r="E146" s="25" t="str">
        <f aca="true">IF(OR(C146="",D146=""),"",IFERROR(C146*INDEX(UnidadesFactor,MATCH(D146,Unidades,0)),""))</f>
        <v/>
      </c>
      <c r="F146" s="18" t="str">
        <f aca="true">IF(B146="","",IFERROR(INDEX(InsCosto,MATCH(B146,ListaInsumos,0)),""))</f>
        <v/>
      </c>
      <c r="G146" s="19" t="str">
        <f aca="false">IF(AND(A146="",B146=""),"",IF(H146="OK",E146*F146,0))</f>
        <v/>
      </c>
      <c r="H146" s="20" t="str">
        <f aca="true">IF(AND(A146="",B146=""),"",IF(ISNA(MATCH(B146,ListaInsumos,0)),"Insumo no está en Insumos",IF(C146="","Falta cantidad",IF(IFERROR(INDEX(UnidadesBase,MATCH(D146,Unidades,0)),"")&lt;&gt;INDEX(InsBase,MATCH(B146,ListaInsumos,0)),"Unidad incompatible",IF(F146="","Insumo sin compras","OK")))))</f>
        <v/>
      </c>
      <c r="I146" s="15"/>
    </row>
    <row r="147" customFormat="false" ht="15" hidden="false" customHeight="false" outlineLevel="0" collapsed="false">
      <c r="A147" s="15"/>
      <c r="B147" s="15"/>
      <c r="C147" s="27"/>
      <c r="D147" s="15"/>
      <c r="E147" s="25" t="str">
        <f aca="true">IF(OR(C147="",D147=""),"",IFERROR(C147*INDEX(UnidadesFactor,MATCH(D147,Unidades,0)),""))</f>
        <v/>
      </c>
      <c r="F147" s="18" t="str">
        <f aca="true">IF(B147="","",IFERROR(INDEX(InsCosto,MATCH(B147,ListaInsumos,0)),""))</f>
        <v/>
      </c>
      <c r="G147" s="19" t="str">
        <f aca="false">IF(AND(A147="",B147=""),"",IF(H147="OK",E147*F147,0))</f>
        <v/>
      </c>
      <c r="H147" s="20" t="str">
        <f aca="true">IF(AND(A147="",B147=""),"",IF(ISNA(MATCH(B147,ListaInsumos,0)),"Insumo no está en Insumos",IF(C147="","Falta cantidad",IF(IFERROR(INDEX(UnidadesBase,MATCH(D147,Unidades,0)),"")&lt;&gt;INDEX(InsBase,MATCH(B147,ListaInsumos,0)),"Unidad incompatible",IF(F147="","Insumo sin compras","OK")))))</f>
        <v/>
      </c>
      <c r="I147" s="15"/>
    </row>
    <row r="148" customFormat="false" ht="15" hidden="false" customHeight="false" outlineLevel="0" collapsed="false">
      <c r="A148" s="15"/>
      <c r="B148" s="15"/>
      <c r="C148" s="27"/>
      <c r="D148" s="15"/>
      <c r="E148" s="25" t="str">
        <f aca="true">IF(OR(C148="",D148=""),"",IFERROR(C148*INDEX(UnidadesFactor,MATCH(D148,Unidades,0)),""))</f>
        <v/>
      </c>
      <c r="F148" s="18" t="str">
        <f aca="true">IF(B148="","",IFERROR(INDEX(InsCosto,MATCH(B148,ListaInsumos,0)),""))</f>
        <v/>
      </c>
      <c r="G148" s="19" t="str">
        <f aca="false">IF(AND(A148="",B148=""),"",IF(H148="OK",E148*F148,0))</f>
        <v/>
      </c>
      <c r="H148" s="20" t="str">
        <f aca="true">IF(AND(A148="",B148=""),"",IF(ISNA(MATCH(B148,ListaInsumos,0)),"Insumo no está en Insumos",IF(C148="","Falta cantidad",IF(IFERROR(INDEX(UnidadesBase,MATCH(D148,Unidades,0)),"")&lt;&gt;INDEX(InsBase,MATCH(B148,ListaInsumos,0)),"Unidad incompatible",IF(F148="","Insumo sin compras","OK")))))</f>
        <v/>
      </c>
      <c r="I148" s="15"/>
    </row>
    <row r="149" customFormat="false" ht="15" hidden="false" customHeight="false" outlineLevel="0" collapsed="false">
      <c r="A149" s="15"/>
      <c r="B149" s="15"/>
      <c r="C149" s="27"/>
      <c r="D149" s="15"/>
      <c r="E149" s="25" t="str">
        <f aca="true">IF(OR(C149="",D149=""),"",IFERROR(C149*INDEX(UnidadesFactor,MATCH(D149,Unidades,0)),""))</f>
        <v/>
      </c>
      <c r="F149" s="18" t="str">
        <f aca="true">IF(B149="","",IFERROR(INDEX(InsCosto,MATCH(B149,ListaInsumos,0)),""))</f>
        <v/>
      </c>
      <c r="G149" s="19" t="str">
        <f aca="false">IF(AND(A149="",B149=""),"",IF(H149="OK",E149*F149,0))</f>
        <v/>
      </c>
      <c r="H149" s="20" t="str">
        <f aca="true">IF(AND(A149="",B149=""),"",IF(ISNA(MATCH(B149,ListaInsumos,0)),"Insumo no está en Insumos",IF(C149="","Falta cantidad",IF(IFERROR(INDEX(UnidadesBase,MATCH(D149,Unidades,0)),"")&lt;&gt;INDEX(InsBase,MATCH(B149,ListaInsumos,0)),"Unidad incompatible",IF(F149="","Insumo sin compras","OK")))))</f>
        <v/>
      </c>
      <c r="I149" s="15"/>
    </row>
    <row r="150" customFormat="false" ht="15" hidden="false" customHeight="false" outlineLevel="0" collapsed="false">
      <c r="A150" s="15"/>
      <c r="B150" s="15"/>
      <c r="C150" s="27"/>
      <c r="D150" s="15"/>
      <c r="E150" s="25" t="str">
        <f aca="true">IF(OR(C150="",D150=""),"",IFERROR(C150*INDEX(UnidadesFactor,MATCH(D150,Unidades,0)),""))</f>
        <v/>
      </c>
      <c r="F150" s="18" t="str">
        <f aca="true">IF(B150="","",IFERROR(INDEX(InsCosto,MATCH(B150,ListaInsumos,0)),""))</f>
        <v/>
      </c>
      <c r="G150" s="19" t="str">
        <f aca="false">IF(AND(A150="",B150=""),"",IF(H150="OK",E150*F150,0))</f>
        <v/>
      </c>
      <c r="H150" s="20" t="str">
        <f aca="true">IF(AND(A150="",B150=""),"",IF(ISNA(MATCH(B150,ListaInsumos,0)),"Insumo no está en Insumos",IF(C150="","Falta cantidad",IF(IFERROR(INDEX(UnidadesBase,MATCH(D150,Unidades,0)),"")&lt;&gt;INDEX(InsBase,MATCH(B150,ListaInsumos,0)),"Unidad incompatible",IF(F150="","Insumo sin compras","OK")))))</f>
        <v/>
      </c>
      <c r="I150" s="15"/>
    </row>
    <row r="151" customFormat="false" ht="15" hidden="false" customHeight="false" outlineLevel="0" collapsed="false">
      <c r="A151" s="15"/>
      <c r="B151" s="15"/>
      <c r="C151" s="27"/>
      <c r="D151" s="15"/>
      <c r="E151" s="25" t="str">
        <f aca="true">IF(OR(C151="",D151=""),"",IFERROR(C151*INDEX(UnidadesFactor,MATCH(D151,Unidades,0)),""))</f>
        <v/>
      </c>
      <c r="F151" s="18" t="str">
        <f aca="true">IF(B151="","",IFERROR(INDEX(InsCosto,MATCH(B151,ListaInsumos,0)),""))</f>
        <v/>
      </c>
      <c r="G151" s="19" t="str">
        <f aca="false">IF(AND(A151="",B151=""),"",IF(H151="OK",E151*F151,0))</f>
        <v/>
      </c>
      <c r="H151" s="20" t="str">
        <f aca="true">IF(AND(A151="",B151=""),"",IF(ISNA(MATCH(B151,ListaInsumos,0)),"Insumo no está en Insumos",IF(C151="","Falta cantidad",IF(IFERROR(INDEX(UnidadesBase,MATCH(D151,Unidades,0)),"")&lt;&gt;INDEX(InsBase,MATCH(B151,ListaInsumos,0)),"Unidad incompatible",IF(F151="","Insumo sin compras","OK")))))</f>
        <v/>
      </c>
      <c r="I151" s="15"/>
    </row>
    <row r="152" customFormat="false" ht="15" hidden="false" customHeight="false" outlineLevel="0" collapsed="false">
      <c r="A152" s="15"/>
      <c r="B152" s="15"/>
      <c r="C152" s="27"/>
      <c r="D152" s="15"/>
      <c r="E152" s="25" t="str">
        <f aca="true">IF(OR(C152="",D152=""),"",IFERROR(C152*INDEX(UnidadesFactor,MATCH(D152,Unidades,0)),""))</f>
        <v/>
      </c>
      <c r="F152" s="18" t="str">
        <f aca="true">IF(B152="","",IFERROR(INDEX(InsCosto,MATCH(B152,ListaInsumos,0)),""))</f>
        <v/>
      </c>
      <c r="G152" s="19" t="str">
        <f aca="false">IF(AND(A152="",B152=""),"",IF(H152="OK",E152*F152,0))</f>
        <v/>
      </c>
      <c r="H152" s="20" t="str">
        <f aca="true">IF(AND(A152="",B152=""),"",IF(ISNA(MATCH(B152,ListaInsumos,0)),"Insumo no está en Insumos",IF(C152="","Falta cantidad",IF(IFERROR(INDEX(UnidadesBase,MATCH(D152,Unidades,0)),"")&lt;&gt;INDEX(InsBase,MATCH(B152,ListaInsumos,0)),"Unidad incompatible",IF(F152="","Insumo sin compras","OK")))))</f>
        <v/>
      </c>
      <c r="I152" s="15"/>
    </row>
    <row r="153" customFormat="false" ht="15" hidden="false" customHeight="false" outlineLevel="0" collapsed="false">
      <c r="A153" s="15"/>
      <c r="B153" s="15"/>
      <c r="C153" s="27"/>
      <c r="D153" s="15"/>
      <c r="E153" s="25" t="str">
        <f aca="true">IF(OR(C153="",D153=""),"",IFERROR(C153*INDEX(UnidadesFactor,MATCH(D153,Unidades,0)),""))</f>
        <v/>
      </c>
      <c r="F153" s="18" t="str">
        <f aca="true">IF(B153="","",IFERROR(INDEX(InsCosto,MATCH(B153,ListaInsumos,0)),""))</f>
        <v/>
      </c>
      <c r="G153" s="19" t="str">
        <f aca="false">IF(AND(A153="",B153=""),"",IF(H153="OK",E153*F153,0))</f>
        <v/>
      </c>
      <c r="H153" s="20" t="str">
        <f aca="true">IF(AND(A153="",B153=""),"",IF(ISNA(MATCH(B153,ListaInsumos,0)),"Insumo no está en Insumos",IF(C153="","Falta cantidad",IF(IFERROR(INDEX(UnidadesBase,MATCH(D153,Unidades,0)),"")&lt;&gt;INDEX(InsBase,MATCH(B153,ListaInsumos,0)),"Unidad incompatible",IF(F153="","Insumo sin compras","OK")))))</f>
        <v/>
      </c>
      <c r="I153" s="15"/>
    </row>
    <row r="154" customFormat="false" ht="15" hidden="false" customHeight="false" outlineLevel="0" collapsed="false">
      <c r="A154" s="15"/>
      <c r="B154" s="15"/>
      <c r="C154" s="27"/>
      <c r="D154" s="15"/>
      <c r="E154" s="25" t="str">
        <f aca="true">IF(OR(C154="",D154=""),"",IFERROR(C154*INDEX(UnidadesFactor,MATCH(D154,Unidades,0)),""))</f>
        <v/>
      </c>
      <c r="F154" s="18" t="str">
        <f aca="true">IF(B154="","",IFERROR(INDEX(InsCosto,MATCH(B154,ListaInsumos,0)),""))</f>
        <v/>
      </c>
      <c r="G154" s="19" t="str">
        <f aca="false">IF(AND(A154="",B154=""),"",IF(H154="OK",E154*F154,0))</f>
        <v/>
      </c>
      <c r="H154" s="20" t="str">
        <f aca="true">IF(AND(A154="",B154=""),"",IF(ISNA(MATCH(B154,ListaInsumos,0)),"Insumo no está en Insumos",IF(C154="","Falta cantidad",IF(IFERROR(INDEX(UnidadesBase,MATCH(D154,Unidades,0)),"")&lt;&gt;INDEX(InsBase,MATCH(B154,ListaInsumos,0)),"Unidad incompatible",IF(F154="","Insumo sin compras","OK")))))</f>
        <v/>
      </c>
      <c r="I154" s="15"/>
    </row>
    <row r="155" customFormat="false" ht="15" hidden="false" customHeight="false" outlineLevel="0" collapsed="false">
      <c r="A155" s="15"/>
      <c r="B155" s="15"/>
      <c r="C155" s="27"/>
      <c r="D155" s="15"/>
      <c r="E155" s="25" t="str">
        <f aca="true">IF(OR(C155="",D155=""),"",IFERROR(C155*INDEX(UnidadesFactor,MATCH(D155,Unidades,0)),""))</f>
        <v/>
      </c>
      <c r="F155" s="18" t="str">
        <f aca="true">IF(B155="","",IFERROR(INDEX(InsCosto,MATCH(B155,ListaInsumos,0)),""))</f>
        <v/>
      </c>
      <c r="G155" s="19" t="str">
        <f aca="false">IF(AND(A155="",B155=""),"",IF(H155="OK",E155*F155,0))</f>
        <v/>
      </c>
      <c r="H155" s="20" t="str">
        <f aca="true">IF(AND(A155="",B155=""),"",IF(ISNA(MATCH(B155,ListaInsumos,0)),"Insumo no está en Insumos",IF(C155="","Falta cantidad",IF(IFERROR(INDEX(UnidadesBase,MATCH(D155,Unidades,0)),"")&lt;&gt;INDEX(InsBase,MATCH(B155,ListaInsumos,0)),"Unidad incompatible",IF(F155="","Insumo sin compras","OK")))))</f>
        <v/>
      </c>
      <c r="I155" s="15"/>
    </row>
    <row r="156" customFormat="false" ht="15" hidden="false" customHeight="false" outlineLevel="0" collapsed="false">
      <c r="A156" s="15"/>
      <c r="B156" s="15"/>
      <c r="C156" s="27"/>
      <c r="D156" s="15"/>
      <c r="E156" s="25" t="str">
        <f aca="true">IF(OR(C156="",D156=""),"",IFERROR(C156*INDEX(UnidadesFactor,MATCH(D156,Unidades,0)),""))</f>
        <v/>
      </c>
      <c r="F156" s="18" t="str">
        <f aca="true">IF(B156="","",IFERROR(INDEX(InsCosto,MATCH(B156,ListaInsumos,0)),""))</f>
        <v/>
      </c>
      <c r="G156" s="19" t="str">
        <f aca="false">IF(AND(A156="",B156=""),"",IF(H156="OK",E156*F156,0))</f>
        <v/>
      </c>
      <c r="H156" s="20" t="str">
        <f aca="true">IF(AND(A156="",B156=""),"",IF(ISNA(MATCH(B156,ListaInsumos,0)),"Insumo no está en Insumos",IF(C156="","Falta cantidad",IF(IFERROR(INDEX(UnidadesBase,MATCH(D156,Unidades,0)),"")&lt;&gt;INDEX(InsBase,MATCH(B156,ListaInsumos,0)),"Unidad incompatible",IF(F156="","Insumo sin compras","OK")))))</f>
        <v/>
      </c>
      <c r="I156" s="15"/>
    </row>
    <row r="157" customFormat="false" ht="15" hidden="false" customHeight="false" outlineLevel="0" collapsed="false">
      <c r="A157" s="15"/>
      <c r="B157" s="15"/>
      <c r="C157" s="27"/>
      <c r="D157" s="15"/>
      <c r="E157" s="25" t="str">
        <f aca="true">IF(OR(C157="",D157=""),"",IFERROR(C157*INDEX(UnidadesFactor,MATCH(D157,Unidades,0)),""))</f>
        <v/>
      </c>
      <c r="F157" s="18" t="str">
        <f aca="true">IF(B157="","",IFERROR(INDEX(InsCosto,MATCH(B157,ListaInsumos,0)),""))</f>
        <v/>
      </c>
      <c r="G157" s="19" t="str">
        <f aca="false">IF(AND(A157="",B157=""),"",IF(H157="OK",E157*F157,0))</f>
        <v/>
      </c>
      <c r="H157" s="20" t="str">
        <f aca="true">IF(AND(A157="",B157=""),"",IF(ISNA(MATCH(B157,ListaInsumos,0)),"Insumo no está en Insumos",IF(C157="","Falta cantidad",IF(IFERROR(INDEX(UnidadesBase,MATCH(D157,Unidades,0)),"")&lt;&gt;INDEX(InsBase,MATCH(B157,ListaInsumos,0)),"Unidad incompatible",IF(F157="","Insumo sin compras","OK")))))</f>
        <v/>
      </c>
      <c r="I157" s="15"/>
    </row>
    <row r="158" customFormat="false" ht="15" hidden="false" customHeight="false" outlineLevel="0" collapsed="false">
      <c r="A158" s="15"/>
      <c r="B158" s="15"/>
      <c r="C158" s="27"/>
      <c r="D158" s="15"/>
      <c r="E158" s="25" t="str">
        <f aca="true">IF(OR(C158="",D158=""),"",IFERROR(C158*INDEX(UnidadesFactor,MATCH(D158,Unidades,0)),""))</f>
        <v/>
      </c>
      <c r="F158" s="18" t="str">
        <f aca="true">IF(B158="","",IFERROR(INDEX(InsCosto,MATCH(B158,ListaInsumos,0)),""))</f>
        <v/>
      </c>
      <c r="G158" s="19" t="str">
        <f aca="false">IF(AND(A158="",B158=""),"",IF(H158="OK",E158*F158,0))</f>
        <v/>
      </c>
      <c r="H158" s="20" t="str">
        <f aca="true">IF(AND(A158="",B158=""),"",IF(ISNA(MATCH(B158,ListaInsumos,0)),"Insumo no está en Insumos",IF(C158="","Falta cantidad",IF(IFERROR(INDEX(UnidadesBase,MATCH(D158,Unidades,0)),"")&lt;&gt;INDEX(InsBase,MATCH(B158,ListaInsumos,0)),"Unidad incompatible",IF(F158="","Insumo sin compras","OK")))))</f>
        <v/>
      </c>
      <c r="I158" s="15"/>
    </row>
    <row r="159" customFormat="false" ht="15" hidden="false" customHeight="false" outlineLevel="0" collapsed="false">
      <c r="A159" s="15"/>
      <c r="B159" s="15"/>
      <c r="C159" s="27"/>
      <c r="D159" s="15"/>
      <c r="E159" s="25" t="str">
        <f aca="true">IF(OR(C159="",D159=""),"",IFERROR(C159*INDEX(UnidadesFactor,MATCH(D159,Unidades,0)),""))</f>
        <v/>
      </c>
      <c r="F159" s="18" t="str">
        <f aca="true">IF(B159="","",IFERROR(INDEX(InsCosto,MATCH(B159,ListaInsumos,0)),""))</f>
        <v/>
      </c>
      <c r="G159" s="19" t="str">
        <f aca="false">IF(AND(A159="",B159=""),"",IF(H159="OK",E159*F159,0))</f>
        <v/>
      </c>
      <c r="H159" s="20" t="str">
        <f aca="true">IF(AND(A159="",B159=""),"",IF(ISNA(MATCH(B159,ListaInsumos,0)),"Insumo no está en Insumos",IF(C159="","Falta cantidad",IF(IFERROR(INDEX(UnidadesBase,MATCH(D159,Unidades,0)),"")&lt;&gt;INDEX(InsBase,MATCH(B159,ListaInsumos,0)),"Unidad incompatible",IF(F159="","Insumo sin compras","OK")))))</f>
        <v/>
      </c>
      <c r="I159" s="15"/>
    </row>
    <row r="160" customFormat="false" ht="15" hidden="false" customHeight="false" outlineLevel="0" collapsed="false">
      <c r="A160" s="15"/>
      <c r="B160" s="15"/>
      <c r="C160" s="27"/>
      <c r="D160" s="15"/>
      <c r="E160" s="25" t="str">
        <f aca="true">IF(OR(C160="",D160=""),"",IFERROR(C160*INDEX(UnidadesFactor,MATCH(D160,Unidades,0)),""))</f>
        <v/>
      </c>
      <c r="F160" s="18" t="str">
        <f aca="true">IF(B160="","",IFERROR(INDEX(InsCosto,MATCH(B160,ListaInsumos,0)),""))</f>
        <v/>
      </c>
      <c r="G160" s="19" t="str">
        <f aca="false">IF(AND(A160="",B160=""),"",IF(H160="OK",E160*F160,0))</f>
        <v/>
      </c>
      <c r="H160" s="20" t="str">
        <f aca="true">IF(AND(A160="",B160=""),"",IF(ISNA(MATCH(B160,ListaInsumos,0)),"Insumo no está en Insumos",IF(C160="","Falta cantidad",IF(IFERROR(INDEX(UnidadesBase,MATCH(D160,Unidades,0)),"")&lt;&gt;INDEX(InsBase,MATCH(B160,ListaInsumos,0)),"Unidad incompatible",IF(F160="","Insumo sin compras","OK")))))</f>
        <v/>
      </c>
      <c r="I160" s="15"/>
    </row>
    <row r="161" customFormat="false" ht="15" hidden="false" customHeight="false" outlineLevel="0" collapsed="false">
      <c r="A161" s="15"/>
      <c r="B161" s="15"/>
      <c r="C161" s="27"/>
      <c r="D161" s="15"/>
      <c r="E161" s="25" t="str">
        <f aca="true">IF(OR(C161="",D161=""),"",IFERROR(C161*INDEX(UnidadesFactor,MATCH(D161,Unidades,0)),""))</f>
        <v/>
      </c>
      <c r="F161" s="18" t="str">
        <f aca="true">IF(B161="","",IFERROR(INDEX(InsCosto,MATCH(B161,ListaInsumos,0)),""))</f>
        <v/>
      </c>
      <c r="G161" s="19" t="str">
        <f aca="false">IF(AND(A161="",B161=""),"",IF(H161="OK",E161*F161,0))</f>
        <v/>
      </c>
      <c r="H161" s="20" t="str">
        <f aca="true">IF(AND(A161="",B161=""),"",IF(ISNA(MATCH(B161,ListaInsumos,0)),"Insumo no está en Insumos",IF(C161="","Falta cantidad",IF(IFERROR(INDEX(UnidadesBase,MATCH(D161,Unidades,0)),"")&lt;&gt;INDEX(InsBase,MATCH(B161,ListaInsumos,0)),"Unidad incompatible",IF(F161="","Insumo sin compras","OK")))))</f>
        <v/>
      </c>
      <c r="I161" s="15"/>
    </row>
    <row r="162" customFormat="false" ht="15" hidden="false" customHeight="false" outlineLevel="0" collapsed="false">
      <c r="A162" s="15"/>
      <c r="B162" s="15"/>
      <c r="C162" s="27"/>
      <c r="D162" s="15"/>
      <c r="E162" s="25" t="str">
        <f aca="true">IF(OR(C162="",D162=""),"",IFERROR(C162*INDEX(UnidadesFactor,MATCH(D162,Unidades,0)),""))</f>
        <v/>
      </c>
      <c r="F162" s="18" t="str">
        <f aca="true">IF(B162="","",IFERROR(INDEX(InsCosto,MATCH(B162,ListaInsumos,0)),""))</f>
        <v/>
      </c>
      <c r="G162" s="19" t="str">
        <f aca="false">IF(AND(A162="",B162=""),"",IF(H162="OK",E162*F162,0))</f>
        <v/>
      </c>
      <c r="H162" s="20" t="str">
        <f aca="true">IF(AND(A162="",B162=""),"",IF(ISNA(MATCH(B162,ListaInsumos,0)),"Insumo no está en Insumos",IF(C162="","Falta cantidad",IF(IFERROR(INDEX(UnidadesBase,MATCH(D162,Unidades,0)),"")&lt;&gt;INDEX(InsBase,MATCH(B162,ListaInsumos,0)),"Unidad incompatible",IF(F162="","Insumo sin compras","OK")))))</f>
        <v/>
      </c>
      <c r="I162" s="15"/>
    </row>
    <row r="163" customFormat="false" ht="15" hidden="false" customHeight="false" outlineLevel="0" collapsed="false">
      <c r="A163" s="15"/>
      <c r="B163" s="15"/>
      <c r="C163" s="27"/>
      <c r="D163" s="15"/>
      <c r="E163" s="25" t="str">
        <f aca="true">IF(OR(C163="",D163=""),"",IFERROR(C163*INDEX(UnidadesFactor,MATCH(D163,Unidades,0)),""))</f>
        <v/>
      </c>
      <c r="F163" s="18" t="str">
        <f aca="true">IF(B163="","",IFERROR(INDEX(InsCosto,MATCH(B163,ListaInsumos,0)),""))</f>
        <v/>
      </c>
      <c r="G163" s="19" t="str">
        <f aca="false">IF(AND(A163="",B163=""),"",IF(H163="OK",E163*F163,0))</f>
        <v/>
      </c>
      <c r="H163" s="20" t="str">
        <f aca="true">IF(AND(A163="",B163=""),"",IF(ISNA(MATCH(B163,ListaInsumos,0)),"Insumo no está en Insumos",IF(C163="","Falta cantidad",IF(IFERROR(INDEX(UnidadesBase,MATCH(D163,Unidades,0)),"")&lt;&gt;INDEX(InsBase,MATCH(B163,ListaInsumos,0)),"Unidad incompatible",IF(F163="","Insumo sin compras","OK")))))</f>
        <v/>
      </c>
      <c r="I163" s="15"/>
    </row>
    <row r="164" customFormat="false" ht="15" hidden="false" customHeight="false" outlineLevel="0" collapsed="false">
      <c r="A164" s="15"/>
      <c r="B164" s="15"/>
      <c r="C164" s="27"/>
      <c r="D164" s="15"/>
      <c r="E164" s="25" t="str">
        <f aca="true">IF(OR(C164="",D164=""),"",IFERROR(C164*INDEX(UnidadesFactor,MATCH(D164,Unidades,0)),""))</f>
        <v/>
      </c>
      <c r="F164" s="18" t="str">
        <f aca="true">IF(B164="","",IFERROR(INDEX(InsCosto,MATCH(B164,ListaInsumos,0)),""))</f>
        <v/>
      </c>
      <c r="G164" s="19" t="str">
        <f aca="false">IF(AND(A164="",B164=""),"",IF(H164="OK",E164*F164,0))</f>
        <v/>
      </c>
      <c r="H164" s="20" t="str">
        <f aca="true">IF(AND(A164="",B164=""),"",IF(ISNA(MATCH(B164,ListaInsumos,0)),"Insumo no está en Insumos",IF(C164="","Falta cantidad",IF(IFERROR(INDEX(UnidadesBase,MATCH(D164,Unidades,0)),"")&lt;&gt;INDEX(InsBase,MATCH(B164,ListaInsumos,0)),"Unidad incompatible",IF(F164="","Insumo sin compras","OK")))))</f>
        <v/>
      </c>
      <c r="I164" s="15"/>
    </row>
    <row r="165" customFormat="false" ht="15" hidden="false" customHeight="false" outlineLevel="0" collapsed="false">
      <c r="A165" s="15"/>
      <c r="B165" s="15"/>
      <c r="C165" s="27"/>
      <c r="D165" s="15"/>
      <c r="E165" s="25" t="str">
        <f aca="true">IF(OR(C165="",D165=""),"",IFERROR(C165*INDEX(UnidadesFactor,MATCH(D165,Unidades,0)),""))</f>
        <v/>
      </c>
      <c r="F165" s="18" t="str">
        <f aca="true">IF(B165="","",IFERROR(INDEX(InsCosto,MATCH(B165,ListaInsumos,0)),""))</f>
        <v/>
      </c>
      <c r="G165" s="19" t="str">
        <f aca="false">IF(AND(A165="",B165=""),"",IF(H165="OK",E165*F165,0))</f>
        <v/>
      </c>
      <c r="H165" s="20" t="str">
        <f aca="true">IF(AND(A165="",B165=""),"",IF(ISNA(MATCH(B165,ListaInsumos,0)),"Insumo no está en Insumos",IF(C165="","Falta cantidad",IF(IFERROR(INDEX(UnidadesBase,MATCH(D165,Unidades,0)),"")&lt;&gt;INDEX(InsBase,MATCH(B165,ListaInsumos,0)),"Unidad incompatible",IF(F165="","Insumo sin compras","OK")))))</f>
        <v/>
      </c>
      <c r="I165" s="15"/>
    </row>
    <row r="166" customFormat="false" ht="15" hidden="false" customHeight="false" outlineLevel="0" collapsed="false">
      <c r="A166" s="15"/>
      <c r="B166" s="15"/>
      <c r="C166" s="27"/>
      <c r="D166" s="15"/>
      <c r="E166" s="25" t="str">
        <f aca="true">IF(OR(C166="",D166=""),"",IFERROR(C166*INDEX(UnidadesFactor,MATCH(D166,Unidades,0)),""))</f>
        <v/>
      </c>
      <c r="F166" s="18" t="str">
        <f aca="true">IF(B166="","",IFERROR(INDEX(InsCosto,MATCH(B166,ListaInsumos,0)),""))</f>
        <v/>
      </c>
      <c r="G166" s="19" t="str">
        <f aca="false">IF(AND(A166="",B166=""),"",IF(H166="OK",E166*F166,0))</f>
        <v/>
      </c>
      <c r="H166" s="20" t="str">
        <f aca="true">IF(AND(A166="",B166=""),"",IF(ISNA(MATCH(B166,ListaInsumos,0)),"Insumo no está en Insumos",IF(C166="","Falta cantidad",IF(IFERROR(INDEX(UnidadesBase,MATCH(D166,Unidades,0)),"")&lt;&gt;INDEX(InsBase,MATCH(B166,ListaInsumos,0)),"Unidad incompatible",IF(F166="","Insumo sin compras","OK")))))</f>
        <v/>
      </c>
      <c r="I166" s="15"/>
    </row>
    <row r="167" customFormat="false" ht="15" hidden="false" customHeight="false" outlineLevel="0" collapsed="false">
      <c r="A167" s="15"/>
      <c r="B167" s="15"/>
      <c r="C167" s="27"/>
      <c r="D167" s="15"/>
      <c r="E167" s="25" t="str">
        <f aca="true">IF(OR(C167="",D167=""),"",IFERROR(C167*INDEX(UnidadesFactor,MATCH(D167,Unidades,0)),""))</f>
        <v/>
      </c>
      <c r="F167" s="18" t="str">
        <f aca="true">IF(B167="","",IFERROR(INDEX(InsCosto,MATCH(B167,ListaInsumos,0)),""))</f>
        <v/>
      </c>
      <c r="G167" s="19" t="str">
        <f aca="false">IF(AND(A167="",B167=""),"",IF(H167="OK",E167*F167,0))</f>
        <v/>
      </c>
      <c r="H167" s="20" t="str">
        <f aca="true">IF(AND(A167="",B167=""),"",IF(ISNA(MATCH(B167,ListaInsumos,0)),"Insumo no está en Insumos",IF(C167="","Falta cantidad",IF(IFERROR(INDEX(UnidadesBase,MATCH(D167,Unidades,0)),"")&lt;&gt;INDEX(InsBase,MATCH(B167,ListaInsumos,0)),"Unidad incompatible",IF(F167="","Insumo sin compras","OK")))))</f>
        <v/>
      </c>
      <c r="I167" s="15"/>
    </row>
    <row r="168" customFormat="false" ht="15" hidden="false" customHeight="false" outlineLevel="0" collapsed="false">
      <c r="A168" s="15"/>
      <c r="B168" s="15"/>
      <c r="C168" s="27"/>
      <c r="D168" s="15"/>
      <c r="E168" s="25" t="str">
        <f aca="true">IF(OR(C168="",D168=""),"",IFERROR(C168*INDEX(UnidadesFactor,MATCH(D168,Unidades,0)),""))</f>
        <v/>
      </c>
      <c r="F168" s="18" t="str">
        <f aca="true">IF(B168="","",IFERROR(INDEX(InsCosto,MATCH(B168,ListaInsumos,0)),""))</f>
        <v/>
      </c>
      <c r="G168" s="19" t="str">
        <f aca="false">IF(AND(A168="",B168=""),"",IF(H168="OK",E168*F168,0))</f>
        <v/>
      </c>
      <c r="H168" s="20" t="str">
        <f aca="true">IF(AND(A168="",B168=""),"",IF(ISNA(MATCH(B168,ListaInsumos,0)),"Insumo no está en Insumos",IF(C168="","Falta cantidad",IF(IFERROR(INDEX(UnidadesBase,MATCH(D168,Unidades,0)),"")&lt;&gt;INDEX(InsBase,MATCH(B168,ListaInsumos,0)),"Unidad incompatible",IF(F168="","Insumo sin compras","OK")))))</f>
        <v/>
      </c>
      <c r="I168" s="15"/>
    </row>
    <row r="169" customFormat="false" ht="15" hidden="false" customHeight="false" outlineLevel="0" collapsed="false">
      <c r="A169" s="15"/>
      <c r="B169" s="15"/>
      <c r="C169" s="27"/>
      <c r="D169" s="15"/>
      <c r="E169" s="25" t="str">
        <f aca="true">IF(OR(C169="",D169=""),"",IFERROR(C169*INDEX(UnidadesFactor,MATCH(D169,Unidades,0)),""))</f>
        <v/>
      </c>
      <c r="F169" s="18" t="str">
        <f aca="true">IF(B169="","",IFERROR(INDEX(InsCosto,MATCH(B169,ListaInsumos,0)),""))</f>
        <v/>
      </c>
      <c r="G169" s="19" t="str">
        <f aca="false">IF(AND(A169="",B169=""),"",IF(H169="OK",E169*F169,0))</f>
        <v/>
      </c>
      <c r="H169" s="20" t="str">
        <f aca="true">IF(AND(A169="",B169=""),"",IF(ISNA(MATCH(B169,ListaInsumos,0)),"Insumo no está en Insumos",IF(C169="","Falta cantidad",IF(IFERROR(INDEX(UnidadesBase,MATCH(D169,Unidades,0)),"")&lt;&gt;INDEX(InsBase,MATCH(B169,ListaInsumos,0)),"Unidad incompatible",IF(F169="","Insumo sin compras","OK")))))</f>
        <v/>
      </c>
      <c r="I169" s="15"/>
    </row>
    <row r="170" customFormat="false" ht="15" hidden="false" customHeight="false" outlineLevel="0" collapsed="false">
      <c r="A170" s="15"/>
      <c r="B170" s="15"/>
      <c r="C170" s="27"/>
      <c r="D170" s="15"/>
      <c r="E170" s="25" t="str">
        <f aca="true">IF(OR(C170="",D170=""),"",IFERROR(C170*INDEX(UnidadesFactor,MATCH(D170,Unidades,0)),""))</f>
        <v/>
      </c>
      <c r="F170" s="18" t="str">
        <f aca="true">IF(B170="","",IFERROR(INDEX(InsCosto,MATCH(B170,ListaInsumos,0)),""))</f>
        <v/>
      </c>
      <c r="G170" s="19" t="str">
        <f aca="false">IF(AND(A170="",B170=""),"",IF(H170="OK",E170*F170,0))</f>
        <v/>
      </c>
      <c r="H170" s="20" t="str">
        <f aca="true">IF(AND(A170="",B170=""),"",IF(ISNA(MATCH(B170,ListaInsumos,0)),"Insumo no está en Insumos",IF(C170="","Falta cantidad",IF(IFERROR(INDEX(UnidadesBase,MATCH(D170,Unidades,0)),"")&lt;&gt;INDEX(InsBase,MATCH(B170,ListaInsumos,0)),"Unidad incompatible",IF(F170="","Insumo sin compras","OK")))))</f>
        <v/>
      </c>
      <c r="I170" s="15"/>
    </row>
    <row r="171" customFormat="false" ht="15" hidden="false" customHeight="false" outlineLevel="0" collapsed="false">
      <c r="A171" s="15"/>
      <c r="B171" s="15"/>
      <c r="C171" s="27"/>
      <c r="D171" s="15"/>
      <c r="E171" s="25" t="str">
        <f aca="true">IF(OR(C171="",D171=""),"",IFERROR(C171*INDEX(UnidadesFactor,MATCH(D171,Unidades,0)),""))</f>
        <v/>
      </c>
      <c r="F171" s="18" t="str">
        <f aca="true">IF(B171="","",IFERROR(INDEX(InsCosto,MATCH(B171,ListaInsumos,0)),""))</f>
        <v/>
      </c>
      <c r="G171" s="19" t="str">
        <f aca="false">IF(AND(A171="",B171=""),"",IF(H171="OK",E171*F171,0))</f>
        <v/>
      </c>
      <c r="H171" s="20" t="str">
        <f aca="true">IF(AND(A171="",B171=""),"",IF(ISNA(MATCH(B171,ListaInsumos,0)),"Insumo no está en Insumos",IF(C171="","Falta cantidad",IF(IFERROR(INDEX(UnidadesBase,MATCH(D171,Unidades,0)),"")&lt;&gt;INDEX(InsBase,MATCH(B171,ListaInsumos,0)),"Unidad incompatible",IF(F171="","Insumo sin compras","OK")))))</f>
        <v/>
      </c>
      <c r="I171" s="15"/>
    </row>
    <row r="172" customFormat="false" ht="15" hidden="false" customHeight="false" outlineLevel="0" collapsed="false">
      <c r="A172" s="15"/>
      <c r="B172" s="15"/>
      <c r="C172" s="27"/>
      <c r="D172" s="15"/>
      <c r="E172" s="25" t="str">
        <f aca="true">IF(OR(C172="",D172=""),"",IFERROR(C172*INDEX(UnidadesFactor,MATCH(D172,Unidades,0)),""))</f>
        <v/>
      </c>
      <c r="F172" s="18" t="str">
        <f aca="true">IF(B172="","",IFERROR(INDEX(InsCosto,MATCH(B172,ListaInsumos,0)),""))</f>
        <v/>
      </c>
      <c r="G172" s="19" t="str">
        <f aca="false">IF(AND(A172="",B172=""),"",IF(H172="OK",E172*F172,0))</f>
        <v/>
      </c>
      <c r="H172" s="20" t="str">
        <f aca="true">IF(AND(A172="",B172=""),"",IF(ISNA(MATCH(B172,ListaInsumos,0)),"Insumo no está en Insumos",IF(C172="","Falta cantidad",IF(IFERROR(INDEX(UnidadesBase,MATCH(D172,Unidades,0)),"")&lt;&gt;INDEX(InsBase,MATCH(B172,ListaInsumos,0)),"Unidad incompatible",IF(F172="","Insumo sin compras","OK")))))</f>
        <v/>
      </c>
      <c r="I172" s="15"/>
    </row>
    <row r="173" customFormat="false" ht="15" hidden="false" customHeight="false" outlineLevel="0" collapsed="false">
      <c r="A173" s="15"/>
      <c r="B173" s="15"/>
      <c r="C173" s="27"/>
      <c r="D173" s="15"/>
      <c r="E173" s="25" t="str">
        <f aca="true">IF(OR(C173="",D173=""),"",IFERROR(C173*INDEX(UnidadesFactor,MATCH(D173,Unidades,0)),""))</f>
        <v/>
      </c>
      <c r="F173" s="18" t="str">
        <f aca="true">IF(B173="","",IFERROR(INDEX(InsCosto,MATCH(B173,ListaInsumos,0)),""))</f>
        <v/>
      </c>
      <c r="G173" s="19" t="str">
        <f aca="false">IF(AND(A173="",B173=""),"",IF(H173="OK",E173*F173,0))</f>
        <v/>
      </c>
      <c r="H173" s="20" t="str">
        <f aca="true">IF(AND(A173="",B173=""),"",IF(ISNA(MATCH(B173,ListaInsumos,0)),"Insumo no está en Insumos",IF(C173="","Falta cantidad",IF(IFERROR(INDEX(UnidadesBase,MATCH(D173,Unidades,0)),"")&lt;&gt;INDEX(InsBase,MATCH(B173,ListaInsumos,0)),"Unidad incompatible",IF(F173="","Insumo sin compras","OK")))))</f>
        <v/>
      </c>
      <c r="I173" s="15"/>
    </row>
    <row r="174" customFormat="false" ht="15" hidden="false" customHeight="false" outlineLevel="0" collapsed="false">
      <c r="A174" s="15"/>
      <c r="B174" s="15"/>
      <c r="C174" s="27"/>
      <c r="D174" s="15"/>
      <c r="E174" s="25" t="str">
        <f aca="true">IF(OR(C174="",D174=""),"",IFERROR(C174*INDEX(UnidadesFactor,MATCH(D174,Unidades,0)),""))</f>
        <v/>
      </c>
      <c r="F174" s="18" t="str">
        <f aca="true">IF(B174="","",IFERROR(INDEX(InsCosto,MATCH(B174,ListaInsumos,0)),""))</f>
        <v/>
      </c>
      <c r="G174" s="19" t="str">
        <f aca="false">IF(AND(A174="",B174=""),"",IF(H174="OK",E174*F174,0))</f>
        <v/>
      </c>
      <c r="H174" s="20" t="str">
        <f aca="true">IF(AND(A174="",B174=""),"",IF(ISNA(MATCH(B174,ListaInsumos,0)),"Insumo no está en Insumos",IF(C174="","Falta cantidad",IF(IFERROR(INDEX(UnidadesBase,MATCH(D174,Unidades,0)),"")&lt;&gt;INDEX(InsBase,MATCH(B174,ListaInsumos,0)),"Unidad incompatible",IF(F174="","Insumo sin compras","OK")))))</f>
        <v/>
      </c>
      <c r="I174" s="15"/>
    </row>
    <row r="175" customFormat="false" ht="15" hidden="false" customHeight="false" outlineLevel="0" collapsed="false">
      <c r="A175" s="15"/>
      <c r="B175" s="15"/>
      <c r="C175" s="27"/>
      <c r="D175" s="15"/>
      <c r="E175" s="25" t="str">
        <f aca="true">IF(OR(C175="",D175=""),"",IFERROR(C175*INDEX(UnidadesFactor,MATCH(D175,Unidades,0)),""))</f>
        <v/>
      </c>
      <c r="F175" s="18" t="str">
        <f aca="true">IF(B175="","",IFERROR(INDEX(InsCosto,MATCH(B175,ListaInsumos,0)),""))</f>
        <v/>
      </c>
      <c r="G175" s="19" t="str">
        <f aca="false">IF(AND(A175="",B175=""),"",IF(H175="OK",E175*F175,0))</f>
        <v/>
      </c>
      <c r="H175" s="20" t="str">
        <f aca="true">IF(AND(A175="",B175=""),"",IF(ISNA(MATCH(B175,ListaInsumos,0)),"Insumo no está en Insumos",IF(C175="","Falta cantidad",IF(IFERROR(INDEX(UnidadesBase,MATCH(D175,Unidades,0)),"")&lt;&gt;INDEX(InsBase,MATCH(B175,ListaInsumos,0)),"Unidad incompatible",IF(F175="","Insumo sin compras","OK")))))</f>
        <v/>
      </c>
      <c r="I175" s="15"/>
    </row>
    <row r="176" customFormat="false" ht="15" hidden="false" customHeight="false" outlineLevel="0" collapsed="false">
      <c r="A176" s="15"/>
      <c r="B176" s="15"/>
      <c r="C176" s="27"/>
      <c r="D176" s="15"/>
      <c r="E176" s="25" t="str">
        <f aca="true">IF(OR(C176="",D176=""),"",IFERROR(C176*INDEX(UnidadesFactor,MATCH(D176,Unidades,0)),""))</f>
        <v/>
      </c>
      <c r="F176" s="18" t="str">
        <f aca="true">IF(B176="","",IFERROR(INDEX(InsCosto,MATCH(B176,ListaInsumos,0)),""))</f>
        <v/>
      </c>
      <c r="G176" s="19" t="str">
        <f aca="false">IF(AND(A176="",B176=""),"",IF(H176="OK",E176*F176,0))</f>
        <v/>
      </c>
      <c r="H176" s="20" t="str">
        <f aca="true">IF(AND(A176="",B176=""),"",IF(ISNA(MATCH(B176,ListaInsumos,0)),"Insumo no está en Insumos",IF(C176="","Falta cantidad",IF(IFERROR(INDEX(UnidadesBase,MATCH(D176,Unidades,0)),"")&lt;&gt;INDEX(InsBase,MATCH(B176,ListaInsumos,0)),"Unidad incompatible",IF(F176="","Insumo sin compras","OK")))))</f>
        <v/>
      </c>
      <c r="I176" s="15"/>
    </row>
    <row r="177" customFormat="false" ht="15" hidden="false" customHeight="false" outlineLevel="0" collapsed="false">
      <c r="A177" s="15"/>
      <c r="B177" s="15"/>
      <c r="C177" s="27"/>
      <c r="D177" s="15"/>
      <c r="E177" s="25" t="str">
        <f aca="true">IF(OR(C177="",D177=""),"",IFERROR(C177*INDEX(UnidadesFactor,MATCH(D177,Unidades,0)),""))</f>
        <v/>
      </c>
      <c r="F177" s="18" t="str">
        <f aca="true">IF(B177="","",IFERROR(INDEX(InsCosto,MATCH(B177,ListaInsumos,0)),""))</f>
        <v/>
      </c>
      <c r="G177" s="19" t="str">
        <f aca="false">IF(AND(A177="",B177=""),"",IF(H177="OK",E177*F177,0))</f>
        <v/>
      </c>
      <c r="H177" s="20" t="str">
        <f aca="true">IF(AND(A177="",B177=""),"",IF(ISNA(MATCH(B177,ListaInsumos,0)),"Insumo no está en Insumos",IF(C177="","Falta cantidad",IF(IFERROR(INDEX(UnidadesBase,MATCH(D177,Unidades,0)),"")&lt;&gt;INDEX(InsBase,MATCH(B177,ListaInsumos,0)),"Unidad incompatible",IF(F177="","Insumo sin compras","OK")))))</f>
        <v/>
      </c>
      <c r="I177" s="15"/>
    </row>
    <row r="178" customFormat="false" ht="15" hidden="false" customHeight="false" outlineLevel="0" collapsed="false">
      <c r="A178" s="15"/>
      <c r="B178" s="15"/>
      <c r="C178" s="27"/>
      <c r="D178" s="15"/>
      <c r="E178" s="25" t="str">
        <f aca="true">IF(OR(C178="",D178=""),"",IFERROR(C178*INDEX(UnidadesFactor,MATCH(D178,Unidades,0)),""))</f>
        <v/>
      </c>
      <c r="F178" s="18" t="str">
        <f aca="true">IF(B178="","",IFERROR(INDEX(InsCosto,MATCH(B178,ListaInsumos,0)),""))</f>
        <v/>
      </c>
      <c r="G178" s="19" t="str">
        <f aca="false">IF(AND(A178="",B178=""),"",IF(H178="OK",E178*F178,0))</f>
        <v/>
      </c>
      <c r="H178" s="20" t="str">
        <f aca="true">IF(AND(A178="",B178=""),"",IF(ISNA(MATCH(B178,ListaInsumos,0)),"Insumo no está en Insumos",IF(C178="","Falta cantidad",IF(IFERROR(INDEX(UnidadesBase,MATCH(D178,Unidades,0)),"")&lt;&gt;INDEX(InsBase,MATCH(B178,ListaInsumos,0)),"Unidad incompatible",IF(F178="","Insumo sin compras","OK")))))</f>
        <v/>
      </c>
      <c r="I178" s="15"/>
    </row>
    <row r="179" customFormat="false" ht="15" hidden="false" customHeight="false" outlineLevel="0" collapsed="false">
      <c r="A179" s="15"/>
      <c r="B179" s="15"/>
      <c r="C179" s="27"/>
      <c r="D179" s="15"/>
      <c r="E179" s="25" t="str">
        <f aca="true">IF(OR(C179="",D179=""),"",IFERROR(C179*INDEX(UnidadesFactor,MATCH(D179,Unidades,0)),""))</f>
        <v/>
      </c>
      <c r="F179" s="18" t="str">
        <f aca="true">IF(B179="","",IFERROR(INDEX(InsCosto,MATCH(B179,ListaInsumos,0)),""))</f>
        <v/>
      </c>
      <c r="G179" s="19" t="str">
        <f aca="false">IF(AND(A179="",B179=""),"",IF(H179="OK",E179*F179,0))</f>
        <v/>
      </c>
      <c r="H179" s="20" t="str">
        <f aca="true">IF(AND(A179="",B179=""),"",IF(ISNA(MATCH(B179,ListaInsumos,0)),"Insumo no está en Insumos",IF(C179="","Falta cantidad",IF(IFERROR(INDEX(UnidadesBase,MATCH(D179,Unidades,0)),"")&lt;&gt;INDEX(InsBase,MATCH(B179,ListaInsumos,0)),"Unidad incompatible",IF(F179="","Insumo sin compras","OK")))))</f>
        <v/>
      </c>
      <c r="I179" s="15"/>
    </row>
    <row r="180" customFormat="false" ht="15" hidden="false" customHeight="false" outlineLevel="0" collapsed="false">
      <c r="A180" s="15"/>
      <c r="B180" s="15"/>
      <c r="C180" s="27"/>
      <c r="D180" s="15"/>
      <c r="E180" s="25" t="str">
        <f aca="true">IF(OR(C180="",D180=""),"",IFERROR(C180*INDEX(UnidadesFactor,MATCH(D180,Unidades,0)),""))</f>
        <v/>
      </c>
      <c r="F180" s="18" t="str">
        <f aca="true">IF(B180="","",IFERROR(INDEX(InsCosto,MATCH(B180,ListaInsumos,0)),""))</f>
        <v/>
      </c>
      <c r="G180" s="19" t="str">
        <f aca="false">IF(AND(A180="",B180=""),"",IF(H180="OK",E180*F180,0))</f>
        <v/>
      </c>
      <c r="H180" s="20" t="str">
        <f aca="true">IF(AND(A180="",B180=""),"",IF(ISNA(MATCH(B180,ListaInsumos,0)),"Insumo no está en Insumos",IF(C180="","Falta cantidad",IF(IFERROR(INDEX(UnidadesBase,MATCH(D180,Unidades,0)),"")&lt;&gt;INDEX(InsBase,MATCH(B180,ListaInsumos,0)),"Unidad incompatible",IF(F180="","Insumo sin compras","OK")))))</f>
        <v/>
      </c>
      <c r="I180" s="15"/>
    </row>
    <row r="181" customFormat="false" ht="15" hidden="false" customHeight="false" outlineLevel="0" collapsed="false">
      <c r="A181" s="15"/>
      <c r="B181" s="15"/>
      <c r="C181" s="27"/>
      <c r="D181" s="15"/>
      <c r="E181" s="25" t="str">
        <f aca="true">IF(OR(C181="",D181=""),"",IFERROR(C181*INDEX(UnidadesFactor,MATCH(D181,Unidades,0)),""))</f>
        <v/>
      </c>
      <c r="F181" s="18" t="str">
        <f aca="true">IF(B181="","",IFERROR(INDEX(InsCosto,MATCH(B181,ListaInsumos,0)),""))</f>
        <v/>
      </c>
      <c r="G181" s="19" t="str">
        <f aca="false">IF(AND(A181="",B181=""),"",IF(H181="OK",E181*F181,0))</f>
        <v/>
      </c>
      <c r="H181" s="20" t="str">
        <f aca="true">IF(AND(A181="",B181=""),"",IF(ISNA(MATCH(B181,ListaInsumos,0)),"Insumo no está en Insumos",IF(C181="","Falta cantidad",IF(IFERROR(INDEX(UnidadesBase,MATCH(D181,Unidades,0)),"")&lt;&gt;INDEX(InsBase,MATCH(B181,ListaInsumos,0)),"Unidad incompatible",IF(F181="","Insumo sin compras","OK")))))</f>
        <v/>
      </c>
      <c r="I181" s="15"/>
    </row>
    <row r="182" customFormat="false" ht="15" hidden="false" customHeight="false" outlineLevel="0" collapsed="false">
      <c r="A182" s="15"/>
      <c r="B182" s="15"/>
      <c r="C182" s="27"/>
      <c r="D182" s="15"/>
      <c r="E182" s="25" t="str">
        <f aca="true">IF(OR(C182="",D182=""),"",IFERROR(C182*INDEX(UnidadesFactor,MATCH(D182,Unidades,0)),""))</f>
        <v/>
      </c>
      <c r="F182" s="18" t="str">
        <f aca="true">IF(B182="","",IFERROR(INDEX(InsCosto,MATCH(B182,ListaInsumos,0)),""))</f>
        <v/>
      </c>
      <c r="G182" s="19" t="str">
        <f aca="false">IF(AND(A182="",B182=""),"",IF(H182="OK",E182*F182,0))</f>
        <v/>
      </c>
      <c r="H182" s="20" t="str">
        <f aca="true">IF(AND(A182="",B182=""),"",IF(ISNA(MATCH(B182,ListaInsumos,0)),"Insumo no está en Insumos",IF(C182="","Falta cantidad",IF(IFERROR(INDEX(UnidadesBase,MATCH(D182,Unidades,0)),"")&lt;&gt;INDEX(InsBase,MATCH(B182,ListaInsumos,0)),"Unidad incompatible",IF(F182="","Insumo sin compras","OK")))))</f>
        <v/>
      </c>
      <c r="I182" s="15"/>
    </row>
    <row r="183" customFormat="false" ht="15" hidden="false" customHeight="false" outlineLevel="0" collapsed="false">
      <c r="A183" s="15"/>
      <c r="B183" s="15"/>
      <c r="C183" s="27"/>
      <c r="D183" s="15"/>
      <c r="E183" s="25" t="str">
        <f aca="true">IF(OR(C183="",D183=""),"",IFERROR(C183*INDEX(UnidadesFactor,MATCH(D183,Unidades,0)),""))</f>
        <v/>
      </c>
      <c r="F183" s="18" t="str">
        <f aca="true">IF(B183="","",IFERROR(INDEX(InsCosto,MATCH(B183,ListaInsumos,0)),""))</f>
        <v/>
      </c>
      <c r="G183" s="19" t="str">
        <f aca="false">IF(AND(A183="",B183=""),"",IF(H183="OK",E183*F183,0))</f>
        <v/>
      </c>
      <c r="H183" s="20" t="str">
        <f aca="true">IF(AND(A183="",B183=""),"",IF(ISNA(MATCH(B183,ListaInsumos,0)),"Insumo no está en Insumos",IF(C183="","Falta cantidad",IF(IFERROR(INDEX(UnidadesBase,MATCH(D183,Unidades,0)),"")&lt;&gt;INDEX(InsBase,MATCH(B183,ListaInsumos,0)),"Unidad incompatible",IF(F183="","Insumo sin compras","OK")))))</f>
        <v/>
      </c>
      <c r="I183" s="15"/>
    </row>
    <row r="184" customFormat="false" ht="15" hidden="false" customHeight="false" outlineLevel="0" collapsed="false">
      <c r="A184" s="15"/>
      <c r="B184" s="15"/>
      <c r="C184" s="27"/>
      <c r="D184" s="15"/>
      <c r="E184" s="25" t="str">
        <f aca="true">IF(OR(C184="",D184=""),"",IFERROR(C184*INDEX(UnidadesFactor,MATCH(D184,Unidades,0)),""))</f>
        <v/>
      </c>
      <c r="F184" s="18" t="str">
        <f aca="true">IF(B184="","",IFERROR(INDEX(InsCosto,MATCH(B184,ListaInsumos,0)),""))</f>
        <v/>
      </c>
      <c r="G184" s="19" t="str">
        <f aca="false">IF(AND(A184="",B184=""),"",IF(H184="OK",E184*F184,0))</f>
        <v/>
      </c>
      <c r="H184" s="20" t="str">
        <f aca="true">IF(AND(A184="",B184=""),"",IF(ISNA(MATCH(B184,ListaInsumos,0)),"Insumo no está en Insumos",IF(C184="","Falta cantidad",IF(IFERROR(INDEX(UnidadesBase,MATCH(D184,Unidades,0)),"")&lt;&gt;INDEX(InsBase,MATCH(B184,ListaInsumos,0)),"Unidad incompatible",IF(F184="","Insumo sin compras","OK")))))</f>
        <v/>
      </c>
      <c r="I184" s="15"/>
    </row>
    <row r="185" customFormat="false" ht="15" hidden="false" customHeight="false" outlineLevel="0" collapsed="false">
      <c r="A185" s="15"/>
      <c r="B185" s="15"/>
      <c r="C185" s="27"/>
      <c r="D185" s="15"/>
      <c r="E185" s="25" t="str">
        <f aca="true">IF(OR(C185="",D185=""),"",IFERROR(C185*INDEX(UnidadesFactor,MATCH(D185,Unidades,0)),""))</f>
        <v/>
      </c>
      <c r="F185" s="18" t="str">
        <f aca="true">IF(B185="","",IFERROR(INDEX(InsCosto,MATCH(B185,ListaInsumos,0)),""))</f>
        <v/>
      </c>
      <c r="G185" s="19" t="str">
        <f aca="false">IF(AND(A185="",B185=""),"",IF(H185="OK",E185*F185,0))</f>
        <v/>
      </c>
      <c r="H185" s="20" t="str">
        <f aca="true">IF(AND(A185="",B185=""),"",IF(ISNA(MATCH(B185,ListaInsumos,0)),"Insumo no está en Insumos",IF(C185="","Falta cantidad",IF(IFERROR(INDEX(UnidadesBase,MATCH(D185,Unidades,0)),"")&lt;&gt;INDEX(InsBase,MATCH(B185,ListaInsumos,0)),"Unidad incompatible",IF(F185="","Insumo sin compras","OK")))))</f>
        <v/>
      </c>
      <c r="I185" s="15"/>
    </row>
    <row r="186" customFormat="false" ht="15" hidden="false" customHeight="false" outlineLevel="0" collapsed="false">
      <c r="A186" s="15"/>
      <c r="B186" s="15"/>
      <c r="C186" s="27"/>
      <c r="D186" s="15"/>
      <c r="E186" s="25" t="str">
        <f aca="true">IF(OR(C186="",D186=""),"",IFERROR(C186*INDEX(UnidadesFactor,MATCH(D186,Unidades,0)),""))</f>
        <v/>
      </c>
      <c r="F186" s="18" t="str">
        <f aca="true">IF(B186="","",IFERROR(INDEX(InsCosto,MATCH(B186,ListaInsumos,0)),""))</f>
        <v/>
      </c>
      <c r="G186" s="19" t="str">
        <f aca="false">IF(AND(A186="",B186=""),"",IF(H186="OK",E186*F186,0))</f>
        <v/>
      </c>
      <c r="H186" s="20" t="str">
        <f aca="true">IF(AND(A186="",B186=""),"",IF(ISNA(MATCH(B186,ListaInsumos,0)),"Insumo no está en Insumos",IF(C186="","Falta cantidad",IF(IFERROR(INDEX(UnidadesBase,MATCH(D186,Unidades,0)),"")&lt;&gt;INDEX(InsBase,MATCH(B186,ListaInsumos,0)),"Unidad incompatible",IF(F186="","Insumo sin compras","OK")))))</f>
        <v/>
      </c>
      <c r="I186" s="15"/>
    </row>
    <row r="187" customFormat="false" ht="15" hidden="false" customHeight="false" outlineLevel="0" collapsed="false">
      <c r="A187" s="15"/>
      <c r="B187" s="15"/>
      <c r="C187" s="27"/>
      <c r="D187" s="15"/>
      <c r="E187" s="25" t="str">
        <f aca="true">IF(OR(C187="",D187=""),"",IFERROR(C187*INDEX(UnidadesFactor,MATCH(D187,Unidades,0)),""))</f>
        <v/>
      </c>
      <c r="F187" s="18" t="str">
        <f aca="true">IF(B187="","",IFERROR(INDEX(InsCosto,MATCH(B187,ListaInsumos,0)),""))</f>
        <v/>
      </c>
      <c r="G187" s="19" t="str">
        <f aca="false">IF(AND(A187="",B187=""),"",IF(H187="OK",E187*F187,0))</f>
        <v/>
      </c>
      <c r="H187" s="20" t="str">
        <f aca="true">IF(AND(A187="",B187=""),"",IF(ISNA(MATCH(B187,ListaInsumos,0)),"Insumo no está en Insumos",IF(C187="","Falta cantidad",IF(IFERROR(INDEX(UnidadesBase,MATCH(D187,Unidades,0)),"")&lt;&gt;INDEX(InsBase,MATCH(B187,ListaInsumos,0)),"Unidad incompatible",IF(F187="","Insumo sin compras","OK")))))</f>
        <v/>
      </c>
      <c r="I187" s="15"/>
    </row>
    <row r="188" customFormat="false" ht="15" hidden="false" customHeight="false" outlineLevel="0" collapsed="false">
      <c r="A188" s="15"/>
      <c r="B188" s="15"/>
      <c r="C188" s="27"/>
      <c r="D188" s="15"/>
      <c r="E188" s="25" t="str">
        <f aca="true">IF(OR(C188="",D188=""),"",IFERROR(C188*INDEX(UnidadesFactor,MATCH(D188,Unidades,0)),""))</f>
        <v/>
      </c>
      <c r="F188" s="18" t="str">
        <f aca="true">IF(B188="","",IFERROR(INDEX(InsCosto,MATCH(B188,ListaInsumos,0)),""))</f>
        <v/>
      </c>
      <c r="G188" s="19" t="str">
        <f aca="false">IF(AND(A188="",B188=""),"",IF(H188="OK",E188*F188,0))</f>
        <v/>
      </c>
      <c r="H188" s="20" t="str">
        <f aca="true">IF(AND(A188="",B188=""),"",IF(ISNA(MATCH(B188,ListaInsumos,0)),"Insumo no está en Insumos",IF(C188="","Falta cantidad",IF(IFERROR(INDEX(UnidadesBase,MATCH(D188,Unidades,0)),"")&lt;&gt;INDEX(InsBase,MATCH(B188,ListaInsumos,0)),"Unidad incompatible",IF(F188="","Insumo sin compras","OK")))))</f>
        <v/>
      </c>
      <c r="I188" s="15"/>
    </row>
    <row r="189" customFormat="false" ht="15" hidden="false" customHeight="false" outlineLevel="0" collapsed="false">
      <c r="A189" s="15"/>
      <c r="B189" s="15"/>
      <c r="C189" s="27"/>
      <c r="D189" s="15"/>
      <c r="E189" s="25" t="str">
        <f aca="true">IF(OR(C189="",D189=""),"",IFERROR(C189*INDEX(UnidadesFactor,MATCH(D189,Unidades,0)),""))</f>
        <v/>
      </c>
      <c r="F189" s="18" t="str">
        <f aca="true">IF(B189="","",IFERROR(INDEX(InsCosto,MATCH(B189,ListaInsumos,0)),""))</f>
        <v/>
      </c>
      <c r="G189" s="19" t="str">
        <f aca="false">IF(AND(A189="",B189=""),"",IF(H189="OK",E189*F189,0))</f>
        <v/>
      </c>
      <c r="H189" s="20" t="str">
        <f aca="true">IF(AND(A189="",B189=""),"",IF(ISNA(MATCH(B189,ListaInsumos,0)),"Insumo no está en Insumos",IF(C189="","Falta cantidad",IF(IFERROR(INDEX(UnidadesBase,MATCH(D189,Unidades,0)),"")&lt;&gt;INDEX(InsBase,MATCH(B189,ListaInsumos,0)),"Unidad incompatible",IF(F189="","Insumo sin compras","OK")))))</f>
        <v/>
      </c>
      <c r="I189" s="15"/>
    </row>
    <row r="190" customFormat="false" ht="15" hidden="false" customHeight="false" outlineLevel="0" collapsed="false">
      <c r="A190" s="15"/>
      <c r="B190" s="15"/>
      <c r="C190" s="27"/>
      <c r="D190" s="15"/>
      <c r="E190" s="25" t="str">
        <f aca="true">IF(OR(C190="",D190=""),"",IFERROR(C190*INDEX(UnidadesFactor,MATCH(D190,Unidades,0)),""))</f>
        <v/>
      </c>
      <c r="F190" s="18" t="str">
        <f aca="true">IF(B190="","",IFERROR(INDEX(InsCosto,MATCH(B190,ListaInsumos,0)),""))</f>
        <v/>
      </c>
      <c r="G190" s="19" t="str">
        <f aca="false">IF(AND(A190="",B190=""),"",IF(H190="OK",E190*F190,0))</f>
        <v/>
      </c>
      <c r="H190" s="20" t="str">
        <f aca="true">IF(AND(A190="",B190=""),"",IF(ISNA(MATCH(B190,ListaInsumos,0)),"Insumo no está en Insumos",IF(C190="","Falta cantidad",IF(IFERROR(INDEX(UnidadesBase,MATCH(D190,Unidades,0)),"")&lt;&gt;INDEX(InsBase,MATCH(B190,ListaInsumos,0)),"Unidad incompatible",IF(F190="","Insumo sin compras","OK")))))</f>
        <v/>
      </c>
      <c r="I190" s="15"/>
    </row>
    <row r="191" customFormat="false" ht="15" hidden="false" customHeight="false" outlineLevel="0" collapsed="false">
      <c r="A191" s="15"/>
      <c r="B191" s="15"/>
      <c r="C191" s="27"/>
      <c r="D191" s="15"/>
      <c r="E191" s="25" t="str">
        <f aca="true">IF(OR(C191="",D191=""),"",IFERROR(C191*INDEX(UnidadesFactor,MATCH(D191,Unidades,0)),""))</f>
        <v/>
      </c>
      <c r="F191" s="18" t="str">
        <f aca="true">IF(B191="","",IFERROR(INDEX(InsCosto,MATCH(B191,ListaInsumos,0)),""))</f>
        <v/>
      </c>
      <c r="G191" s="19" t="str">
        <f aca="false">IF(AND(A191="",B191=""),"",IF(H191="OK",E191*F191,0))</f>
        <v/>
      </c>
      <c r="H191" s="20" t="str">
        <f aca="true">IF(AND(A191="",B191=""),"",IF(ISNA(MATCH(B191,ListaInsumos,0)),"Insumo no está en Insumos",IF(C191="","Falta cantidad",IF(IFERROR(INDEX(UnidadesBase,MATCH(D191,Unidades,0)),"")&lt;&gt;INDEX(InsBase,MATCH(B191,ListaInsumos,0)),"Unidad incompatible",IF(F191="","Insumo sin compras","OK")))))</f>
        <v/>
      </c>
      <c r="I191" s="15"/>
    </row>
    <row r="192" customFormat="false" ht="15" hidden="false" customHeight="false" outlineLevel="0" collapsed="false">
      <c r="A192" s="15"/>
      <c r="B192" s="15"/>
      <c r="C192" s="27"/>
      <c r="D192" s="15"/>
      <c r="E192" s="25" t="str">
        <f aca="true">IF(OR(C192="",D192=""),"",IFERROR(C192*INDEX(UnidadesFactor,MATCH(D192,Unidades,0)),""))</f>
        <v/>
      </c>
      <c r="F192" s="18" t="str">
        <f aca="true">IF(B192="","",IFERROR(INDEX(InsCosto,MATCH(B192,ListaInsumos,0)),""))</f>
        <v/>
      </c>
      <c r="G192" s="19" t="str">
        <f aca="false">IF(AND(A192="",B192=""),"",IF(H192="OK",E192*F192,0))</f>
        <v/>
      </c>
      <c r="H192" s="20" t="str">
        <f aca="true">IF(AND(A192="",B192=""),"",IF(ISNA(MATCH(B192,ListaInsumos,0)),"Insumo no está en Insumos",IF(C192="","Falta cantidad",IF(IFERROR(INDEX(UnidadesBase,MATCH(D192,Unidades,0)),"")&lt;&gt;INDEX(InsBase,MATCH(B192,ListaInsumos,0)),"Unidad incompatible",IF(F192="","Insumo sin compras","OK")))))</f>
        <v/>
      </c>
      <c r="I192" s="15"/>
    </row>
    <row r="193" customFormat="false" ht="15" hidden="false" customHeight="false" outlineLevel="0" collapsed="false">
      <c r="A193" s="15"/>
      <c r="B193" s="15"/>
      <c r="C193" s="27"/>
      <c r="D193" s="15"/>
      <c r="E193" s="25" t="str">
        <f aca="true">IF(OR(C193="",D193=""),"",IFERROR(C193*INDEX(UnidadesFactor,MATCH(D193,Unidades,0)),""))</f>
        <v/>
      </c>
      <c r="F193" s="18" t="str">
        <f aca="true">IF(B193="","",IFERROR(INDEX(InsCosto,MATCH(B193,ListaInsumos,0)),""))</f>
        <v/>
      </c>
      <c r="G193" s="19" t="str">
        <f aca="false">IF(AND(A193="",B193=""),"",IF(H193="OK",E193*F193,0))</f>
        <v/>
      </c>
      <c r="H193" s="20" t="str">
        <f aca="true">IF(AND(A193="",B193=""),"",IF(ISNA(MATCH(B193,ListaInsumos,0)),"Insumo no está en Insumos",IF(C193="","Falta cantidad",IF(IFERROR(INDEX(UnidadesBase,MATCH(D193,Unidades,0)),"")&lt;&gt;INDEX(InsBase,MATCH(B193,ListaInsumos,0)),"Unidad incompatible",IF(F193="","Insumo sin compras","OK")))))</f>
        <v/>
      </c>
      <c r="I193" s="15"/>
    </row>
    <row r="194" customFormat="false" ht="15" hidden="false" customHeight="false" outlineLevel="0" collapsed="false">
      <c r="A194" s="15"/>
      <c r="B194" s="15"/>
      <c r="C194" s="27"/>
      <c r="D194" s="15"/>
      <c r="E194" s="25" t="str">
        <f aca="true">IF(OR(C194="",D194=""),"",IFERROR(C194*INDEX(UnidadesFactor,MATCH(D194,Unidades,0)),""))</f>
        <v/>
      </c>
      <c r="F194" s="18" t="str">
        <f aca="true">IF(B194="","",IFERROR(INDEX(InsCosto,MATCH(B194,ListaInsumos,0)),""))</f>
        <v/>
      </c>
      <c r="G194" s="19" t="str">
        <f aca="false">IF(AND(A194="",B194=""),"",IF(H194="OK",E194*F194,0))</f>
        <v/>
      </c>
      <c r="H194" s="20" t="str">
        <f aca="true">IF(AND(A194="",B194=""),"",IF(ISNA(MATCH(B194,ListaInsumos,0)),"Insumo no está en Insumos",IF(C194="","Falta cantidad",IF(IFERROR(INDEX(UnidadesBase,MATCH(D194,Unidades,0)),"")&lt;&gt;INDEX(InsBase,MATCH(B194,ListaInsumos,0)),"Unidad incompatible",IF(F194="","Insumo sin compras","OK")))))</f>
        <v/>
      </c>
      <c r="I194" s="15"/>
    </row>
    <row r="195" customFormat="false" ht="15" hidden="false" customHeight="false" outlineLevel="0" collapsed="false">
      <c r="A195" s="15"/>
      <c r="B195" s="15"/>
      <c r="C195" s="27"/>
      <c r="D195" s="15"/>
      <c r="E195" s="25" t="str">
        <f aca="true">IF(OR(C195="",D195=""),"",IFERROR(C195*INDEX(UnidadesFactor,MATCH(D195,Unidades,0)),""))</f>
        <v/>
      </c>
      <c r="F195" s="18" t="str">
        <f aca="true">IF(B195="","",IFERROR(INDEX(InsCosto,MATCH(B195,ListaInsumos,0)),""))</f>
        <v/>
      </c>
      <c r="G195" s="19" t="str">
        <f aca="false">IF(AND(A195="",B195=""),"",IF(H195="OK",E195*F195,0))</f>
        <v/>
      </c>
      <c r="H195" s="20" t="str">
        <f aca="true">IF(AND(A195="",B195=""),"",IF(ISNA(MATCH(B195,ListaInsumos,0)),"Insumo no está en Insumos",IF(C195="","Falta cantidad",IF(IFERROR(INDEX(UnidadesBase,MATCH(D195,Unidades,0)),"")&lt;&gt;INDEX(InsBase,MATCH(B195,ListaInsumos,0)),"Unidad incompatible",IF(F195="","Insumo sin compras","OK")))))</f>
        <v/>
      </c>
      <c r="I195" s="15"/>
    </row>
    <row r="196" customFormat="false" ht="15" hidden="false" customHeight="false" outlineLevel="0" collapsed="false">
      <c r="A196" s="15"/>
      <c r="B196" s="15"/>
      <c r="C196" s="27"/>
      <c r="D196" s="15"/>
      <c r="E196" s="25" t="str">
        <f aca="true">IF(OR(C196="",D196=""),"",IFERROR(C196*INDEX(UnidadesFactor,MATCH(D196,Unidades,0)),""))</f>
        <v/>
      </c>
      <c r="F196" s="18" t="str">
        <f aca="true">IF(B196="","",IFERROR(INDEX(InsCosto,MATCH(B196,ListaInsumos,0)),""))</f>
        <v/>
      </c>
      <c r="G196" s="19" t="str">
        <f aca="false">IF(AND(A196="",B196=""),"",IF(H196="OK",E196*F196,0))</f>
        <v/>
      </c>
      <c r="H196" s="20" t="str">
        <f aca="true">IF(AND(A196="",B196=""),"",IF(ISNA(MATCH(B196,ListaInsumos,0)),"Insumo no está en Insumos",IF(C196="","Falta cantidad",IF(IFERROR(INDEX(UnidadesBase,MATCH(D196,Unidades,0)),"")&lt;&gt;INDEX(InsBase,MATCH(B196,ListaInsumos,0)),"Unidad incompatible",IF(F196="","Insumo sin compras","OK")))))</f>
        <v/>
      </c>
      <c r="I196" s="15"/>
    </row>
    <row r="197" customFormat="false" ht="15" hidden="false" customHeight="false" outlineLevel="0" collapsed="false">
      <c r="A197" s="15"/>
      <c r="B197" s="15"/>
      <c r="C197" s="27"/>
      <c r="D197" s="15"/>
      <c r="E197" s="25" t="str">
        <f aca="true">IF(OR(C197="",D197=""),"",IFERROR(C197*INDEX(UnidadesFactor,MATCH(D197,Unidades,0)),""))</f>
        <v/>
      </c>
      <c r="F197" s="18" t="str">
        <f aca="true">IF(B197="","",IFERROR(INDEX(InsCosto,MATCH(B197,ListaInsumos,0)),""))</f>
        <v/>
      </c>
      <c r="G197" s="19" t="str">
        <f aca="false">IF(AND(A197="",B197=""),"",IF(H197="OK",E197*F197,0))</f>
        <v/>
      </c>
      <c r="H197" s="20" t="str">
        <f aca="true">IF(AND(A197="",B197=""),"",IF(ISNA(MATCH(B197,ListaInsumos,0)),"Insumo no está en Insumos",IF(C197="","Falta cantidad",IF(IFERROR(INDEX(UnidadesBase,MATCH(D197,Unidades,0)),"")&lt;&gt;INDEX(InsBase,MATCH(B197,ListaInsumos,0)),"Unidad incompatible",IF(F197="","Insumo sin compras","OK")))))</f>
        <v/>
      </c>
      <c r="I197" s="15"/>
    </row>
    <row r="198" customFormat="false" ht="15" hidden="false" customHeight="false" outlineLevel="0" collapsed="false">
      <c r="A198" s="15"/>
      <c r="B198" s="15"/>
      <c r="C198" s="27"/>
      <c r="D198" s="15"/>
      <c r="E198" s="25" t="str">
        <f aca="true">IF(OR(C198="",D198=""),"",IFERROR(C198*INDEX(UnidadesFactor,MATCH(D198,Unidades,0)),""))</f>
        <v/>
      </c>
      <c r="F198" s="18" t="str">
        <f aca="true">IF(B198="","",IFERROR(INDEX(InsCosto,MATCH(B198,ListaInsumos,0)),""))</f>
        <v/>
      </c>
      <c r="G198" s="19" t="str">
        <f aca="false">IF(AND(A198="",B198=""),"",IF(H198="OK",E198*F198,0))</f>
        <v/>
      </c>
      <c r="H198" s="20" t="str">
        <f aca="true">IF(AND(A198="",B198=""),"",IF(ISNA(MATCH(B198,ListaInsumos,0)),"Insumo no está en Insumos",IF(C198="","Falta cantidad",IF(IFERROR(INDEX(UnidadesBase,MATCH(D198,Unidades,0)),"")&lt;&gt;INDEX(InsBase,MATCH(B198,ListaInsumos,0)),"Unidad incompatible",IF(F198="","Insumo sin compras","OK")))))</f>
        <v/>
      </c>
      <c r="I198" s="15"/>
    </row>
    <row r="199" customFormat="false" ht="15" hidden="false" customHeight="false" outlineLevel="0" collapsed="false">
      <c r="A199" s="15"/>
      <c r="B199" s="15"/>
      <c r="C199" s="27"/>
      <c r="D199" s="15"/>
      <c r="E199" s="25" t="str">
        <f aca="true">IF(OR(C199="",D199=""),"",IFERROR(C199*INDEX(UnidadesFactor,MATCH(D199,Unidades,0)),""))</f>
        <v/>
      </c>
      <c r="F199" s="18" t="str">
        <f aca="true">IF(B199="","",IFERROR(INDEX(InsCosto,MATCH(B199,ListaInsumos,0)),""))</f>
        <v/>
      </c>
      <c r="G199" s="19" t="str">
        <f aca="false">IF(AND(A199="",B199=""),"",IF(H199="OK",E199*F199,0))</f>
        <v/>
      </c>
      <c r="H199" s="20" t="str">
        <f aca="true">IF(AND(A199="",B199=""),"",IF(ISNA(MATCH(B199,ListaInsumos,0)),"Insumo no está en Insumos",IF(C199="","Falta cantidad",IF(IFERROR(INDEX(UnidadesBase,MATCH(D199,Unidades,0)),"")&lt;&gt;INDEX(InsBase,MATCH(B199,ListaInsumos,0)),"Unidad incompatible",IF(F199="","Insumo sin compras","OK")))))</f>
        <v/>
      </c>
      <c r="I199" s="15"/>
    </row>
    <row r="200" customFormat="false" ht="15" hidden="false" customHeight="false" outlineLevel="0" collapsed="false">
      <c r="A200" s="15"/>
      <c r="B200" s="15"/>
      <c r="C200" s="27"/>
      <c r="D200" s="15"/>
      <c r="E200" s="25" t="str">
        <f aca="true">IF(OR(C200="",D200=""),"",IFERROR(C200*INDEX(UnidadesFactor,MATCH(D200,Unidades,0)),""))</f>
        <v/>
      </c>
      <c r="F200" s="18" t="str">
        <f aca="true">IF(B200="","",IFERROR(INDEX(InsCosto,MATCH(B200,ListaInsumos,0)),""))</f>
        <v/>
      </c>
      <c r="G200" s="19" t="str">
        <f aca="false">IF(AND(A200="",B200=""),"",IF(H200="OK",E200*F200,0))</f>
        <v/>
      </c>
      <c r="H200" s="20" t="str">
        <f aca="true">IF(AND(A200="",B200=""),"",IF(ISNA(MATCH(B200,ListaInsumos,0)),"Insumo no está en Insumos",IF(C200="","Falta cantidad",IF(IFERROR(INDEX(UnidadesBase,MATCH(D200,Unidades,0)),"")&lt;&gt;INDEX(InsBase,MATCH(B200,ListaInsumos,0)),"Unidad incompatible",IF(F200="","Insumo sin compras","OK")))))</f>
        <v/>
      </c>
      <c r="I200" s="15"/>
    </row>
    <row r="201" customFormat="false" ht="15" hidden="false" customHeight="false" outlineLevel="0" collapsed="false">
      <c r="A201" s="15"/>
      <c r="B201" s="15"/>
      <c r="C201" s="27"/>
      <c r="D201" s="15"/>
      <c r="E201" s="25" t="str">
        <f aca="true">IF(OR(C201="",D201=""),"",IFERROR(C201*INDEX(UnidadesFactor,MATCH(D201,Unidades,0)),""))</f>
        <v/>
      </c>
      <c r="F201" s="18" t="str">
        <f aca="true">IF(B201="","",IFERROR(INDEX(InsCosto,MATCH(B201,ListaInsumos,0)),""))</f>
        <v/>
      </c>
      <c r="G201" s="19" t="str">
        <f aca="false">IF(AND(A201="",B201=""),"",IF(H201="OK",E201*F201,0))</f>
        <v/>
      </c>
      <c r="H201" s="20" t="str">
        <f aca="true">IF(AND(A201="",B201=""),"",IF(ISNA(MATCH(B201,ListaInsumos,0)),"Insumo no está en Insumos",IF(C201="","Falta cantidad",IF(IFERROR(INDEX(UnidadesBase,MATCH(D201,Unidades,0)),"")&lt;&gt;INDEX(InsBase,MATCH(B201,ListaInsumos,0)),"Unidad incompatible",IF(F201="","Insumo sin compras","OK")))))</f>
        <v/>
      </c>
      <c r="I201" s="15"/>
    </row>
    <row r="202" customFormat="false" ht="15" hidden="false" customHeight="false" outlineLevel="0" collapsed="false">
      <c r="A202" s="15"/>
      <c r="B202" s="15"/>
      <c r="C202" s="27"/>
      <c r="D202" s="15"/>
      <c r="E202" s="25" t="str">
        <f aca="true">IF(OR(C202="",D202=""),"",IFERROR(C202*INDEX(UnidadesFactor,MATCH(D202,Unidades,0)),""))</f>
        <v/>
      </c>
      <c r="F202" s="18" t="str">
        <f aca="true">IF(B202="","",IFERROR(INDEX(InsCosto,MATCH(B202,ListaInsumos,0)),""))</f>
        <v/>
      </c>
      <c r="G202" s="19" t="str">
        <f aca="false">IF(AND(A202="",B202=""),"",IF(H202="OK",E202*F202,0))</f>
        <v/>
      </c>
      <c r="H202" s="20" t="str">
        <f aca="true">IF(AND(A202="",B202=""),"",IF(ISNA(MATCH(B202,ListaInsumos,0)),"Insumo no está en Insumos",IF(C202="","Falta cantidad",IF(IFERROR(INDEX(UnidadesBase,MATCH(D202,Unidades,0)),"")&lt;&gt;INDEX(InsBase,MATCH(B202,ListaInsumos,0)),"Unidad incompatible",IF(F202="","Insumo sin compras","OK")))))</f>
        <v/>
      </c>
      <c r="I202" s="15"/>
    </row>
    <row r="203" customFormat="false" ht="15" hidden="false" customHeight="false" outlineLevel="0" collapsed="false">
      <c r="A203" s="15"/>
      <c r="B203" s="15"/>
      <c r="C203" s="27"/>
      <c r="D203" s="15"/>
      <c r="E203" s="25" t="str">
        <f aca="true">IF(OR(C203="",D203=""),"",IFERROR(C203*INDEX(UnidadesFactor,MATCH(D203,Unidades,0)),""))</f>
        <v/>
      </c>
      <c r="F203" s="18" t="str">
        <f aca="true">IF(B203="","",IFERROR(INDEX(InsCosto,MATCH(B203,ListaInsumos,0)),""))</f>
        <v/>
      </c>
      <c r="G203" s="19" t="str">
        <f aca="false">IF(AND(A203="",B203=""),"",IF(H203="OK",E203*F203,0))</f>
        <v/>
      </c>
      <c r="H203" s="20" t="str">
        <f aca="true">IF(AND(A203="",B203=""),"",IF(ISNA(MATCH(B203,ListaInsumos,0)),"Insumo no está en Insumos",IF(C203="","Falta cantidad",IF(IFERROR(INDEX(UnidadesBase,MATCH(D203,Unidades,0)),"")&lt;&gt;INDEX(InsBase,MATCH(B203,ListaInsumos,0)),"Unidad incompatible",IF(F203="","Insumo sin compras","OK")))))</f>
        <v/>
      </c>
      <c r="I203" s="15"/>
    </row>
    <row r="204" customFormat="false" ht="15" hidden="false" customHeight="false" outlineLevel="0" collapsed="false">
      <c r="A204" s="15"/>
      <c r="B204" s="15"/>
      <c r="C204" s="27"/>
      <c r="D204" s="15"/>
      <c r="E204" s="25" t="str">
        <f aca="true">IF(OR(C204="",D204=""),"",IFERROR(C204*INDEX(UnidadesFactor,MATCH(D204,Unidades,0)),""))</f>
        <v/>
      </c>
      <c r="F204" s="18" t="str">
        <f aca="true">IF(B204="","",IFERROR(INDEX(InsCosto,MATCH(B204,ListaInsumos,0)),""))</f>
        <v/>
      </c>
      <c r="G204" s="19" t="str">
        <f aca="false">IF(AND(A204="",B204=""),"",IF(H204="OK",E204*F204,0))</f>
        <v/>
      </c>
      <c r="H204" s="20" t="str">
        <f aca="true">IF(AND(A204="",B204=""),"",IF(ISNA(MATCH(B204,ListaInsumos,0)),"Insumo no está en Insumos",IF(C204="","Falta cantidad",IF(IFERROR(INDEX(UnidadesBase,MATCH(D204,Unidades,0)),"")&lt;&gt;INDEX(InsBase,MATCH(B204,ListaInsumos,0)),"Unidad incompatible",IF(F204="","Insumo sin compras","OK")))))</f>
        <v/>
      </c>
      <c r="I204" s="15"/>
    </row>
    <row r="205" customFormat="false" ht="15" hidden="false" customHeight="false" outlineLevel="0" collapsed="false">
      <c r="A205" s="15"/>
      <c r="B205" s="15"/>
      <c r="C205" s="27"/>
      <c r="D205" s="15"/>
      <c r="E205" s="25" t="str">
        <f aca="true">IF(OR(C205="",D205=""),"",IFERROR(C205*INDEX(UnidadesFactor,MATCH(D205,Unidades,0)),""))</f>
        <v/>
      </c>
      <c r="F205" s="18" t="str">
        <f aca="true">IF(B205="","",IFERROR(INDEX(InsCosto,MATCH(B205,ListaInsumos,0)),""))</f>
        <v/>
      </c>
      <c r="G205" s="19" t="str">
        <f aca="false">IF(AND(A205="",B205=""),"",IF(H205="OK",E205*F205,0))</f>
        <v/>
      </c>
      <c r="H205" s="20" t="str">
        <f aca="true">IF(AND(A205="",B205=""),"",IF(ISNA(MATCH(B205,ListaInsumos,0)),"Insumo no está en Insumos",IF(C205="","Falta cantidad",IF(IFERROR(INDEX(UnidadesBase,MATCH(D205,Unidades,0)),"")&lt;&gt;INDEX(InsBase,MATCH(B205,ListaInsumos,0)),"Unidad incompatible",IF(F205="","Insumo sin compras","OK")))))</f>
        <v/>
      </c>
      <c r="I205" s="15"/>
    </row>
    <row r="206" customFormat="false" ht="15" hidden="false" customHeight="false" outlineLevel="0" collapsed="false">
      <c r="A206" s="15"/>
      <c r="B206" s="15"/>
      <c r="C206" s="27"/>
      <c r="D206" s="15"/>
      <c r="E206" s="25" t="str">
        <f aca="true">IF(OR(C206="",D206=""),"",IFERROR(C206*INDEX(UnidadesFactor,MATCH(D206,Unidades,0)),""))</f>
        <v/>
      </c>
      <c r="F206" s="18" t="str">
        <f aca="true">IF(B206="","",IFERROR(INDEX(InsCosto,MATCH(B206,ListaInsumos,0)),""))</f>
        <v/>
      </c>
      <c r="G206" s="19" t="str">
        <f aca="false">IF(AND(A206="",B206=""),"",IF(H206="OK",E206*F206,0))</f>
        <v/>
      </c>
      <c r="H206" s="20" t="str">
        <f aca="true">IF(AND(A206="",B206=""),"",IF(ISNA(MATCH(B206,ListaInsumos,0)),"Insumo no está en Insumos",IF(C206="","Falta cantidad",IF(IFERROR(INDEX(UnidadesBase,MATCH(D206,Unidades,0)),"")&lt;&gt;INDEX(InsBase,MATCH(B206,ListaInsumos,0)),"Unidad incompatible",IF(F206="","Insumo sin compras","OK")))))</f>
        <v/>
      </c>
      <c r="I206" s="15"/>
    </row>
    <row r="207" customFormat="false" ht="15" hidden="false" customHeight="false" outlineLevel="0" collapsed="false">
      <c r="A207" s="15"/>
      <c r="B207" s="15"/>
      <c r="C207" s="27"/>
      <c r="D207" s="15"/>
      <c r="E207" s="25" t="str">
        <f aca="true">IF(OR(C207="",D207=""),"",IFERROR(C207*INDEX(UnidadesFactor,MATCH(D207,Unidades,0)),""))</f>
        <v/>
      </c>
      <c r="F207" s="18" t="str">
        <f aca="true">IF(B207="","",IFERROR(INDEX(InsCosto,MATCH(B207,ListaInsumos,0)),""))</f>
        <v/>
      </c>
      <c r="G207" s="19" t="str">
        <f aca="false">IF(AND(A207="",B207=""),"",IF(H207="OK",E207*F207,0))</f>
        <v/>
      </c>
      <c r="H207" s="20" t="str">
        <f aca="true">IF(AND(A207="",B207=""),"",IF(ISNA(MATCH(B207,ListaInsumos,0)),"Insumo no está en Insumos",IF(C207="","Falta cantidad",IF(IFERROR(INDEX(UnidadesBase,MATCH(D207,Unidades,0)),"")&lt;&gt;INDEX(InsBase,MATCH(B207,ListaInsumos,0)),"Unidad incompatible",IF(F207="","Insumo sin compras","OK")))))</f>
        <v/>
      </c>
      <c r="I207" s="15"/>
    </row>
    <row r="208" customFormat="false" ht="15" hidden="false" customHeight="false" outlineLevel="0" collapsed="false">
      <c r="A208" s="15"/>
      <c r="B208" s="15"/>
      <c r="C208" s="27"/>
      <c r="D208" s="15"/>
      <c r="E208" s="25" t="str">
        <f aca="true">IF(OR(C208="",D208=""),"",IFERROR(C208*INDEX(UnidadesFactor,MATCH(D208,Unidades,0)),""))</f>
        <v/>
      </c>
      <c r="F208" s="18" t="str">
        <f aca="true">IF(B208="","",IFERROR(INDEX(InsCosto,MATCH(B208,ListaInsumos,0)),""))</f>
        <v/>
      </c>
      <c r="G208" s="19" t="str">
        <f aca="false">IF(AND(A208="",B208=""),"",IF(H208="OK",E208*F208,0))</f>
        <v/>
      </c>
      <c r="H208" s="20" t="str">
        <f aca="true">IF(AND(A208="",B208=""),"",IF(ISNA(MATCH(B208,ListaInsumos,0)),"Insumo no está en Insumos",IF(C208="","Falta cantidad",IF(IFERROR(INDEX(UnidadesBase,MATCH(D208,Unidades,0)),"")&lt;&gt;INDEX(InsBase,MATCH(B208,ListaInsumos,0)),"Unidad incompatible",IF(F208="","Insumo sin compras","OK")))))</f>
        <v/>
      </c>
      <c r="I208" s="15"/>
    </row>
    <row r="209" customFormat="false" ht="15" hidden="false" customHeight="false" outlineLevel="0" collapsed="false">
      <c r="A209" s="15"/>
      <c r="B209" s="15"/>
      <c r="C209" s="27"/>
      <c r="D209" s="15"/>
      <c r="E209" s="25" t="str">
        <f aca="true">IF(OR(C209="",D209=""),"",IFERROR(C209*INDEX(UnidadesFactor,MATCH(D209,Unidades,0)),""))</f>
        <v/>
      </c>
      <c r="F209" s="18" t="str">
        <f aca="true">IF(B209="","",IFERROR(INDEX(InsCosto,MATCH(B209,ListaInsumos,0)),""))</f>
        <v/>
      </c>
      <c r="G209" s="19" t="str">
        <f aca="false">IF(AND(A209="",B209=""),"",IF(H209="OK",E209*F209,0))</f>
        <v/>
      </c>
      <c r="H209" s="20" t="str">
        <f aca="true">IF(AND(A209="",B209=""),"",IF(ISNA(MATCH(B209,ListaInsumos,0)),"Insumo no está en Insumos",IF(C209="","Falta cantidad",IF(IFERROR(INDEX(UnidadesBase,MATCH(D209,Unidades,0)),"")&lt;&gt;INDEX(InsBase,MATCH(B209,ListaInsumos,0)),"Unidad incompatible",IF(F209="","Insumo sin compras","OK")))))</f>
        <v/>
      </c>
      <c r="I209" s="15"/>
    </row>
    <row r="210" customFormat="false" ht="15" hidden="false" customHeight="false" outlineLevel="0" collapsed="false">
      <c r="A210" s="15"/>
      <c r="B210" s="15"/>
      <c r="C210" s="27"/>
      <c r="D210" s="15"/>
      <c r="E210" s="25" t="str">
        <f aca="true">IF(OR(C210="",D210=""),"",IFERROR(C210*INDEX(UnidadesFactor,MATCH(D210,Unidades,0)),""))</f>
        <v/>
      </c>
      <c r="F210" s="18" t="str">
        <f aca="true">IF(B210="","",IFERROR(INDEX(InsCosto,MATCH(B210,ListaInsumos,0)),""))</f>
        <v/>
      </c>
      <c r="G210" s="19" t="str">
        <f aca="false">IF(AND(A210="",B210=""),"",IF(H210="OK",E210*F210,0))</f>
        <v/>
      </c>
      <c r="H210" s="20" t="str">
        <f aca="true">IF(AND(A210="",B210=""),"",IF(ISNA(MATCH(B210,ListaInsumos,0)),"Insumo no está en Insumos",IF(C210="","Falta cantidad",IF(IFERROR(INDEX(UnidadesBase,MATCH(D210,Unidades,0)),"")&lt;&gt;INDEX(InsBase,MATCH(B210,ListaInsumos,0)),"Unidad incompatible",IF(F210="","Insumo sin compras","OK")))))</f>
        <v/>
      </c>
      <c r="I210" s="15"/>
    </row>
    <row r="211" customFormat="false" ht="15" hidden="false" customHeight="false" outlineLevel="0" collapsed="false">
      <c r="A211" s="15"/>
      <c r="B211" s="15"/>
      <c r="C211" s="27"/>
      <c r="D211" s="15"/>
      <c r="E211" s="25" t="str">
        <f aca="true">IF(OR(C211="",D211=""),"",IFERROR(C211*INDEX(UnidadesFactor,MATCH(D211,Unidades,0)),""))</f>
        <v/>
      </c>
      <c r="F211" s="18" t="str">
        <f aca="true">IF(B211="","",IFERROR(INDEX(InsCosto,MATCH(B211,ListaInsumos,0)),""))</f>
        <v/>
      </c>
      <c r="G211" s="19" t="str">
        <f aca="false">IF(AND(A211="",B211=""),"",IF(H211="OK",E211*F211,0))</f>
        <v/>
      </c>
      <c r="H211" s="20" t="str">
        <f aca="true">IF(AND(A211="",B211=""),"",IF(ISNA(MATCH(B211,ListaInsumos,0)),"Insumo no está en Insumos",IF(C211="","Falta cantidad",IF(IFERROR(INDEX(UnidadesBase,MATCH(D211,Unidades,0)),"")&lt;&gt;INDEX(InsBase,MATCH(B211,ListaInsumos,0)),"Unidad incompatible",IF(F211="","Insumo sin compras","OK")))))</f>
        <v/>
      </c>
      <c r="I211" s="15"/>
    </row>
    <row r="212" customFormat="false" ht="15" hidden="false" customHeight="false" outlineLevel="0" collapsed="false">
      <c r="A212" s="15"/>
      <c r="B212" s="15"/>
      <c r="C212" s="27"/>
      <c r="D212" s="15"/>
      <c r="E212" s="25" t="str">
        <f aca="true">IF(OR(C212="",D212=""),"",IFERROR(C212*INDEX(UnidadesFactor,MATCH(D212,Unidades,0)),""))</f>
        <v/>
      </c>
      <c r="F212" s="18" t="str">
        <f aca="true">IF(B212="","",IFERROR(INDEX(InsCosto,MATCH(B212,ListaInsumos,0)),""))</f>
        <v/>
      </c>
      <c r="G212" s="19" t="str">
        <f aca="false">IF(AND(A212="",B212=""),"",IF(H212="OK",E212*F212,0))</f>
        <v/>
      </c>
      <c r="H212" s="20" t="str">
        <f aca="true">IF(AND(A212="",B212=""),"",IF(ISNA(MATCH(B212,ListaInsumos,0)),"Insumo no está en Insumos",IF(C212="","Falta cantidad",IF(IFERROR(INDEX(UnidadesBase,MATCH(D212,Unidades,0)),"")&lt;&gt;INDEX(InsBase,MATCH(B212,ListaInsumos,0)),"Unidad incompatible",IF(F212="","Insumo sin compras","OK")))))</f>
        <v/>
      </c>
      <c r="I212" s="15"/>
    </row>
    <row r="213" customFormat="false" ht="15" hidden="false" customHeight="false" outlineLevel="0" collapsed="false">
      <c r="A213" s="15"/>
      <c r="B213" s="15"/>
      <c r="C213" s="27"/>
      <c r="D213" s="15"/>
      <c r="E213" s="25" t="str">
        <f aca="true">IF(OR(C213="",D213=""),"",IFERROR(C213*INDEX(UnidadesFactor,MATCH(D213,Unidades,0)),""))</f>
        <v/>
      </c>
      <c r="F213" s="18" t="str">
        <f aca="true">IF(B213="","",IFERROR(INDEX(InsCosto,MATCH(B213,ListaInsumos,0)),""))</f>
        <v/>
      </c>
      <c r="G213" s="19" t="str">
        <f aca="false">IF(AND(A213="",B213=""),"",IF(H213="OK",E213*F213,0))</f>
        <v/>
      </c>
      <c r="H213" s="20" t="str">
        <f aca="true">IF(AND(A213="",B213=""),"",IF(ISNA(MATCH(B213,ListaInsumos,0)),"Insumo no está en Insumos",IF(C213="","Falta cantidad",IF(IFERROR(INDEX(UnidadesBase,MATCH(D213,Unidades,0)),"")&lt;&gt;INDEX(InsBase,MATCH(B213,ListaInsumos,0)),"Unidad incompatible",IF(F213="","Insumo sin compras","OK")))))</f>
        <v/>
      </c>
      <c r="I213" s="15"/>
    </row>
    <row r="214" customFormat="false" ht="15" hidden="false" customHeight="false" outlineLevel="0" collapsed="false">
      <c r="A214" s="15"/>
      <c r="B214" s="15"/>
      <c r="C214" s="27"/>
      <c r="D214" s="15"/>
      <c r="E214" s="25" t="str">
        <f aca="true">IF(OR(C214="",D214=""),"",IFERROR(C214*INDEX(UnidadesFactor,MATCH(D214,Unidades,0)),""))</f>
        <v/>
      </c>
      <c r="F214" s="18" t="str">
        <f aca="true">IF(B214="","",IFERROR(INDEX(InsCosto,MATCH(B214,ListaInsumos,0)),""))</f>
        <v/>
      </c>
      <c r="G214" s="19" t="str">
        <f aca="false">IF(AND(A214="",B214=""),"",IF(H214="OK",E214*F214,0))</f>
        <v/>
      </c>
      <c r="H214" s="20" t="str">
        <f aca="true">IF(AND(A214="",B214=""),"",IF(ISNA(MATCH(B214,ListaInsumos,0)),"Insumo no está en Insumos",IF(C214="","Falta cantidad",IF(IFERROR(INDEX(UnidadesBase,MATCH(D214,Unidades,0)),"")&lt;&gt;INDEX(InsBase,MATCH(B214,ListaInsumos,0)),"Unidad incompatible",IF(F214="","Insumo sin compras","OK")))))</f>
        <v/>
      </c>
      <c r="I214" s="15"/>
    </row>
    <row r="215" customFormat="false" ht="15" hidden="false" customHeight="false" outlineLevel="0" collapsed="false">
      <c r="A215" s="15"/>
      <c r="B215" s="15"/>
      <c r="C215" s="27"/>
      <c r="D215" s="15"/>
      <c r="E215" s="25" t="str">
        <f aca="true">IF(OR(C215="",D215=""),"",IFERROR(C215*INDEX(UnidadesFactor,MATCH(D215,Unidades,0)),""))</f>
        <v/>
      </c>
      <c r="F215" s="18" t="str">
        <f aca="true">IF(B215="","",IFERROR(INDEX(InsCosto,MATCH(B215,ListaInsumos,0)),""))</f>
        <v/>
      </c>
      <c r="G215" s="19" t="str">
        <f aca="false">IF(AND(A215="",B215=""),"",IF(H215="OK",E215*F215,0))</f>
        <v/>
      </c>
      <c r="H215" s="20" t="str">
        <f aca="true">IF(AND(A215="",B215=""),"",IF(ISNA(MATCH(B215,ListaInsumos,0)),"Insumo no está en Insumos",IF(C215="","Falta cantidad",IF(IFERROR(INDEX(UnidadesBase,MATCH(D215,Unidades,0)),"")&lt;&gt;INDEX(InsBase,MATCH(B215,ListaInsumos,0)),"Unidad incompatible",IF(F215="","Insumo sin compras","OK")))))</f>
        <v/>
      </c>
      <c r="I215" s="15"/>
    </row>
    <row r="216" customFormat="false" ht="15" hidden="false" customHeight="false" outlineLevel="0" collapsed="false">
      <c r="A216" s="15"/>
      <c r="B216" s="15"/>
      <c r="C216" s="27"/>
      <c r="D216" s="15"/>
      <c r="E216" s="25" t="str">
        <f aca="true">IF(OR(C216="",D216=""),"",IFERROR(C216*INDEX(UnidadesFactor,MATCH(D216,Unidades,0)),""))</f>
        <v/>
      </c>
      <c r="F216" s="18" t="str">
        <f aca="true">IF(B216="","",IFERROR(INDEX(InsCosto,MATCH(B216,ListaInsumos,0)),""))</f>
        <v/>
      </c>
      <c r="G216" s="19" t="str">
        <f aca="false">IF(AND(A216="",B216=""),"",IF(H216="OK",E216*F216,0))</f>
        <v/>
      </c>
      <c r="H216" s="20" t="str">
        <f aca="true">IF(AND(A216="",B216=""),"",IF(ISNA(MATCH(B216,ListaInsumos,0)),"Insumo no está en Insumos",IF(C216="","Falta cantidad",IF(IFERROR(INDEX(UnidadesBase,MATCH(D216,Unidades,0)),"")&lt;&gt;INDEX(InsBase,MATCH(B216,ListaInsumos,0)),"Unidad incompatible",IF(F216="","Insumo sin compras","OK")))))</f>
        <v/>
      </c>
      <c r="I216" s="15"/>
    </row>
    <row r="217" customFormat="false" ht="15" hidden="false" customHeight="false" outlineLevel="0" collapsed="false">
      <c r="A217" s="15"/>
      <c r="B217" s="15"/>
      <c r="C217" s="27"/>
      <c r="D217" s="15"/>
      <c r="E217" s="25" t="str">
        <f aca="true">IF(OR(C217="",D217=""),"",IFERROR(C217*INDEX(UnidadesFactor,MATCH(D217,Unidades,0)),""))</f>
        <v/>
      </c>
      <c r="F217" s="18" t="str">
        <f aca="true">IF(B217="","",IFERROR(INDEX(InsCosto,MATCH(B217,ListaInsumos,0)),""))</f>
        <v/>
      </c>
      <c r="G217" s="19" t="str">
        <f aca="false">IF(AND(A217="",B217=""),"",IF(H217="OK",E217*F217,0))</f>
        <v/>
      </c>
      <c r="H217" s="20" t="str">
        <f aca="true">IF(AND(A217="",B217=""),"",IF(ISNA(MATCH(B217,ListaInsumos,0)),"Insumo no está en Insumos",IF(C217="","Falta cantidad",IF(IFERROR(INDEX(UnidadesBase,MATCH(D217,Unidades,0)),"")&lt;&gt;INDEX(InsBase,MATCH(B217,ListaInsumos,0)),"Unidad incompatible",IF(F217="","Insumo sin compras","OK")))))</f>
        <v/>
      </c>
      <c r="I217" s="15"/>
    </row>
    <row r="218" customFormat="false" ht="15" hidden="false" customHeight="false" outlineLevel="0" collapsed="false">
      <c r="A218" s="15"/>
      <c r="B218" s="15"/>
      <c r="C218" s="27"/>
      <c r="D218" s="15"/>
      <c r="E218" s="25" t="str">
        <f aca="true">IF(OR(C218="",D218=""),"",IFERROR(C218*INDEX(UnidadesFactor,MATCH(D218,Unidades,0)),""))</f>
        <v/>
      </c>
      <c r="F218" s="18" t="str">
        <f aca="true">IF(B218="","",IFERROR(INDEX(InsCosto,MATCH(B218,ListaInsumos,0)),""))</f>
        <v/>
      </c>
      <c r="G218" s="19" t="str">
        <f aca="false">IF(AND(A218="",B218=""),"",IF(H218="OK",E218*F218,0))</f>
        <v/>
      </c>
      <c r="H218" s="20" t="str">
        <f aca="true">IF(AND(A218="",B218=""),"",IF(ISNA(MATCH(B218,ListaInsumos,0)),"Insumo no está en Insumos",IF(C218="","Falta cantidad",IF(IFERROR(INDEX(UnidadesBase,MATCH(D218,Unidades,0)),"")&lt;&gt;INDEX(InsBase,MATCH(B218,ListaInsumos,0)),"Unidad incompatible",IF(F218="","Insumo sin compras","OK")))))</f>
        <v/>
      </c>
      <c r="I218" s="15"/>
    </row>
    <row r="219" customFormat="false" ht="15" hidden="false" customHeight="false" outlineLevel="0" collapsed="false">
      <c r="A219" s="15"/>
      <c r="B219" s="15"/>
      <c r="C219" s="27"/>
      <c r="D219" s="15"/>
      <c r="E219" s="25" t="str">
        <f aca="true">IF(OR(C219="",D219=""),"",IFERROR(C219*INDEX(UnidadesFactor,MATCH(D219,Unidades,0)),""))</f>
        <v/>
      </c>
      <c r="F219" s="18" t="str">
        <f aca="true">IF(B219="","",IFERROR(INDEX(InsCosto,MATCH(B219,ListaInsumos,0)),""))</f>
        <v/>
      </c>
      <c r="G219" s="19" t="str">
        <f aca="false">IF(AND(A219="",B219=""),"",IF(H219="OK",E219*F219,0))</f>
        <v/>
      </c>
      <c r="H219" s="20" t="str">
        <f aca="true">IF(AND(A219="",B219=""),"",IF(ISNA(MATCH(B219,ListaInsumos,0)),"Insumo no está en Insumos",IF(C219="","Falta cantidad",IF(IFERROR(INDEX(UnidadesBase,MATCH(D219,Unidades,0)),"")&lt;&gt;INDEX(InsBase,MATCH(B219,ListaInsumos,0)),"Unidad incompatible",IF(F219="","Insumo sin compras","OK")))))</f>
        <v/>
      </c>
      <c r="I219" s="15"/>
    </row>
    <row r="220" customFormat="false" ht="15" hidden="false" customHeight="false" outlineLevel="0" collapsed="false">
      <c r="A220" s="15"/>
      <c r="B220" s="15"/>
      <c r="C220" s="27"/>
      <c r="D220" s="15"/>
      <c r="E220" s="25" t="str">
        <f aca="true">IF(OR(C220="",D220=""),"",IFERROR(C220*INDEX(UnidadesFactor,MATCH(D220,Unidades,0)),""))</f>
        <v/>
      </c>
      <c r="F220" s="18" t="str">
        <f aca="true">IF(B220="","",IFERROR(INDEX(InsCosto,MATCH(B220,ListaInsumos,0)),""))</f>
        <v/>
      </c>
      <c r="G220" s="19" t="str">
        <f aca="false">IF(AND(A220="",B220=""),"",IF(H220="OK",E220*F220,0))</f>
        <v/>
      </c>
      <c r="H220" s="20" t="str">
        <f aca="true">IF(AND(A220="",B220=""),"",IF(ISNA(MATCH(B220,ListaInsumos,0)),"Insumo no está en Insumos",IF(C220="","Falta cantidad",IF(IFERROR(INDEX(UnidadesBase,MATCH(D220,Unidades,0)),"")&lt;&gt;INDEX(InsBase,MATCH(B220,ListaInsumos,0)),"Unidad incompatible",IF(F220="","Insumo sin compras","OK")))))</f>
        <v/>
      </c>
      <c r="I220" s="15"/>
    </row>
    <row r="221" customFormat="false" ht="15" hidden="false" customHeight="false" outlineLevel="0" collapsed="false">
      <c r="A221" s="15"/>
      <c r="B221" s="15"/>
      <c r="C221" s="27"/>
      <c r="D221" s="15"/>
      <c r="E221" s="25" t="str">
        <f aca="true">IF(OR(C221="",D221=""),"",IFERROR(C221*INDEX(UnidadesFactor,MATCH(D221,Unidades,0)),""))</f>
        <v/>
      </c>
      <c r="F221" s="18" t="str">
        <f aca="true">IF(B221="","",IFERROR(INDEX(InsCosto,MATCH(B221,ListaInsumos,0)),""))</f>
        <v/>
      </c>
      <c r="G221" s="19" t="str">
        <f aca="false">IF(AND(A221="",B221=""),"",IF(H221="OK",E221*F221,0))</f>
        <v/>
      </c>
      <c r="H221" s="20" t="str">
        <f aca="true">IF(AND(A221="",B221=""),"",IF(ISNA(MATCH(B221,ListaInsumos,0)),"Insumo no está en Insumos",IF(C221="","Falta cantidad",IF(IFERROR(INDEX(UnidadesBase,MATCH(D221,Unidades,0)),"")&lt;&gt;INDEX(InsBase,MATCH(B221,ListaInsumos,0)),"Unidad incompatible",IF(F221="","Insumo sin compras","OK")))))</f>
        <v/>
      </c>
      <c r="I221" s="15"/>
    </row>
    <row r="222" customFormat="false" ht="15" hidden="false" customHeight="false" outlineLevel="0" collapsed="false">
      <c r="A222" s="15"/>
      <c r="B222" s="15"/>
      <c r="C222" s="27"/>
      <c r="D222" s="15"/>
      <c r="E222" s="25" t="str">
        <f aca="true">IF(OR(C222="",D222=""),"",IFERROR(C222*INDEX(UnidadesFactor,MATCH(D222,Unidades,0)),""))</f>
        <v/>
      </c>
      <c r="F222" s="18" t="str">
        <f aca="true">IF(B222="","",IFERROR(INDEX(InsCosto,MATCH(B222,ListaInsumos,0)),""))</f>
        <v/>
      </c>
      <c r="G222" s="19" t="str">
        <f aca="false">IF(AND(A222="",B222=""),"",IF(H222="OK",E222*F222,0))</f>
        <v/>
      </c>
      <c r="H222" s="20" t="str">
        <f aca="true">IF(AND(A222="",B222=""),"",IF(ISNA(MATCH(B222,ListaInsumos,0)),"Insumo no está en Insumos",IF(C222="","Falta cantidad",IF(IFERROR(INDEX(UnidadesBase,MATCH(D222,Unidades,0)),"")&lt;&gt;INDEX(InsBase,MATCH(B222,ListaInsumos,0)),"Unidad incompatible",IF(F222="","Insumo sin compras","OK")))))</f>
        <v/>
      </c>
      <c r="I222" s="15"/>
    </row>
    <row r="223" customFormat="false" ht="15" hidden="false" customHeight="false" outlineLevel="0" collapsed="false">
      <c r="A223" s="15"/>
      <c r="B223" s="15"/>
      <c r="C223" s="27"/>
      <c r="D223" s="15"/>
      <c r="E223" s="25" t="str">
        <f aca="true">IF(OR(C223="",D223=""),"",IFERROR(C223*INDEX(UnidadesFactor,MATCH(D223,Unidades,0)),""))</f>
        <v/>
      </c>
      <c r="F223" s="18" t="str">
        <f aca="true">IF(B223="","",IFERROR(INDEX(InsCosto,MATCH(B223,ListaInsumos,0)),""))</f>
        <v/>
      </c>
      <c r="G223" s="19" t="str">
        <f aca="false">IF(AND(A223="",B223=""),"",IF(H223="OK",E223*F223,0))</f>
        <v/>
      </c>
      <c r="H223" s="20" t="str">
        <f aca="true">IF(AND(A223="",B223=""),"",IF(ISNA(MATCH(B223,ListaInsumos,0)),"Insumo no está en Insumos",IF(C223="","Falta cantidad",IF(IFERROR(INDEX(UnidadesBase,MATCH(D223,Unidades,0)),"")&lt;&gt;INDEX(InsBase,MATCH(B223,ListaInsumos,0)),"Unidad incompatible",IF(F223="","Insumo sin compras","OK")))))</f>
        <v/>
      </c>
      <c r="I223" s="15"/>
    </row>
    <row r="224" customFormat="false" ht="15" hidden="false" customHeight="false" outlineLevel="0" collapsed="false">
      <c r="A224" s="15"/>
      <c r="B224" s="15"/>
      <c r="C224" s="27"/>
      <c r="D224" s="15"/>
      <c r="E224" s="25" t="str">
        <f aca="true">IF(OR(C224="",D224=""),"",IFERROR(C224*INDEX(UnidadesFactor,MATCH(D224,Unidades,0)),""))</f>
        <v/>
      </c>
      <c r="F224" s="18" t="str">
        <f aca="true">IF(B224="","",IFERROR(INDEX(InsCosto,MATCH(B224,ListaInsumos,0)),""))</f>
        <v/>
      </c>
      <c r="G224" s="19" t="str">
        <f aca="false">IF(AND(A224="",B224=""),"",IF(H224="OK",E224*F224,0))</f>
        <v/>
      </c>
      <c r="H224" s="20" t="str">
        <f aca="true">IF(AND(A224="",B224=""),"",IF(ISNA(MATCH(B224,ListaInsumos,0)),"Insumo no está en Insumos",IF(C224="","Falta cantidad",IF(IFERROR(INDEX(UnidadesBase,MATCH(D224,Unidades,0)),"")&lt;&gt;INDEX(InsBase,MATCH(B224,ListaInsumos,0)),"Unidad incompatible",IF(F224="","Insumo sin compras","OK")))))</f>
        <v/>
      </c>
      <c r="I224" s="15"/>
    </row>
    <row r="225" customFormat="false" ht="15" hidden="false" customHeight="false" outlineLevel="0" collapsed="false">
      <c r="A225" s="15"/>
      <c r="B225" s="15"/>
      <c r="C225" s="27"/>
      <c r="D225" s="15"/>
      <c r="E225" s="25" t="str">
        <f aca="true">IF(OR(C225="",D225=""),"",IFERROR(C225*INDEX(UnidadesFactor,MATCH(D225,Unidades,0)),""))</f>
        <v/>
      </c>
      <c r="F225" s="18" t="str">
        <f aca="true">IF(B225="","",IFERROR(INDEX(InsCosto,MATCH(B225,ListaInsumos,0)),""))</f>
        <v/>
      </c>
      <c r="G225" s="19" t="str">
        <f aca="false">IF(AND(A225="",B225=""),"",IF(H225="OK",E225*F225,0))</f>
        <v/>
      </c>
      <c r="H225" s="20" t="str">
        <f aca="true">IF(AND(A225="",B225=""),"",IF(ISNA(MATCH(B225,ListaInsumos,0)),"Insumo no está en Insumos",IF(C225="","Falta cantidad",IF(IFERROR(INDEX(UnidadesBase,MATCH(D225,Unidades,0)),"")&lt;&gt;INDEX(InsBase,MATCH(B225,ListaInsumos,0)),"Unidad incompatible",IF(F225="","Insumo sin compras","OK")))))</f>
        <v/>
      </c>
      <c r="I225" s="15"/>
    </row>
    <row r="226" customFormat="false" ht="15" hidden="false" customHeight="false" outlineLevel="0" collapsed="false">
      <c r="A226" s="15"/>
      <c r="B226" s="15"/>
      <c r="C226" s="27"/>
      <c r="D226" s="15"/>
      <c r="E226" s="25" t="str">
        <f aca="true">IF(OR(C226="",D226=""),"",IFERROR(C226*INDEX(UnidadesFactor,MATCH(D226,Unidades,0)),""))</f>
        <v/>
      </c>
      <c r="F226" s="18" t="str">
        <f aca="true">IF(B226="","",IFERROR(INDEX(InsCosto,MATCH(B226,ListaInsumos,0)),""))</f>
        <v/>
      </c>
      <c r="G226" s="19" t="str">
        <f aca="false">IF(AND(A226="",B226=""),"",IF(H226="OK",E226*F226,0))</f>
        <v/>
      </c>
      <c r="H226" s="20" t="str">
        <f aca="true">IF(AND(A226="",B226=""),"",IF(ISNA(MATCH(B226,ListaInsumos,0)),"Insumo no está en Insumos",IF(C226="","Falta cantidad",IF(IFERROR(INDEX(UnidadesBase,MATCH(D226,Unidades,0)),"")&lt;&gt;INDEX(InsBase,MATCH(B226,ListaInsumos,0)),"Unidad incompatible",IF(F226="","Insumo sin compras","OK")))))</f>
        <v/>
      </c>
      <c r="I226" s="15"/>
    </row>
    <row r="227" customFormat="false" ht="15" hidden="false" customHeight="false" outlineLevel="0" collapsed="false">
      <c r="A227" s="15"/>
      <c r="B227" s="15"/>
      <c r="C227" s="27"/>
      <c r="D227" s="15"/>
      <c r="E227" s="25" t="str">
        <f aca="true">IF(OR(C227="",D227=""),"",IFERROR(C227*INDEX(UnidadesFactor,MATCH(D227,Unidades,0)),""))</f>
        <v/>
      </c>
      <c r="F227" s="18" t="str">
        <f aca="true">IF(B227="","",IFERROR(INDEX(InsCosto,MATCH(B227,ListaInsumos,0)),""))</f>
        <v/>
      </c>
      <c r="G227" s="19" t="str">
        <f aca="false">IF(AND(A227="",B227=""),"",IF(H227="OK",E227*F227,0))</f>
        <v/>
      </c>
      <c r="H227" s="20" t="str">
        <f aca="true">IF(AND(A227="",B227=""),"",IF(ISNA(MATCH(B227,ListaInsumos,0)),"Insumo no está en Insumos",IF(C227="","Falta cantidad",IF(IFERROR(INDEX(UnidadesBase,MATCH(D227,Unidades,0)),"")&lt;&gt;INDEX(InsBase,MATCH(B227,ListaInsumos,0)),"Unidad incompatible",IF(F227="","Insumo sin compras","OK")))))</f>
        <v/>
      </c>
      <c r="I227" s="15"/>
    </row>
    <row r="228" customFormat="false" ht="15" hidden="false" customHeight="false" outlineLevel="0" collapsed="false">
      <c r="A228" s="15"/>
      <c r="B228" s="15"/>
      <c r="C228" s="27"/>
      <c r="D228" s="15"/>
      <c r="E228" s="25" t="str">
        <f aca="true">IF(OR(C228="",D228=""),"",IFERROR(C228*INDEX(UnidadesFactor,MATCH(D228,Unidades,0)),""))</f>
        <v/>
      </c>
      <c r="F228" s="18" t="str">
        <f aca="true">IF(B228="","",IFERROR(INDEX(InsCosto,MATCH(B228,ListaInsumos,0)),""))</f>
        <v/>
      </c>
      <c r="G228" s="19" t="str">
        <f aca="false">IF(AND(A228="",B228=""),"",IF(H228="OK",E228*F228,0))</f>
        <v/>
      </c>
      <c r="H228" s="20" t="str">
        <f aca="true">IF(AND(A228="",B228=""),"",IF(ISNA(MATCH(B228,ListaInsumos,0)),"Insumo no está en Insumos",IF(C228="","Falta cantidad",IF(IFERROR(INDEX(UnidadesBase,MATCH(D228,Unidades,0)),"")&lt;&gt;INDEX(InsBase,MATCH(B228,ListaInsumos,0)),"Unidad incompatible",IF(F228="","Insumo sin compras","OK")))))</f>
        <v/>
      </c>
      <c r="I228" s="15"/>
    </row>
    <row r="229" customFormat="false" ht="15" hidden="false" customHeight="false" outlineLevel="0" collapsed="false">
      <c r="A229" s="15"/>
      <c r="B229" s="15"/>
      <c r="C229" s="27"/>
      <c r="D229" s="15"/>
      <c r="E229" s="25" t="str">
        <f aca="true">IF(OR(C229="",D229=""),"",IFERROR(C229*INDEX(UnidadesFactor,MATCH(D229,Unidades,0)),""))</f>
        <v/>
      </c>
      <c r="F229" s="18" t="str">
        <f aca="true">IF(B229="","",IFERROR(INDEX(InsCosto,MATCH(B229,ListaInsumos,0)),""))</f>
        <v/>
      </c>
      <c r="G229" s="19" t="str">
        <f aca="false">IF(AND(A229="",B229=""),"",IF(H229="OK",E229*F229,0))</f>
        <v/>
      </c>
      <c r="H229" s="20" t="str">
        <f aca="true">IF(AND(A229="",B229=""),"",IF(ISNA(MATCH(B229,ListaInsumos,0)),"Insumo no está en Insumos",IF(C229="","Falta cantidad",IF(IFERROR(INDEX(UnidadesBase,MATCH(D229,Unidades,0)),"")&lt;&gt;INDEX(InsBase,MATCH(B229,ListaInsumos,0)),"Unidad incompatible",IF(F229="","Insumo sin compras","OK")))))</f>
        <v/>
      </c>
      <c r="I229" s="15"/>
    </row>
    <row r="230" customFormat="false" ht="15" hidden="false" customHeight="false" outlineLevel="0" collapsed="false">
      <c r="A230" s="15"/>
      <c r="B230" s="15"/>
      <c r="C230" s="27"/>
      <c r="D230" s="15"/>
      <c r="E230" s="25" t="str">
        <f aca="true">IF(OR(C230="",D230=""),"",IFERROR(C230*INDEX(UnidadesFactor,MATCH(D230,Unidades,0)),""))</f>
        <v/>
      </c>
      <c r="F230" s="18" t="str">
        <f aca="true">IF(B230="","",IFERROR(INDEX(InsCosto,MATCH(B230,ListaInsumos,0)),""))</f>
        <v/>
      </c>
      <c r="G230" s="19" t="str">
        <f aca="false">IF(AND(A230="",B230=""),"",IF(H230="OK",E230*F230,0))</f>
        <v/>
      </c>
      <c r="H230" s="20" t="str">
        <f aca="true">IF(AND(A230="",B230=""),"",IF(ISNA(MATCH(B230,ListaInsumos,0)),"Insumo no está en Insumos",IF(C230="","Falta cantidad",IF(IFERROR(INDEX(UnidadesBase,MATCH(D230,Unidades,0)),"")&lt;&gt;INDEX(InsBase,MATCH(B230,ListaInsumos,0)),"Unidad incompatible",IF(F230="","Insumo sin compras","OK")))))</f>
        <v/>
      </c>
      <c r="I230" s="15"/>
    </row>
    <row r="231" customFormat="false" ht="15" hidden="false" customHeight="false" outlineLevel="0" collapsed="false">
      <c r="A231" s="15"/>
      <c r="B231" s="15"/>
      <c r="C231" s="27"/>
      <c r="D231" s="15"/>
      <c r="E231" s="25" t="str">
        <f aca="true">IF(OR(C231="",D231=""),"",IFERROR(C231*INDEX(UnidadesFactor,MATCH(D231,Unidades,0)),""))</f>
        <v/>
      </c>
      <c r="F231" s="18" t="str">
        <f aca="true">IF(B231="","",IFERROR(INDEX(InsCosto,MATCH(B231,ListaInsumos,0)),""))</f>
        <v/>
      </c>
      <c r="G231" s="19" t="str">
        <f aca="false">IF(AND(A231="",B231=""),"",IF(H231="OK",E231*F231,0))</f>
        <v/>
      </c>
      <c r="H231" s="20" t="str">
        <f aca="true">IF(AND(A231="",B231=""),"",IF(ISNA(MATCH(B231,ListaInsumos,0)),"Insumo no está en Insumos",IF(C231="","Falta cantidad",IF(IFERROR(INDEX(UnidadesBase,MATCH(D231,Unidades,0)),"")&lt;&gt;INDEX(InsBase,MATCH(B231,ListaInsumos,0)),"Unidad incompatible",IF(F231="","Insumo sin compras","OK")))))</f>
        <v/>
      </c>
      <c r="I231" s="15"/>
    </row>
    <row r="232" customFormat="false" ht="15" hidden="false" customHeight="false" outlineLevel="0" collapsed="false">
      <c r="A232" s="15"/>
      <c r="B232" s="15"/>
      <c r="C232" s="27"/>
      <c r="D232" s="15"/>
      <c r="E232" s="25" t="str">
        <f aca="true">IF(OR(C232="",D232=""),"",IFERROR(C232*INDEX(UnidadesFactor,MATCH(D232,Unidades,0)),""))</f>
        <v/>
      </c>
      <c r="F232" s="18" t="str">
        <f aca="true">IF(B232="","",IFERROR(INDEX(InsCosto,MATCH(B232,ListaInsumos,0)),""))</f>
        <v/>
      </c>
      <c r="G232" s="19" t="str">
        <f aca="false">IF(AND(A232="",B232=""),"",IF(H232="OK",E232*F232,0))</f>
        <v/>
      </c>
      <c r="H232" s="20" t="str">
        <f aca="true">IF(AND(A232="",B232=""),"",IF(ISNA(MATCH(B232,ListaInsumos,0)),"Insumo no está en Insumos",IF(C232="","Falta cantidad",IF(IFERROR(INDEX(UnidadesBase,MATCH(D232,Unidades,0)),"")&lt;&gt;INDEX(InsBase,MATCH(B232,ListaInsumos,0)),"Unidad incompatible",IF(F232="","Insumo sin compras","OK")))))</f>
        <v/>
      </c>
      <c r="I232" s="15"/>
    </row>
    <row r="233" customFormat="false" ht="15" hidden="false" customHeight="false" outlineLevel="0" collapsed="false">
      <c r="A233" s="15"/>
      <c r="B233" s="15"/>
      <c r="C233" s="27"/>
      <c r="D233" s="15"/>
      <c r="E233" s="25" t="str">
        <f aca="true">IF(OR(C233="",D233=""),"",IFERROR(C233*INDEX(UnidadesFactor,MATCH(D233,Unidades,0)),""))</f>
        <v/>
      </c>
      <c r="F233" s="18" t="str">
        <f aca="true">IF(B233="","",IFERROR(INDEX(InsCosto,MATCH(B233,ListaInsumos,0)),""))</f>
        <v/>
      </c>
      <c r="G233" s="19" t="str">
        <f aca="false">IF(AND(A233="",B233=""),"",IF(H233="OK",E233*F233,0))</f>
        <v/>
      </c>
      <c r="H233" s="20" t="str">
        <f aca="true">IF(AND(A233="",B233=""),"",IF(ISNA(MATCH(B233,ListaInsumos,0)),"Insumo no está en Insumos",IF(C233="","Falta cantidad",IF(IFERROR(INDEX(UnidadesBase,MATCH(D233,Unidades,0)),"")&lt;&gt;INDEX(InsBase,MATCH(B233,ListaInsumos,0)),"Unidad incompatible",IF(F233="","Insumo sin compras","OK")))))</f>
        <v/>
      </c>
      <c r="I233" s="15"/>
    </row>
    <row r="234" customFormat="false" ht="15" hidden="false" customHeight="false" outlineLevel="0" collapsed="false">
      <c r="A234" s="15"/>
      <c r="B234" s="15"/>
      <c r="C234" s="27"/>
      <c r="D234" s="15"/>
      <c r="E234" s="25" t="str">
        <f aca="true">IF(OR(C234="",D234=""),"",IFERROR(C234*INDEX(UnidadesFactor,MATCH(D234,Unidades,0)),""))</f>
        <v/>
      </c>
      <c r="F234" s="18" t="str">
        <f aca="true">IF(B234="","",IFERROR(INDEX(InsCosto,MATCH(B234,ListaInsumos,0)),""))</f>
        <v/>
      </c>
      <c r="G234" s="19" t="str">
        <f aca="false">IF(AND(A234="",B234=""),"",IF(H234="OK",E234*F234,0))</f>
        <v/>
      </c>
      <c r="H234" s="20" t="str">
        <f aca="true">IF(AND(A234="",B234=""),"",IF(ISNA(MATCH(B234,ListaInsumos,0)),"Insumo no está en Insumos",IF(C234="","Falta cantidad",IF(IFERROR(INDEX(UnidadesBase,MATCH(D234,Unidades,0)),"")&lt;&gt;INDEX(InsBase,MATCH(B234,ListaInsumos,0)),"Unidad incompatible",IF(F234="","Insumo sin compras","OK")))))</f>
        <v/>
      </c>
      <c r="I234" s="15"/>
    </row>
    <row r="235" customFormat="false" ht="15" hidden="false" customHeight="false" outlineLevel="0" collapsed="false">
      <c r="A235" s="15"/>
      <c r="B235" s="15"/>
      <c r="C235" s="27"/>
      <c r="D235" s="15"/>
      <c r="E235" s="25" t="str">
        <f aca="true">IF(OR(C235="",D235=""),"",IFERROR(C235*INDEX(UnidadesFactor,MATCH(D235,Unidades,0)),""))</f>
        <v/>
      </c>
      <c r="F235" s="18" t="str">
        <f aca="true">IF(B235="","",IFERROR(INDEX(InsCosto,MATCH(B235,ListaInsumos,0)),""))</f>
        <v/>
      </c>
      <c r="G235" s="19" t="str">
        <f aca="false">IF(AND(A235="",B235=""),"",IF(H235="OK",E235*F235,0))</f>
        <v/>
      </c>
      <c r="H235" s="20" t="str">
        <f aca="true">IF(AND(A235="",B235=""),"",IF(ISNA(MATCH(B235,ListaInsumos,0)),"Insumo no está en Insumos",IF(C235="","Falta cantidad",IF(IFERROR(INDEX(UnidadesBase,MATCH(D235,Unidades,0)),"")&lt;&gt;INDEX(InsBase,MATCH(B235,ListaInsumos,0)),"Unidad incompatible",IF(F235="","Insumo sin compras","OK")))))</f>
        <v/>
      </c>
      <c r="I235" s="15"/>
    </row>
    <row r="236" customFormat="false" ht="15" hidden="false" customHeight="false" outlineLevel="0" collapsed="false">
      <c r="A236" s="15"/>
      <c r="B236" s="15"/>
      <c r="C236" s="27"/>
      <c r="D236" s="15"/>
      <c r="E236" s="25" t="str">
        <f aca="true">IF(OR(C236="",D236=""),"",IFERROR(C236*INDEX(UnidadesFactor,MATCH(D236,Unidades,0)),""))</f>
        <v/>
      </c>
      <c r="F236" s="18" t="str">
        <f aca="true">IF(B236="","",IFERROR(INDEX(InsCosto,MATCH(B236,ListaInsumos,0)),""))</f>
        <v/>
      </c>
      <c r="G236" s="19" t="str">
        <f aca="false">IF(AND(A236="",B236=""),"",IF(H236="OK",E236*F236,0))</f>
        <v/>
      </c>
      <c r="H236" s="20" t="str">
        <f aca="true">IF(AND(A236="",B236=""),"",IF(ISNA(MATCH(B236,ListaInsumos,0)),"Insumo no está en Insumos",IF(C236="","Falta cantidad",IF(IFERROR(INDEX(UnidadesBase,MATCH(D236,Unidades,0)),"")&lt;&gt;INDEX(InsBase,MATCH(B236,ListaInsumos,0)),"Unidad incompatible",IF(F236="","Insumo sin compras","OK")))))</f>
        <v/>
      </c>
      <c r="I236" s="15"/>
    </row>
    <row r="237" customFormat="false" ht="15" hidden="false" customHeight="false" outlineLevel="0" collapsed="false">
      <c r="A237" s="15"/>
      <c r="B237" s="15"/>
      <c r="C237" s="27"/>
      <c r="D237" s="15"/>
      <c r="E237" s="25" t="str">
        <f aca="true">IF(OR(C237="",D237=""),"",IFERROR(C237*INDEX(UnidadesFactor,MATCH(D237,Unidades,0)),""))</f>
        <v/>
      </c>
      <c r="F237" s="18" t="str">
        <f aca="true">IF(B237="","",IFERROR(INDEX(InsCosto,MATCH(B237,ListaInsumos,0)),""))</f>
        <v/>
      </c>
      <c r="G237" s="19" t="str">
        <f aca="false">IF(AND(A237="",B237=""),"",IF(H237="OK",E237*F237,0))</f>
        <v/>
      </c>
      <c r="H237" s="20" t="str">
        <f aca="true">IF(AND(A237="",B237=""),"",IF(ISNA(MATCH(B237,ListaInsumos,0)),"Insumo no está en Insumos",IF(C237="","Falta cantidad",IF(IFERROR(INDEX(UnidadesBase,MATCH(D237,Unidades,0)),"")&lt;&gt;INDEX(InsBase,MATCH(B237,ListaInsumos,0)),"Unidad incompatible",IF(F237="","Insumo sin compras","OK")))))</f>
        <v/>
      </c>
      <c r="I237" s="15"/>
    </row>
    <row r="238" customFormat="false" ht="15" hidden="false" customHeight="false" outlineLevel="0" collapsed="false">
      <c r="A238" s="15"/>
      <c r="B238" s="15"/>
      <c r="C238" s="27"/>
      <c r="D238" s="15"/>
      <c r="E238" s="25" t="str">
        <f aca="true">IF(OR(C238="",D238=""),"",IFERROR(C238*INDEX(UnidadesFactor,MATCH(D238,Unidades,0)),""))</f>
        <v/>
      </c>
      <c r="F238" s="18" t="str">
        <f aca="true">IF(B238="","",IFERROR(INDEX(InsCosto,MATCH(B238,ListaInsumos,0)),""))</f>
        <v/>
      </c>
      <c r="G238" s="19" t="str">
        <f aca="false">IF(AND(A238="",B238=""),"",IF(H238="OK",E238*F238,0))</f>
        <v/>
      </c>
      <c r="H238" s="20" t="str">
        <f aca="true">IF(AND(A238="",B238=""),"",IF(ISNA(MATCH(B238,ListaInsumos,0)),"Insumo no está en Insumos",IF(C238="","Falta cantidad",IF(IFERROR(INDEX(UnidadesBase,MATCH(D238,Unidades,0)),"")&lt;&gt;INDEX(InsBase,MATCH(B238,ListaInsumos,0)),"Unidad incompatible",IF(F238="","Insumo sin compras","OK")))))</f>
        <v/>
      </c>
      <c r="I238" s="15"/>
    </row>
    <row r="239" customFormat="false" ht="15" hidden="false" customHeight="false" outlineLevel="0" collapsed="false">
      <c r="A239" s="15"/>
      <c r="B239" s="15"/>
      <c r="C239" s="27"/>
      <c r="D239" s="15"/>
      <c r="E239" s="25" t="str">
        <f aca="true">IF(OR(C239="",D239=""),"",IFERROR(C239*INDEX(UnidadesFactor,MATCH(D239,Unidades,0)),""))</f>
        <v/>
      </c>
      <c r="F239" s="18" t="str">
        <f aca="true">IF(B239="","",IFERROR(INDEX(InsCosto,MATCH(B239,ListaInsumos,0)),""))</f>
        <v/>
      </c>
      <c r="G239" s="19" t="str">
        <f aca="false">IF(AND(A239="",B239=""),"",IF(H239="OK",E239*F239,0))</f>
        <v/>
      </c>
      <c r="H239" s="20" t="str">
        <f aca="true">IF(AND(A239="",B239=""),"",IF(ISNA(MATCH(B239,ListaInsumos,0)),"Insumo no está en Insumos",IF(C239="","Falta cantidad",IF(IFERROR(INDEX(UnidadesBase,MATCH(D239,Unidades,0)),"")&lt;&gt;INDEX(InsBase,MATCH(B239,ListaInsumos,0)),"Unidad incompatible",IF(F239="","Insumo sin compras","OK")))))</f>
        <v/>
      </c>
      <c r="I239" s="15"/>
    </row>
    <row r="240" customFormat="false" ht="15" hidden="false" customHeight="false" outlineLevel="0" collapsed="false">
      <c r="A240" s="15"/>
      <c r="B240" s="15"/>
      <c r="C240" s="27"/>
      <c r="D240" s="15"/>
      <c r="E240" s="25" t="str">
        <f aca="true">IF(OR(C240="",D240=""),"",IFERROR(C240*INDEX(UnidadesFactor,MATCH(D240,Unidades,0)),""))</f>
        <v/>
      </c>
      <c r="F240" s="18" t="str">
        <f aca="true">IF(B240="","",IFERROR(INDEX(InsCosto,MATCH(B240,ListaInsumos,0)),""))</f>
        <v/>
      </c>
      <c r="G240" s="19" t="str">
        <f aca="false">IF(AND(A240="",B240=""),"",IF(H240="OK",E240*F240,0))</f>
        <v/>
      </c>
      <c r="H240" s="20" t="str">
        <f aca="true">IF(AND(A240="",B240=""),"",IF(ISNA(MATCH(B240,ListaInsumos,0)),"Insumo no está en Insumos",IF(C240="","Falta cantidad",IF(IFERROR(INDEX(UnidadesBase,MATCH(D240,Unidades,0)),"")&lt;&gt;INDEX(InsBase,MATCH(B240,ListaInsumos,0)),"Unidad incompatible",IF(F240="","Insumo sin compras","OK")))))</f>
        <v/>
      </c>
      <c r="I240" s="15"/>
    </row>
    <row r="241" customFormat="false" ht="15" hidden="false" customHeight="false" outlineLevel="0" collapsed="false">
      <c r="A241" s="15"/>
      <c r="B241" s="15"/>
      <c r="C241" s="27"/>
      <c r="D241" s="15"/>
      <c r="E241" s="25" t="str">
        <f aca="true">IF(OR(C241="",D241=""),"",IFERROR(C241*INDEX(UnidadesFactor,MATCH(D241,Unidades,0)),""))</f>
        <v/>
      </c>
      <c r="F241" s="18" t="str">
        <f aca="true">IF(B241="","",IFERROR(INDEX(InsCosto,MATCH(B241,ListaInsumos,0)),""))</f>
        <v/>
      </c>
      <c r="G241" s="19" t="str">
        <f aca="false">IF(AND(A241="",B241=""),"",IF(H241="OK",E241*F241,0))</f>
        <v/>
      </c>
      <c r="H241" s="20" t="str">
        <f aca="true">IF(AND(A241="",B241=""),"",IF(ISNA(MATCH(B241,ListaInsumos,0)),"Insumo no está en Insumos",IF(C241="","Falta cantidad",IF(IFERROR(INDEX(UnidadesBase,MATCH(D241,Unidades,0)),"")&lt;&gt;INDEX(InsBase,MATCH(B241,ListaInsumos,0)),"Unidad incompatible",IF(F241="","Insumo sin compras","OK")))))</f>
        <v/>
      </c>
      <c r="I241" s="15"/>
    </row>
    <row r="242" customFormat="false" ht="15" hidden="false" customHeight="false" outlineLevel="0" collapsed="false">
      <c r="A242" s="15"/>
      <c r="B242" s="15"/>
      <c r="C242" s="27"/>
      <c r="D242" s="15"/>
      <c r="E242" s="25" t="str">
        <f aca="true">IF(OR(C242="",D242=""),"",IFERROR(C242*INDEX(UnidadesFactor,MATCH(D242,Unidades,0)),""))</f>
        <v/>
      </c>
      <c r="F242" s="18" t="str">
        <f aca="true">IF(B242="","",IFERROR(INDEX(InsCosto,MATCH(B242,ListaInsumos,0)),""))</f>
        <v/>
      </c>
      <c r="G242" s="19" t="str">
        <f aca="false">IF(AND(A242="",B242=""),"",IF(H242="OK",E242*F242,0))</f>
        <v/>
      </c>
      <c r="H242" s="20" t="str">
        <f aca="true">IF(AND(A242="",B242=""),"",IF(ISNA(MATCH(B242,ListaInsumos,0)),"Insumo no está en Insumos",IF(C242="","Falta cantidad",IF(IFERROR(INDEX(UnidadesBase,MATCH(D242,Unidades,0)),"")&lt;&gt;INDEX(InsBase,MATCH(B242,ListaInsumos,0)),"Unidad incompatible",IF(F242="","Insumo sin compras","OK")))))</f>
        <v/>
      </c>
      <c r="I242" s="15"/>
    </row>
    <row r="243" customFormat="false" ht="15" hidden="false" customHeight="false" outlineLevel="0" collapsed="false">
      <c r="A243" s="15"/>
      <c r="B243" s="15"/>
      <c r="C243" s="27"/>
      <c r="D243" s="15"/>
      <c r="E243" s="25" t="str">
        <f aca="true">IF(OR(C243="",D243=""),"",IFERROR(C243*INDEX(UnidadesFactor,MATCH(D243,Unidades,0)),""))</f>
        <v/>
      </c>
      <c r="F243" s="18" t="str">
        <f aca="true">IF(B243="","",IFERROR(INDEX(InsCosto,MATCH(B243,ListaInsumos,0)),""))</f>
        <v/>
      </c>
      <c r="G243" s="19" t="str">
        <f aca="false">IF(AND(A243="",B243=""),"",IF(H243="OK",E243*F243,0))</f>
        <v/>
      </c>
      <c r="H243" s="20" t="str">
        <f aca="true">IF(AND(A243="",B243=""),"",IF(ISNA(MATCH(B243,ListaInsumos,0)),"Insumo no está en Insumos",IF(C243="","Falta cantidad",IF(IFERROR(INDEX(UnidadesBase,MATCH(D243,Unidades,0)),"")&lt;&gt;INDEX(InsBase,MATCH(B243,ListaInsumos,0)),"Unidad incompatible",IF(F243="","Insumo sin compras","OK")))))</f>
        <v/>
      </c>
      <c r="I243" s="15"/>
    </row>
    <row r="244" customFormat="false" ht="15" hidden="false" customHeight="false" outlineLevel="0" collapsed="false">
      <c r="A244" s="15"/>
      <c r="B244" s="15"/>
      <c r="C244" s="27"/>
      <c r="D244" s="15"/>
      <c r="E244" s="25" t="str">
        <f aca="true">IF(OR(C244="",D244=""),"",IFERROR(C244*INDEX(UnidadesFactor,MATCH(D244,Unidades,0)),""))</f>
        <v/>
      </c>
      <c r="F244" s="18" t="str">
        <f aca="true">IF(B244="","",IFERROR(INDEX(InsCosto,MATCH(B244,ListaInsumos,0)),""))</f>
        <v/>
      </c>
      <c r="G244" s="19" t="str">
        <f aca="false">IF(AND(A244="",B244=""),"",IF(H244="OK",E244*F244,0))</f>
        <v/>
      </c>
      <c r="H244" s="20" t="str">
        <f aca="true">IF(AND(A244="",B244=""),"",IF(ISNA(MATCH(B244,ListaInsumos,0)),"Insumo no está en Insumos",IF(C244="","Falta cantidad",IF(IFERROR(INDEX(UnidadesBase,MATCH(D244,Unidades,0)),"")&lt;&gt;INDEX(InsBase,MATCH(B244,ListaInsumos,0)),"Unidad incompatible",IF(F244="","Insumo sin compras","OK")))))</f>
        <v/>
      </c>
      <c r="I244" s="15"/>
    </row>
    <row r="245" customFormat="false" ht="15" hidden="false" customHeight="false" outlineLevel="0" collapsed="false">
      <c r="A245" s="15"/>
      <c r="B245" s="15"/>
      <c r="C245" s="27"/>
      <c r="D245" s="15"/>
      <c r="E245" s="25" t="str">
        <f aca="true">IF(OR(C245="",D245=""),"",IFERROR(C245*INDEX(UnidadesFactor,MATCH(D245,Unidades,0)),""))</f>
        <v/>
      </c>
      <c r="F245" s="18" t="str">
        <f aca="true">IF(B245="","",IFERROR(INDEX(InsCosto,MATCH(B245,ListaInsumos,0)),""))</f>
        <v/>
      </c>
      <c r="G245" s="19" t="str">
        <f aca="false">IF(AND(A245="",B245=""),"",IF(H245="OK",E245*F245,0))</f>
        <v/>
      </c>
      <c r="H245" s="20" t="str">
        <f aca="true">IF(AND(A245="",B245=""),"",IF(ISNA(MATCH(B245,ListaInsumos,0)),"Insumo no está en Insumos",IF(C245="","Falta cantidad",IF(IFERROR(INDEX(UnidadesBase,MATCH(D245,Unidades,0)),"")&lt;&gt;INDEX(InsBase,MATCH(B245,ListaInsumos,0)),"Unidad incompatible",IF(F245="","Insumo sin compras","OK")))))</f>
        <v/>
      </c>
      <c r="I245" s="15"/>
    </row>
    <row r="246" customFormat="false" ht="15" hidden="false" customHeight="false" outlineLevel="0" collapsed="false">
      <c r="A246" s="15"/>
      <c r="B246" s="15"/>
      <c r="C246" s="27"/>
      <c r="D246" s="15"/>
      <c r="E246" s="25" t="str">
        <f aca="true">IF(OR(C246="",D246=""),"",IFERROR(C246*INDEX(UnidadesFactor,MATCH(D246,Unidades,0)),""))</f>
        <v/>
      </c>
      <c r="F246" s="18" t="str">
        <f aca="true">IF(B246="","",IFERROR(INDEX(InsCosto,MATCH(B246,ListaInsumos,0)),""))</f>
        <v/>
      </c>
      <c r="G246" s="19" t="str">
        <f aca="false">IF(AND(A246="",B246=""),"",IF(H246="OK",E246*F246,0))</f>
        <v/>
      </c>
      <c r="H246" s="20" t="str">
        <f aca="true">IF(AND(A246="",B246=""),"",IF(ISNA(MATCH(B246,ListaInsumos,0)),"Insumo no está en Insumos",IF(C246="","Falta cantidad",IF(IFERROR(INDEX(UnidadesBase,MATCH(D246,Unidades,0)),"")&lt;&gt;INDEX(InsBase,MATCH(B246,ListaInsumos,0)),"Unidad incompatible",IF(F246="","Insumo sin compras","OK")))))</f>
        <v/>
      </c>
      <c r="I246" s="15"/>
    </row>
    <row r="247" customFormat="false" ht="15" hidden="false" customHeight="false" outlineLevel="0" collapsed="false">
      <c r="A247" s="15"/>
      <c r="B247" s="15"/>
      <c r="C247" s="27"/>
      <c r="D247" s="15"/>
      <c r="E247" s="25" t="str">
        <f aca="true">IF(OR(C247="",D247=""),"",IFERROR(C247*INDEX(UnidadesFactor,MATCH(D247,Unidades,0)),""))</f>
        <v/>
      </c>
      <c r="F247" s="18" t="str">
        <f aca="true">IF(B247="","",IFERROR(INDEX(InsCosto,MATCH(B247,ListaInsumos,0)),""))</f>
        <v/>
      </c>
      <c r="G247" s="19" t="str">
        <f aca="false">IF(AND(A247="",B247=""),"",IF(H247="OK",E247*F247,0))</f>
        <v/>
      </c>
      <c r="H247" s="20" t="str">
        <f aca="true">IF(AND(A247="",B247=""),"",IF(ISNA(MATCH(B247,ListaInsumos,0)),"Insumo no está en Insumos",IF(C247="","Falta cantidad",IF(IFERROR(INDEX(UnidadesBase,MATCH(D247,Unidades,0)),"")&lt;&gt;INDEX(InsBase,MATCH(B247,ListaInsumos,0)),"Unidad incompatible",IF(F247="","Insumo sin compras","OK")))))</f>
        <v/>
      </c>
      <c r="I247" s="15"/>
    </row>
    <row r="248" customFormat="false" ht="15" hidden="false" customHeight="false" outlineLevel="0" collapsed="false">
      <c r="A248" s="15"/>
      <c r="B248" s="15"/>
      <c r="C248" s="27"/>
      <c r="D248" s="15"/>
      <c r="E248" s="25" t="str">
        <f aca="true">IF(OR(C248="",D248=""),"",IFERROR(C248*INDEX(UnidadesFactor,MATCH(D248,Unidades,0)),""))</f>
        <v/>
      </c>
      <c r="F248" s="18" t="str">
        <f aca="true">IF(B248="","",IFERROR(INDEX(InsCosto,MATCH(B248,ListaInsumos,0)),""))</f>
        <v/>
      </c>
      <c r="G248" s="19" t="str">
        <f aca="false">IF(AND(A248="",B248=""),"",IF(H248="OK",E248*F248,0))</f>
        <v/>
      </c>
      <c r="H248" s="20" t="str">
        <f aca="true">IF(AND(A248="",B248=""),"",IF(ISNA(MATCH(B248,ListaInsumos,0)),"Insumo no está en Insumos",IF(C248="","Falta cantidad",IF(IFERROR(INDEX(UnidadesBase,MATCH(D248,Unidades,0)),"")&lt;&gt;INDEX(InsBase,MATCH(B248,ListaInsumos,0)),"Unidad incompatible",IF(F248="","Insumo sin compras","OK")))))</f>
        <v/>
      </c>
      <c r="I248" s="15"/>
    </row>
    <row r="249" customFormat="false" ht="15" hidden="false" customHeight="false" outlineLevel="0" collapsed="false">
      <c r="A249" s="15"/>
      <c r="B249" s="15"/>
      <c r="C249" s="27"/>
      <c r="D249" s="15"/>
      <c r="E249" s="25" t="str">
        <f aca="true">IF(OR(C249="",D249=""),"",IFERROR(C249*INDEX(UnidadesFactor,MATCH(D249,Unidades,0)),""))</f>
        <v/>
      </c>
      <c r="F249" s="18" t="str">
        <f aca="true">IF(B249="","",IFERROR(INDEX(InsCosto,MATCH(B249,ListaInsumos,0)),""))</f>
        <v/>
      </c>
      <c r="G249" s="19" t="str">
        <f aca="false">IF(AND(A249="",B249=""),"",IF(H249="OK",E249*F249,0))</f>
        <v/>
      </c>
      <c r="H249" s="20" t="str">
        <f aca="true">IF(AND(A249="",B249=""),"",IF(ISNA(MATCH(B249,ListaInsumos,0)),"Insumo no está en Insumos",IF(C249="","Falta cantidad",IF(IFERROR(INDEX(UnidadesBase,MATCH(D249,Unidades,0)),"")&lt;&gt;INDEX(InsBase,MATCH(B249,ListaInsumos,0)),"Unidad incompatible",IF(F249="","Insumo sin compras","OK")))))</f>
        <v/>
      </c>
      <c r="I249" s="15"/>
    </row>
    <row r="250" customFormat="false" ht="15" hidden="false" customHeight="false" outlineLevel="0" collapsed="false">
      <c r="A250" s="15"/>
      <c r="B250" s="15"/>
      <c r="C250" s="27"/>
      <c r="D250" s="15"/>
      <c r="E250" s="25" t="str">
        <f aca="true">IF(OR(C250="",D250=""),"",IFERROR(C250*INDEX(UnidadesFactor,MATCH(D250,Unidades,0)),""))</f>
        <v/>
      </c>
      <c r="F250" s="18" t="str">
        <f aca="true">IF(B250="","",IFERROR(INDEX(InsCosto,MATCH(B250,ListaInsumos,0)),""))</f>
        <v/>
      </c>
      <c r="G250" s="19" t="str">
        <f aca="false">IF(AND(A250="",B250=""),"",IF(H250="OK",E250*F250,0))</f>
        <v/>
      </c>
      <c r="H250" s="20" t="str">
        <f aca="true">IF(AND(A250="",B250=""),"",IF(ISNA(MATCH(B250,ListaInsumos,0)),"Insumo no está en Insumos",IF(C250="","Falta cantidad",IF(IFERROR(INDEX(UnidadesBase,MATCH(D250,Unidades,0)),"")&lt;&gt;INDEX(InsBase,MATCH(B250,ListaInsumos,0)),"Unidad incompatible",IF(F250="","Insumo sin compras","OK")))))</f>
        <v/>
      </c>
      <c r="I250" s="15"/>
    </row>
    <row r="251" customFormat="false" ht="15" hidden="false" customHeight="false" outlineLevel="0" collapsed="false">
      <c r="A251" s="15"/>
      <c r="B251" s="15"/>
      <c r="C251" s="27"/>
      <c r="D251" s="15"/>
      <c r="E251" s="25" t="str">
        <f aca="true">IF(OR(C251="",D251=""),"",IFERROR(C251*INDEX(UnidadesFactor,MATCH(D251,Unidades,0)),""))</f>
        <v/>
      </c>
      <c r="F251" s="18" t="str">
        <f aca="true">IF(B251="","",IFERROR(INDEX(InsCosto,MATCH(B251,ListaInsumos,0)),""))</f>
        <v/>
      </c>
      <c r="G251" s="19" t="str">
        <f aca="false">IF(AND(A251="",B251=""),"",IF(H251="OK",E251*F251,0))</f>
        <v/>
      </c>
      <c r="H251" s="20" t="str">
        <f aca="true">IF(AND(A251="",B251=""),"",IF(ISNA(MATCH(B251,ListaInsumos,0)),"Insumo no está en Insumos",IF(C251="","Falta cantidad",IF(IFERROR(INDEX(UnidadesBase,MATCH(D251,Unidades,0)),"")&lt;&gt;INDEX(InsBase,MATCH(B251,ListaInsumos,0)),"Unidad incompatible",IF(F251="","Insumo sin compras","OK")))))</f>
        <v/>
      </c>
      <c r="I251" s="15"/>
    </row>
    <row r="252" customFormat="false" ht="15" hidden="false" customHeight="false" outlineLevel="0" collapsed="false">
      <c r="A252" s="15"/>
      <c r="B252" s="15"/>
      <c r="C252" s="27"/>
      <c r="D252" s="15"/>
      <c r="E252" s="25" t="str">
        <f aca="true">IF(OR(C252="",D252=""),"",IFERROR(C252*INDEX(UnidadesFactor,MATCH(D252,Unidades,0)),""))</f>
        <v/>
      </c>
      <c r="F252" s="18" t="str">
        <f aca="true">IF(B252="","",IFERROR(INDEX(InsCosto,MATCH(B252,ListaInsumos,0)),""))</f>
        <v/>
      </c>
      <c r="G252" s="19" t="str">
        <f aca="false">IF(AND(A252="",B252=""),"",IF(H252="OK",E252*F252,0))</f>
        <v/>
      </c>
      <c r="H252" s="20" t="str">
        <f aca="true">IF(AND(A252="",B252=""),"",IF(ISNA(MATCH(B252,ListaInsumos,0)),"Insumo no está en Insumos",IF(C252="","Falta cantidad",IF(IFERROR(INDEX(UnidadesBase,MATCH(D252,Unidades,0)),"")&lt;&gt;INDEX(InsBase,MATCH(B252,ListaInsumos,0)),"Unidad incompatible",IF(F252="","Insumo sin compras","OK")))))</f>
        <v/>
      </c>
      <c r="I252" s="15"/>
    </row>
    <row r="253" customFormat="false" ht="15" hidden="false" customHeight="false" outlineLevel="0" collapsed="false">
      <c r="A253" s="15"/>
      <c r="B253" s="15"/>
      <c r="C253" s="27"/>
      <c r="D253" s="15"/>
      <c r="E253" s="25" t="str">
        <f aca="true">IF(OR(C253="",D253=""),"",IFERROR(C253*INDEX(UnidadesFactor,MATCH(D253,Unidades,0)),""))</f>
        <v/>
      </c>
      <c r="F253" s="18" t="str">
        <f aca="true">IF(B253="","",IFERROR(INDEX(InsCosto,MATCH(B253,ListaInsumos,0)),""))</f>
        <v/>
      </c>
      <c r="G253" s="19" t="str">
        <f aca="false">IF(AND(A253="",B253=""),"",IF(H253="OK",E253*F253,0))</f>
        <v/>
      </c>
      <c r="H253" s="20" t="str">
        <f aca="true">IF(AND(A253="",B253=""),"",IF(ISNA(MATCH(B253,ListaInsumos,0)),"Insumo no está en Insumos",IF(C253="","Falta cantidad",IF(IFERROR(INDEX(UnidadesBase,MATCH(D253,Unidades,0)),"")&lt;&gt;INDEX(InsBase,MATCH(B253,ListaInsumos,0)),"Unidad incompatible",IF(F253="","Insumo sin compras","OK")))))</f>
        <v/>
      </c>
      <c r="I253" s="15"/>
    </row>
    <row r="254" customFormat="false" ht="15" hidden="false" customHeight="false" outlineLevel="0" collapsed="false">
      <c r="A254" s="15"/>
      <c r="B254" s="15"/>
      <c r="C254" s="27"/>
      <c r="D254" s="15"/>
      <c r="E254" s="25" t="str">
        <f aca="true">IF(OR(C254="",D254=""),"",IFERROR(C254*INDEX(UnidadesFactor,MATCH(D254,Unidades,0)),""))</f>
        <v/>
      </c>
      <c r="F254" s="18" t="str">
        <f aca="true">IF(B254="","",IFERROR(INDEX(InsCosto,MATCH(B254,ListaInsumos,0)),""))</f>
        <v/>
      </c>
      <c r="G254" s="19" t="str">
        <f aca="false">IF(AND(A254="",B254=""),"",IF(H254="OK",E254*F254,0))</f>
        <v/>
      </c>
      <c r="H254" s="20" t="str">
        <f aca="true">IF(AND(A254="",B254=""),"",IF(ISNA(MATCH(B254,ListaInsumos,0)),"Insumo no está en Insumos",IF(C254="","Falta cantidad",IF(IFERROR(INDEX(UnidadesBase,MATCH(D254,Unidades,0)),"")&lt;&gt;INDEX(InsBase,MATCH(B254,ListaInsumos,0)),"Unidad incompatible",IF(F254="","Insumo sin compras","OK")))))</f>
        <v/>
      </c>
      <c r="I254" s="15"/>
    </row>
    <row r="255" customFormat="false" ht="15" hidden="false" customHeight="false" outlineLevel="0" collapsed="false">
      <c r="A255" s="15"/>
      <c r="B255" s="15"/>
      <c r="C255" s="27"/>
      <c r="D255" s="15"/>
      <c r="E255" s="25" t="str">
        <f aca="true">IF(OR(C255="",D255=""),"",IFERROR(C255*INDEX(UnidadesFactor,MATCH(D255,Unidades,0)),""))</f>
        <v/>
      </c>
      <c r="F255" s="18" t="str">
        <f aca="true">IF(B255="","",IFERROR(INDEX(InsCosto,MATCH(B255,ListaInsumos,0)),""))</f>
        <v/>
      </c>
      <c r="G255" s="19" t="str">
        <f aca="false">IF(AND(A255="",B255=""),"",IF(H255="OK",E255*F255,0))</f>
        <v/>
      </c>
      <c r="H255" s="20" t="str">
        <f aca="true">IF(AND(A255="",B255=""),"",IF(ISNA(MATCH(B255,ListaInsumos,0)),"Insumo no está en Insumos",IF(C255="","Falta cantidad",IF(IFERROR(INDEX(UnidadesBase,MATCH(D255,Unidades,0)),"")&lt;&gt;INDEX(InsBase,MATCH(B255,ListaInsumos,0)),"Unidad incompatible",IF(F255="","Insumo sin compras","OK")))))</f>
        <v/>
      </c>
      <c r="I255" s="15"/>
    </row>
    <row r="256" customFormat="false" ht="15" hidden="false" customHeight="false" outlineLevel="0" collapsed="false">
      <c r="A256" s="15"/>
      <c r="B256" s="15"/>
      <c r="C256" s="27"/>
      <c r="D256" s="15"/>
      <c r="E256" s="25" t="str">
        <f aca="true">IF(OR(C256="",D256=""),"",IFERROR(C256*INDEX(UnidadesFactor,MATCH(D256,Unidades,0)),""))</f>
        <v/>
      </c>
      <c r="F256" s="18" t="str">
        <f aca="true">IF(B256="","",IFERROR(INDEX(InsCosto,MATCH(B256,ListaInsumos,0)),""))</f>
        <v/>
      </c>
      <c r="G256" s="19" t="str">
        <f aca="false">IF(AND(A256="",B256=""),"",IF(H256="OK",E256*F256,0))</f>
        <v/>
      </c>
      <c r="H256" s="20" t="str">
        <f aca="true">IF(AND(A256="",B256=""),"",IF(ISNA(MATCH(B256,ListaInsumos,0)),"Insumo no está en Insumos",IF(C256="","Falta cantidad",IF(IFERROR(INDEX(UnidadesBase,MATCH(D256,Unidades,0)),"")&lt;&gt;INDEX(InsBase,MATCH(B256,ListaInsumos,0)),"Unidad incompatible",IF(F256="","Insumo sin compras","OK")))))</f>
        <v/>
      </c>
      <c r="I256" s="15"/>
    </row>
    <row r="257" customFormat="false" ht="15" hidden="false" customHeight="false" outlineLevel="0" collapsed="false">
      <c r="A257" s="15"/>
      <c r="B257" s="15"/>
      <c r="C257" s="27"/>
      <c r="D257" s="15"/>
      <c r="E257" s="25" t="str">
        <f aca="true">IF(OR(C257="",D257=""),"",IFERROR(C257*INDEX(UnidadesFactor,MATCH(D257,Unidades,0)),""))</f>
        <v/>
      </c>
      <c r="F257" s="18" t="str">
        <f aca="true">IF(B257="","",IFERROR(INDEX(InsCosto,MATCH(B257,ListaInsumos,0)),""))</f>
        <v/>
      </c>
      <c r="G257" s="19" t="str">
        <f aca="false">IF(AND(A257="",B257=""),"",IF(H257="OK",E257*F257,0))</f>
        <v/>
      </c>
      <c r="H257" s="20" t="str">
        <f aca="true">IF(AND(A257="",B257=""),"",IF(ISNA(MATCH(B257,ListaInsumos,0)),"Insumo no está en Insumos",IF(C257="","Falta cantidad",IF(IFERROR(INDEX(UnidadesBase,MATCH(D257,Unidades,0)),"")&lt;&gt;INDEX(InsBase,MATCH(B257,ListaInsumos,0)),"Unidad incompatible",IF(F257="","Insumo sin compras","OK")))))</f>
        <v/>
      </c>
      <c r="I257" s="15"/>
    </row>
    <row r="258" customFormat="false" ht="15" hidden="false" customHeight="false" outlineLevel="0" collapsed="false">
      <c r="A258" s="15"/>
      <c r="B258" s="15"/>
      <c r="C258" s="27"/>
      <c r="D258" s="15"/>
      <c r="E258" s="25" t="str">
        <f aca="true">IF(OR(C258="",D258=""),"",IFERROR(C258*INDEX(UnidadesFactor,MATCH(D258,Unidades,0)),""))</f>
        <v/>
      </c>
      <c r="F258" s="18" t="str">
        <f aca="true">IF(B258="","",IFERROR(INDEX(InsCosto,MATCH(B258,ListaInsumos,0)),""))</f>
        <v/>
      </c>
      <c r="G258" s="19" t="str">
        <f aca="false">IF(AND(A258="",B258=""),"",IF(H258="OK",E258*F258,0))</f>
        <v/>
      </c>
      <c r="H258" s="20" t="str">
        <f aca="true">IF(AND(A258="",B258=""),"",IF(ISNA(MATCH(B258,ListaInsumos,0)),"Insumo no está en Insumos",IF(C258="","Falta cantidad",IF(IFERROR(INDEX(UnidadesBase,MATCH(D258,Unidades,0)),"")&lt;&gt;INDEX(InsBase,MATCH(B258,ListaInsumos,0)),"Unidad incompatible",IF(F258="","Insumo sin compras","OK")))))</f>
        <v/>
      </c>
      <c r="I258" s="15"/>
    </row>
    <row r="259" customFormat="false" ht="15" hidden="false" customHeight="false" outlineLevel="0" collapsed="false">
      <c r="A259" s="15"/>
      <c r="B259" s="15"/>
      <c r="C259" s="27"/>
      <c r="D259" s="15"/>
      <c r="E259" s="25" t="str">
        <f aca="true">IF(OR(C259="",D259=""),"",IFERROR(C259*INDEX(UnidadesFactor,MATCH(D259,Unidades,0)),""))</f>
        <v/>
      </c>
      <c r="F259" s="18" t="str">
        <f aca="true">IF(B259="","",IFERROR(INDEX(InsCosto,MATCH(B259,ListaInsumos,0)),""))</f>
        <v/>
      </c>
      <c r="G259" s="19" t="str">
        <f aca="false">IF(AND(A259="",B259=""),"",IF(H259="OK",E259*F259,0))</f>
        <v/>
      </c>
      <c r="H259" s="20" t="str">
        <f aca="true">IF(AND(A259="",B259=""),"",IF(ISNA(MATCH(B259,ListaInsumos,0)),"Insumo no está en Insumos",IF(C259="","Falta cantidad",IF(IFERROR(INDEX(UnidadesBase,MATCH(D259,Unidades,0)),"")&lt;&gt;INDEX(InsBase,MATCH(B259,ListaInsumos,0)),"Unidad incompatible",IF(F259="","Insumo sin compras","OK")))))</f>
        <v/>
      </c>
      <c r="I259" s="15"/>
    </row>
    <row r="260" customFormat="false" ht="15" hidden="false" customHeight="false" outlineLevel="0" collapsed="false">
      <c r="A260" s="15"/>
      <c r="B260" s="15"/>
      <c r="C260" s="27"/>
      <c r="D260" s="15"/>
      <c r="E260" s="25" t="str">
        <f aca="true">IF(OR(C260="",D260=""),"",IFERROR(C260*INDEX(UnidadesFactor,MATCH(D260,Unidades,0)),""))</f>
        <v/>
      </c>
      <c r="F260" s="18" t="str">
        <f aca="true">IF(B260="","",IFERROR(INDEX(InsCosto,MATCH(B260,ListaInsumos,0)),""))</f>
        <v/>
      </c>
      <c r="G260" s="19" t="str">
        <f aca="false">IF(AND(A260="",B260=""),"",IF(H260="OK",E260*F260,0))</f>
        <v/>
      </c>
      <c r="H260" s="20" t="str">
        <f aca="true">IF(AND(A260="",B260=""),"",IF(ISNA(MATCH(B260,ListaInsumos,0)),"Insumo no está en Insumos",IF(C260="","Falta cantidad",IF(IFERROR(INDEX(UnidadesBase,MATCH(D260,Unidades,0)),"")&lt;&gt;INDEX(InsBase,MATCH(B260,ListaInsumos,0)),"Unidad incompatible",IF(F260="","Insumo sin compras","OK")))))</f>
        <v/>
      </c>
      <c r="I260" s="15"/>
    </row>
    <row r="261" customFormat="false" ht="15" hidden="false" customHeight="false" outlineLevel="0" collapsed="false">
      <c r="A261" s="15"/>
      <c r="B261" s="15"/>
      <c r="C261" s="27"/>
      <c r="D261" s="15"/>
      <c r="E261" s="25" t="str">
        <f aca="true">IF(OR(C261="",D261=""),"",IFERROR(C261*INDEX(UnidadesFactor,MATCH(D261,Unidades,0)),""))</f>
        <v/>
      </c>
      <c r="F261" s="18" t="str">
        <f aca="true">IF(B261="","",IFERROR(INDEX(InsCosto,MATCH(B261,ListaInsumos,0)),""))</f>
        <v/>
      </c>
      <c r="G261" s="19" t="str">
        <f aca="false">IF(AND(A261="",B261=""),"",IF(H261="OK",E261*F261,0))</f>
        <v/>
      </c>
      <c r="H261" s="20" t="str">
        <f aca="true">IF(AND(A261="",B261=""),"",IF(ISNA(MATCH(B261,ListaInsumos,0)),"Insumo no está en Insumos",IF(C261="","Falta cantidad",IF(IFERROR(INDEX(UnidadesBase,MATCH(D261,Unidades,0)),"")&lt;&gt;INDEX(InsBase,MATCH(B261,ListaInsumos,0)),"Unidad incompatible",IF(F261="","Insumo sin compras","OK")))))</f>
        <v/>
      </c>
      <c r="I261" s="15"/>
    </row>
    <row r="262" customFormat="false" ht="15" hidden="false" customHeight="false" outlineLevel="0" collapsed="false">
      <c r="A262" s="15"/>
      <c r="B262" s="15"/>
      <c r="C262" s="27"/>
      <c r="D262" s="15"/>
      <c r="E262" s="25" t="str">
        <f aca="true">IF(OR(C262="",D262=""),"",IFERROR(C262*INDEX(UnidadesFactor,MATCH(D262,Unidades,0)),""))</f>
        <v/>
      </c>
      <c r="F262" s="18" t="str">
        <f aca="true">IF(B262="","",IFERROR(INDEX(InsCosto,MATCH(B262,ListaInsumos,0)),""))</f>
        <v/>
      </c>
      <c r="G262" s="19" t="str">
        <f aca="false">IF(AND(A262="",B262=""),"",IF(H262="OK",E262*F262,0))</f>
        <v/>
      </c>
      <c r="H262" s="20" t="str">
        <f aca="true">IF(AND(A262="",B262=""),"",IF(ISNA(MATCH(B262,ListaInsumos,0)),"Insumo no está en Insumos",IF(C262="","Falta cantidad",IF(IFERROR(INDEX(UnidadesBase,MATCH(D262,Unidades,0)),"")&lt;&gt;INDEX(InsBase,MATCH(B262,ListaInsumos,0)),"Unidad incompatible",IF(F262="","Insumo sin compras","OK")))))</f>
        <v/>
      </c>
      <c r="I262" s="15"/>
    </row>
    <row r="263" customFormat="false" ht="15" hidden="false" customHeight="false" outlineLevel="0" collapsed="false">
      <c r="A263" s="15"/>
      <c r="B263" s="15"/>
      <c r="C263" s="27"/>
      <c r="D263" s="15"/>
      <c r="E263" s="25" t="str">
        <f aca="true">IF(OR(C263="",D263=""),"",IFERROR(C263*INDEX(UnidadesFactor,MATCH(D263,Unidades,0)),""))</f>
        <v/>
      </c>
      <c r="F263" s="18" t="str">
        <f aca="true">IF(B263="","",IFERROR(INDEX(InsCosto,MATCH(B263,ListaInsumos,0)),""))</f>
        <v/>
      </c>
      <c r="G263" s="19" t="str">
        <f aca="false">IF(AND(A263="",B263=""),"",IF(H263="OK",E263*F263,0))</f>
        <v/>
      </c>
      <c r="H263" s="20" t="str">
        <f aca="true">IF(AND(A263="",B263=""),"",IF(ISNA(MATCH(B263,ListaInsumos,0)),"Insumo no está en Insumos",IF(C263="","Falta cantidad",IF(IFERROR(INDEX(UnidadesBase,MATCH(D263,Unidades,0)),"")&lt;&gt;INDEX(InsBase,MATCH(B263,ListaInsumos,0)),"Unidad incompatible",IF(F263="","Insumo sin compras","OK")))))</f>
        <v/>
      </c>
      <c r="I263" s="15"/>
    </row>
    <row r="264" customFormat="false" ht="15" hidden="false" customHeight="false" outlineLevel="0" collapsed="false">
      <c r="A264" s="15"/>
      <c r="B264" s="15"/>
      <c r="C264" s="27"/>
      <c r="D264" s="15"/>
      <c r="E264" s="25" t="str">
        <f aca="true">IF(OR(C264="",D264=""),"",IFERROR(C264*INDEX(UnidadesFactor,MATCH(D264,Unidades,0)),""))</f>
        <v/>
      </c>
      <c r="F264" s="18" t="str">
        <f aca="true">IF(B264="","",IFERROR(INDEX(InsCosto,MATCH(B264,ListaInsumos,0)),""))</f>
        <v/>
      </c>
      <c r="G264" s="19" t="str">
        <f aca="false">IF(AND(A264="",B264=""),"",IF(H264="OK",E264*F264,0))</f>
        <v/>
      </c>
      <c r="H264" s="20" t="str">
        <f aca="true">IF(AND(A264="",B264=""),"",IF(ISNA(MATCH(B264,ListaInsumos,0)),"Insumo no está en Insumos",IF(C264="","Falta cantidad",IF(IFERROR(INDEX(UnidadesBase,MATCH(D264,Unidades,0)),"")&lt;&gt;INDEX(InsBase,MATCH(B264,ListaInsumos,0)),"Unidad incompatible",IF(F264="","Insumo sin compras","OK")))))</f>
        <v/>
      </c>
      <c r="I264" s="15"/>
    </row>
    <row r="265" customFormat="false" ht="15" hidden="false" customHeight="false" outlineLevel="0" collapsed="false">
      <c r="A265" s="15"/>
      <c r="B265" s="15"/>
      <c r="C265" s="27"/>
      <c r="D265" s="15"/>
      <c r="E265" s="25" t="str">
        <f aca="true">IF(OR(C265="",D265=""),"",IFERROR(C265*INDEX(UnidadesFactor,MATCH(D265,Unidades,0)),""))</f>
        <v/>
      </c>
      <c r="F265" s="18" t="str">
        <f aca="true">IF(B265="","",IFERROR(INDEX(InsCosto,MATCH(B265,ListaInsumos,0)),""))</f>
        <v/>
      </c>
      <c r="G265" s="19" t="str">
        <f aca="false">IF(AND(A265="",B265=""),"",IF(H265="OK",E265*F265,0))</f>
        <v/>
      </c>
      <c r="H265" s="20" t="str">
        <f aca="true">IF(AND(A265="",B265=""),"",IF(ISNA(MATCH(B265,ListaInsumos,0)),"Insumo no está en Insumos",IF(C265="","Falta cantidad",IF(IFERROR(INDEX(UnidadesBase,MATCH(D265,Unidades,0)),"")&lt;&gt;INDEX(InsBase,MATCH(B265,ListaInsumos,0)),"Unidad incompatible",IF(F265="","Insumo sin compras","OK")))))</f>
        <v/>
      </c>
      <c r="I265" s="15"/>
    </row>
    <row r="266" customFormat="false" ht="15" hidden="false" customHeight="false" outlineLevel="0" collapsed="false">
      <c r="A266" s="15"/>
      <c r="B266" s="15"/>
      <c r="C266" s="27"/>
      <c r="D266" s="15"/>
      <c r="E266" s="25" t="str">
        <f aca="true">IF(OR(C266="",D266=""),"",IFERROR(C266*INDEX(UnidadesFactor,MATCH(D266,Unidades,0)),""))</f>
        <v/>
      </c>
      <c r="F266" s="18" t="str">
        <f aca="true">IF(B266="","",IFERROR(INDEX(InsCosto,MATCH(B266,ListaInsumos,0)),""))</f>
        <v/>
      </c>
      <c r="G266" s="19" t="str">
        <f aca="false">IF(AND(A266="",B266=""),"",IF(H266="OK",E266*F266,0))</f>
        <v/>
      </c>
      <c r="H266" s="20" t="str">
        <f aca="true">IF(AND(A266="",B266=""),"",IF(ISNA(MATCH(B266,ListaInsumos,0)),"Insumo no está en Insumos",IF(C266="","Falta cantidad",IF(IFERROR(INDEX(UnidadesBase,MATCH(D266,Unidades,0)),"")&lt;&gt;INDEX(InsBase,MATCH(B266,ListaInsumos,0)),"Unidad incompatible",IF(F266="","Insumo sin compras","OK")))))</f>
        <v/>
      </c>
      <c r="I266" s="15"/>
    </row>
    <row r="267" customFormat="false" ht="15" hidden="false" customHeight="false" outlineLevel="0" collapsed="false">
      <c r="A267" s="15"/>
      <c r="B267" s="15"/>
      <c r="C267" s="27"/>
      <c r="D267" s="15"/>
      <c r="E267" s="25" t="str">
        <f aca="true">IF(OR(C267="",D267=""),"",IFERROR(C267*INDEX(UnidadesFactor,MATCH(D267,Unidades,0)),""))</f>
        <v/>
      </c>
      <c r="F267" s="18" t="str">
        <f aca="true">IF(B267="","",IFERROR(INDEX(InsCosto,MATCH(B267,ListaInsumos,0)),""))</f>
        <v/>
      </c>
      <c r="G267" s="19" t="str">
        <f aca="false">IF(AND(A267="",B267=""),"",IF(H267="OK",E267*F267,0))</f>
        <v/>
      </c>
      <c r="H267" s="20" t="str">
        <f aca="true">IF(AND(A267="",B267=""),"",IF(ISNA(MATCH(B267,ListaInsumos,0)),"Insumo no está en Insumos",IF(C267="","Falta cantidad",IF(IFERROR(INDEX(UnidadesBase,MATCH(D267,Unidades,0)),"")&lt;&gt;INDEX(InsBase,MATCH(B267,ListaInsumos,0)),"Unidad incompatible",IF(F267="","Insumo sin compras","OK")))))</f>
        <v/>
      </c>
      <c r="I267" s="15"/>
    </row>
    <row r="268" customFormat="false" ht="15" hidden="false" customHeight="false" outlineLevel="0" collapsed="false">
      <c r="A268" s="15"/>
      <c r="B268" s="15"/>
      <c r="C268" s="27"/>
      <c r="D268" s="15"/>
      <c r="E268" s="25" t="str">
        <f aca="true">IF(OR(C268="",D268=""),"",IFERROR(C268*INDEX(UnidadesFactor,MATCH(D268,Unidades,0)),""))</f>
        <v/>
      </c>
      <c r="F268" s="18" t="str">
        <f aca="true">IF(B268="","",IFERROR(INDEX(InsCosto,MATCH(B268,ListaInsumos,0)),""))</f>
        <v/>
      </c>
      <c r="G268" s="19" t="str">
        <f aca="false">IF(AND(A268="",B268=""),"",IF(H268="OK",E268*F268,0))</f>
        <v/>
      </c>
      <c r="H268" s="20" t="str">
        <f aca="true">IF(AND(A268="",B268=""),"",IF(ISNA(MATCH(B268,ListaInsumos,0)),"Insumo no está en Insumos",IF(C268="","Falta cantidad",IF(IFERROR(INDEX(UnidadesBase,MATCH(D268,Unidades,0)),"")&lt;&gt;INDEX(InsBase,MATCH(B268,ListaInsumos,0)),"Unidad incompatible",IF(F268="","Insumo sin compras","OK")))))</f>
        <v/>
      </c>
      <c r="I268" s="15"/>
    </row>
    <row r="269" customFormat="false" ht="15" hidden="false" customHeight="false" outlineLevel="0" collapsed="false">
      <c r="A269" s="15"/>
      <c r="B269" s="15"/>
      <c r="C269" s="27"/>
      <c r="D269" s="15"/>
      <c r="E269" s="25" t="str">
        <f aca="true">IF(OR(C269="",D269=""),"",IFERROR(C269*INDEX(UnidadesFactor,MATCH(D269,Unidades,0)),""))</f>
        <v/>
      </c>
      <c r="F269" s="18" t="str">
        <f aca="true">IF(B269="","",IFERROR(INDEX(InsCosto,MATCH(B269,ListaInsumos,0)),""))</f>
        <v/>
      </c>
      <c r="G269" s="19" t="str">
        <f aca="false">IF(AND(A269="",B269=""),"",IF(H269="OK",E269*F269,0))</f>
        <v/>
      </c>
      <c r="H269" s="20" t="str">
        <f aca="true">IF(AND(A269="",B269=""),"",IF(ISNA(MATCH(B269,ListaInsumos,0)),"Insumo no está en Insumos",IF(C269="","Falta cantidad",IF(IFERROR(INDEX(UnidadesBase,MATCH(D269,Unidades,0)),"")&lt;&gt;INDEX(InsBase,MATCH(B269,ListaInsumos,0)),"Unidad incompatible",IF(F269="","Insumo sin compras","OK")))))</f>
        <v/>
      </c>
      <c r="I269" s="15"/>
    </row>
    <row r="270" customFormat="false" ht="15" hidden="false" customHeight="false" outlineLevel="0" collapsed="false">
      <c r="A270" s="15"/>
      <c r="B270" s="15"/>
      <c r="C270" s="27"/>
      <c r="D270" s="15"/>
      <c r="E270" s="25" t="str">
        <f aca="true">IF(OR(C270="",D270=""),"",IFERROR(C270*INDEX(UnidadesFactor,MATCH(D270,Unidades,0)),""))</f>
        <v/>
      </c>
      <c r="F270" s="18" t="str">
        <f aca="true">IF(B270="","",IFERROR(INDEX(InsCosto,MATCH(B270,ListaInsumos,0)),""))</f>
        <v/>
      </c>
      <c r="G270" s="19" t="str">
        <f aca="false">IF(AND(A270="",B270=""),"",IF(H270="OK",E270*F270,0))</f>
        <v/>
      </c>
      <c r="H270" s="20" t="str">
        <f aca="true">IF(AND(A270="",B270=""),"",IF(ISNA(MATCH(B270,ListaInsumos,0)),"Insumo no está en Insumos",IF(C270="","Falta cantidad",IF(IFERROR(INDEX(UnidadesBase,MATCH(D270,Unidades,0)),"")&lt;&gt;INDEX(InsBase,MATCH(B270,ListaInsumos,0)),"Unidad incompatible",IF(F270="","Insumo sin compras","OK")))))</f>
        <v/>
      </c>
      <c r="I270" s="15"/>
    </row>
    <row r="271" customFormat="false" ht="15" hidden="false" customHeight="false" outlineLevel="0" collapsed="false">
      <c r="A271" s="15"/>
      <c r="B271" s="15"/>
      <c r="C271" s="27"/>
      <c r="D271" s="15"/>
      <c r="E271" s="25" t="str">
        <f aca="true">IF(OR(C271="",D271=""),"",IFERROR(C271*INDEX(UnidadesFactor,MATCH(D271,Unidades,0)),""))</f>
        <v/>
      </c>
      <c r="F271" s="18" t="str">
        <f aca="true">IF(B271="","",IFERROR(INDEX(InsCosto,MATCH(B271,ListaInsumos,0)),""))</f>
        <v/>
      </c>
      <c r="G271" s="19" t="str">
        <f aca="false">IF(AND(A271="",B271=""),"",IF(H271="OK",E271*F271,0))</f>
        <v/>
      </c>
      <c r="H271" s="20" t="str">
        <f aca="true">IF(AND(A271="",B271=""),"",IF(ISNA(MATCH(B271,ListaInsumos,0)),"Insumo no está en Insumos",IF(C271="","Falta cantidad",IF(IFERROR(INDEX(UnidadesBase,MATCH(D271,Unidades,0)),"")&lt;&gt;INDEX(InsBase,MATCH(B271,ListaInsumos,0)),"Unidad incompatible",IF(F271="","Insumo sin compras","OK")))))</f>
        <v/>
      </c>
      <c r="I271" s="15"/>
    </row>
    <row r="272" customFormat="false" ht="15" hidden="false" customHeight="false" outlineLevel="0" collapsed="false">
      <c r="A272" s="15"/>
      <c r="B272" s="15"/>
      <c r="C272" s="27"/>
      <c r="D272" s="15"/>
      <c r="E272" s="25" t="str">
        <f aca="true">IF(OR(C272="",D272=""),"",IFERROR(C272*INDEX(UnidadesFactor,MATCH(D272,Unidades,0)),""))</f>
        <v/>
      </c>
      <c r="F272" s="18" t="str">
        <f aca="true">IF(B272="","",IFERROR(INDEX(InsCosto,MATCH(B272,ListaInsumos,0)),""))</f>
        <v/>
      </c>
      <c r="G272" s="19" t="str">
        <f aca="false">IF(AND(A272="",B272=""),"",IF(H272="OK",E272*F272,0))</f>
        <v/>
      </c>
      <c r="H272" s="20" t="str">
        <f aca="true">IF(AND(A272="",B272=""),"",IF(ISNA(MATCH(B272,ListaInsumos,0)),"Insumo no está en Insumos",IF(C272="","Falta cantidad",IF(IFERROR(INDEX(UnidadesBase,MATCH(D272,Unidades,0)),"")&lt;&gt;INDEX(InsBase,MATCH(B272,ListaInsumos,0)),"Unidad incompatible",IF(F272="","Insumo sin compras","OK")))))</f>
        <v/>
      </c>
      <c r="I272" s="15"/>
    </row>
    <row r="273" customFormat="false" ht="15" hidden="false" customHeight="false" outlineLevel="0" collapsed="false">
      <c r="A273" s="15"/>
      <c r="B273" s="15"/>
      <c r="C273" s="27"/>
      <c r="D273" s="15"/>
      <c r="E273" s="25" t="str">
        <f aca="true">IF(OR(C273="",D273=""),"",IFERROR(C273*INDEX(UnidadesFactor,MATCH(D273,Unidades,0)),""))</f>
        <v/>
      </c>
      <c r="F273" s="18" t="str">
        <f aca="true">IF(B273="","",IFERROR(INDEX(InsCosto,MATCH(B273,ListaInsumos,0)),""))</f>
        <v/>
      </c>
      <c r="G273" s="19" t="str">
        <f aca="false">IF(AND(A273="",B273=""),"",IF(H273="OK",E273*F273,0))</f>
        <v/>
      </c>
      <c r="H273" s="20" t="str">
        <f aca="true">IF(AND(A273="",B273=""),"",IF(ISNA(MATCH(B273,ListaInsumos,0)),"Insumo no está en Insumos",IF(C273="","Falta cantidad",IF(IFERROR(INDEX(UnidadesBase,MATCH(D273,Unidades,0)),"")&lt;&gt;INDEX(InsBase,MATCH(B273,ListaInsumos,0)),"Unidad incompatible",IF(F273="","Insumo sin compras","OK")))))</f>
        <v/>
      </c>
      <c r="I273" s="15"/>
    </row>
    <row r="274" customFormat="false" ht="15" hidden="false" customHeight="false" outlineLevel="0" collapsed="false">
      <c r="A274" s="15"/>
      <c r="B274" s="15"/>
      <c r="C274" s="27"/>
      <c r="D274" s="15"/>
      <c r="E274" s="25" t="str">
        <f aca="true">IF(OR(C274="",D274=""),"",IFERROR(C274*INDEX(UnidadesFactor,MATCH(D274,Unidades,0)),""))</f>
        <v/>
      </c>
      <c r="F274" s="18" t="str">
        <f aca="true">IF(B274="","",IFERROR(INDEX(InsCosto,MATCH(B274,ListaInsumos,0)),""))</f>
        <v/>
      </c>
      <c r="G274" s="19" t="str">
        <f aca="false">IF(AND(A274="",B274=""),"",IF(H274="OK",E274*F274,0))</f>
        <v/>
      </c>
      <c r="H274" s="20" t="str">
        <f aca="true">IF(AND(A274="",B274=""),"",IF(ISNA(MATCH(B274,ListaInsumos,0)),"Insumo no está en Insumos",IF(C274="","Falta cantidad",IF(IFERROR(INDEX(UnidadesBase,MATCH(D274,Unidades,0)),"")&lt;&gt;INDEX(InsBase,MATCH(B274,ListaInsumos,0)),"Unidad incompatible",IF(F274="","Insumo sin compras","OK")))))</f>
        <v/>
      </c>
      <c r="I274" s="15"/>
    </row>
    <row r="275" customFormat="false" ht="15" hidden="false" customHeight="false" outlineLevel="0" collapsed="false">
      <c r="A275" s="15"/>
      <c r="B275" s="15"/>
      <c r="C275" s="27"/>
      <c r="D275" s="15"/>
      <c r="E275" s="25" t="str">
        <f aca="true">IF(OR(C275="",D275=""),"",IFERROR(C275*INDEX(UnidadesFactor,MATCH(D275,Unidades,0)),""))</f>
        <v/>
      </c>
      <c r="F275" s="18" t="str">
        <f aca="true">IF(B275="","",IFERROR(INDEX(InsCosto,MATCH(B275,ListaInsumos,0)),""))</f>
        <v/>
      </c>
      <c r="G275" s="19" t="str">
        <f aca="false">IF(AND(A275="",B275=""),"",IF(H275="OK",E275*F275,0))</f>
        <v/>
      </c>
      <c r="H275" s="20" t="str">
        <f aca="true">IF(AND(A275="",B275=""),"",IF(ISNA(MATCH(B275,ListaInsumos,0)),"Insumo no está en Insumos",IF(C275="","Falta cantidad",IF(IFERROR(INDEX(UnidadesBase,MATCH(D275,Unidades,0)),"")&lt;&gt;INDEX(InsBase,MATCH(B275,ListaInsumos,0)),"Unidad incompatible",IF(F275="","Insumo sin compras","OK")))))</f>
        <v/>
      </c>
      <c r="I275" s="15"/>
    </row>
    <row r="276" customFormat="false" ht="15" hidden="false" customHeight="false" outlineLevel="0" collapsed="false">
      <c r="A276" s="15"/>
      <c r="B276" s="15"/>
      <c r="C276" s="27"/>
      <c r="D276" s="15"/>
      <c r="E276" s="25" t="str">
        <f aca="true">IF(OR(C276="",D276=""),"",IFERROR(C276*INDEX(UnidadesFactor,MATCH(D276,Unidades,0)),""))</f>
        <v/>
      </c>
      <c r="F276" s="18" t="str">
        <f aca="true">IF(B276="","",IFERROR(INDEX(InsCosto,MATCH(B276,ListaInsumos,0)),""))</f>
        <v/>
      </c>
      <c r="G276" s="19" t="str">
        <f aca="false">IF(AND(A276="",B276=""),"",IF(H276="OK",E276*F276,0))</f>
        <v/>
      </c>
      <c r="H276" s="20" t="str">
        <f aca="true">IF(AND(A276="",B276=""),"",IF(ISNA(MATCH(B276,ListaInsumos,0)),"Insumo no está en Insumos",IF(C276="","Falta cantidad",IF(IFERROR(INDEX(UnidadesBase,MATCH(D276,Unidades,0)),"")&lt;&gt;INDEX(InsBase,MATCH(B276,ListaInsumos,0)),"Unidad incompatible",IF(F276="","Insumo sin compras","OK")))))</f>
        <v/>
      </c>
      <c r="I276" s="15"/>
    </row>
    <row r="277" customFormat="false" ht="15" hidden="false" customHeight="false" outlineLevel="0" collapsed="false">
      <c r="A277" s="15"/>
      <c r="B277" s="15"/>
      <c r="C277" s="27"/>
      <c r="D277" s="15"/>
      <c r="E277" s="25" t="str">
        <f aca="true">IF(OR(C277="",D277=""),"",IFERROR(C277*INDEX(UnidadesFactor,MATCH(D277,Unidades,0)),""))</f>
        <v/>
      </c>
      <c r="F277" s="18" t="str">
        <f aca="true">IF(B277="","",IFERROR(INDEX(InsCosto,MATCH(B277,ListaInsumos,0)),""))</f>
        <v/>
      </c>
      <c r="G277" s="19" t="str">
        <f aca="false">IF(AND(A277="",B277=""),"",IF(H277="OK",E277*F277,0))</f>
        <v/>
      </c>
      <c r="H277" s="20" t="str">
        <f aca="true">IF(AND(A277="",B277=""),"",IF(ISNA(MATCH(B277,ListaInsumos,0)),"Insumo no está en Insumos",IF(C277="","Falta cantidad",IF(IFERROR(INDEX(UnidadesBase,MATCH(D277,Unidades,0)),"")&lt;&gt;INDEX(InsBase,MATCH(B277,ListaInsumos,0)),"Unidad incompatible",IF(F277="","Insumo sin compras","OK")))))</f>
        <v/>
      </c>
      <c r="I277" s="15"/>
    </row>
    <row r="278" customFormat="false" ht="15" hidden="false" customHeight="false" outlineLevel="0" collapsed="false">
      <c r="A278" s="15"/>
      <c r="B278" s="15"/>
      <c r="C278" s="27"/>
      <c r="D278" s="15"/>
      <c r="E278" s="25" t="str">
        <f aca="true">IF(OR(C278="",D278=""),"",IFERROR(C278*INDEX(UnidadesFactor,MATCH(D278,Unidades,0)),""))</f>
        <v/>
      </c>
      <c r="F278" s="18" t="str">
        <f aca="true">IF(B278="","",IFERROR(INDEX(InsCosto,MATCH(B278,ListaInsumos,0)),""))</f>
        <v/>
      </c>
      <c r="G278" s="19" t="str">
        <f aca="false">IF(AND(A278="",B278=""),"",IF(H278="OK",E278*F278,0))</f>
        <v/>
      </c>
      <c r="H278" s="20" t="str">
        <f aca="true">IF(AND(A278="",B278=""),"",IF(ISNA(MATCH(B278,ListaInsumos,0)),"Insumo no está en Insumos",IF(C278="","Falta cantidad",IF(IFERROR(INDEX(UnidadesBase,MATCH(D278,Unidades,0)),"")&lt;&gt;INDEX(InsBase,MATCH(B278,ListaInsumos,0)),"Unidad incompatible",IF(F278="","Insumo sin compras","OK")))))</f>
        <v/>
      </c>
      <c r="I278" s="15"/>
    </row>
    <row r="279" customFormat="false" ht="15" hidden="false" customHeight="false" outlineLevel="0" collapsed="false">
      <c r="A279" s="15"/>
      <c r="B279" s="15"/>
      <c r="C279" s="27"/>
      <c r="D279" s="15"/>
      <c r="E279" s="25" t="str">
        <f aca="true">IF(OR(C279="",D279=""),"",IFERROR(C279*INDEX(UnidadesFactor,MATCH(D279,Unidades,0)),""))</f>
        <v/>
      </c>
      <c r="F279" s="18" t="str">
        <f aca="true">IF(B279="","",IFERROR(INDEX(InsCosto,MATCH(B279,ListaInsumos,0)),""))</f>
        <v/>
      </c>
      <c r="G279" s="19" t="str">
        <f aca="false">IF(AND(A279="",B279=""),"",IF(H279="OK",E279*F279,0))</f>
        <v/>
      </c>
      <c r="H279" s="20" t="str">
        <f aca="true">IF(AND(A279="",B279=""),"",IF(ISNA(MATCH(B279,ListaInsumos,0)),"Insumo no está en Insumos",IF(C279="","Falta cantidad",IF(IFERROR(INDEX(UnidadesBase,MATCH(D279,Unidades,0)),"")&lt;&gt;INDEX(InsBase,MATCH(B279,ListaInsumos,0)),"Unidad incompatible",IF(F279="","Insumo sin compras","OK")))))</f>
        <v/>
      </c>
      <c r="I279" s="15"/>
    </row>
    <row r="280" customFormat="false" ht="15" hidden="false" customHeight="false" outlineLevel="0" collapsed="false">
      <c r="A280" s="15"/>
      <c r="B280" s="15"/>
      <c r="C280" s="27"/>
      <c r="D280" s="15"/>
      <c r="E280" s="25" t="str">
        <f aca="true">IF(OR(C280="",D280=""),"",IFERROR(C280*INDEX(UnidadesFactor,MATCH(D280,Unidades,0)),""))</f>
        <v/>
      </c>
      <c r="F280" s="18" t="str">
        <f aca="true">IF(B280="","",IFERROR(INDEX(InsCosto,MATCH(B280,ListaInsumos,0)),""))</f>
        <v/>
      </c>
      <c r="G280" s="19" t="str">
        <f aca="false">IF(AND(A280="",B280=""),"",IF(H280="OK",E280*F280,0))</f>
        <v/>
      </c>
      <c r="H280" s="20" t="str">
        <f aca="true">IF(AND(A280="",B280=""),"",IF(ISNA(MATCH(B280,ListaInsumos,0)),"Insumo no está en Insumos",IF(C280="","Falta cantidad",IF(IFERROR(INDEX(UnidadesBase,MATCH(D280,Unidades,0)),"")&lt;&gt;INDEX(InsBase,MATCH(B280,ListaInsumos,0)),"Unidad incompatible",IF(F280="","Insumo sin compras","OK")))))</f>
        <v/>
      </c>
      <c r="I280" s="15"/>
    </row>
    <row r="281" customFormat="false" ht="15" hidden="false" customHeight="false" outlineLevel="0" collapsed="false">
      <c r="A281" s="15"/>
      <c r="B281" s="15"/>
      <c r="C281" s="27"/>
      <c r="D281" s="15"/>
      <c r="E281" s="25" t="str">
        <f aca="true">IF(OR(C281="",D281=""),"",IFERROR(C281*INDEX(UnidadesFactor,MATCH(D281,Unidades,0)),""))</f>
        <v/>
      </c>
      <c r="F281" s="18" t="str">
        <f aca="true">IF(B281="","",IFERROR(INDEX(InsCosto,MATCH(B281,ListaInsumos,0)),""))</f>
        <v/>
      </c>
      <c r="G281" s="19" t="str">
        <f aca="false">IF(AND(A281="",B281=""),"",IF(H281="OK",E281*F281,0))</f>
        <v/>
      </c>
      <c r="H281" s="20" t="str">
        <f aca="true">IF(AND(A281="",B281=""),"",IF(ISNA(MATCH(B281,ListaInsumos,0)),"Insumo no está en Insumos",IF(C281="","Falta cantidad",IF(IFERROR(INDEX(UnidadesBase,MATCH(D281,Unidades,0)),"")&lt;&gt;INDEX(InsBase,MATCH(B281,ListaInsumos,0)),"Unidad incompatible",IF(F281="","Insumo sin compras","OK")))))</f>
        <v/>
      </c>
      <c r="I281" s="15"/>
    </row>
    <row r="282" customFormat="false" ht="15" hidden="false" customHeight="false" outlineLevel="0" collapsed="false">
      <c r="A282" s="15"/>
      <c r="B282" s="15"/>
      <c r="C282" s="27"/>
      <c r="D282" s="15"/>
      <c r="E282" s="25" t="str">
        <f aca="true">IF(OR(C282="",D282=""),"",IFERROR(C282*INDEX(UnidadesFactor,MATCH(D282,Unidades,0)),""))</f>
        <v/>
      </c>
      <c r="F282" s="18" t="str">
        <f aca="true">IF(B282="","",IFERROR(INDEX(InsCosto,MATCH(B282,ListaInsumos,0)),""))</f>
        <v/>
      </c>
      <c r="G282" s="19" t="str">
        <f aca="false">IF(AND(A282="",B282=""),"",IF(H282="OK",E282*F282,0))</f>
        <v/>
      </c>
      <c r="H282" s="20" t="str">
        <f aca="true">IF(AND(A282="",B282=""),"",IF(ISNA(MATCH(B282,ListaInsumos,0)),"Insumo no está en Insumos",IF(C282="","Falta cantidad",IF(IFERROR(INDEX(UnidadesBase,MATCH(D282,Unidades,0)),"")&lt;&gt;INDEX(InsBase,MATCH(B282,ListaInsumos,0)),"Unidad incompatible",IF(F282="","Insumo sin compras","OK")))))</f>
        <v/>
      </c>
      <c r="I282" s="15"/>
    </row>
    <row r="283" customFormat="false" ht="15" hidden="false" customHeight="false" outlineLevel="0" collapsed="false">
      <c r="A283" s="15"/>
      <c r="B283" s="15"/>
      <c r="C283" s="27"/>
      <c r="D283" s="15"/>
      <c r="E283" s="25" t="str">
        <f aca="true">IF(OR(C283="",D283=""),"",IFERROR(C283*INDEX(UnidadesFactor,MATCH(D283,Unidades,0)),""))</f>
        <v/>
      </c>
      <c r="F283" s="18" t="str">
        <f aca="true">IF(B283="","",IFERROR(INDEX(InsCosto,MATCH(B283,ListaInsumos,0)),""))</f>
        <v/>
      </c>
      <c r="G283" s="19" t="str">
        <f aca="false">IF(AND(A283="",B283=""),"",IF(H283="OK",E283*F283,0))</f>
        <v/>
      </c>
      <c r="H283" s="20" t="str">
        <f aca="true">IF(AND(A283="",B283=""),"",IF(ISNA(MATCH(B283,ListaInsumos,0)),"Insumo no está en Insumos",IF(C283="","Falta cantidad",IF(IFERROR(INDEX(UnidadesBase,MATCH(D283,Unidades,0)),"")&lt;&gt;INDEX(InsBase,MATCH(B283,ListaInsumos,0)),"Unidad incompatible",IF(F283="","Insumo sin compras","OK")))))</f>
        <v/>
      </c>
      <c r="I283" s="15"/>
    </row>
    <row r="284" customFormat="false" ht="15" hidden="false" customHeight="false" outlineLevel="0" collapsed="false">
      <c r="A284" s="15"/>
      <c r="B284" s="15"/>
      <c r="C284" s="27"/>
      <c r="D284" s="15"/>
      <c r="E284" s="25" t="str">
        <f aca="true">IF(OR(C284="",D284=""),"",IFERROR(C284*INDEX(UnidadesFactor,MATCH(D284,Unidades,0)),""))</f>
        <v/>
      </c>
      <c r="F284" s="18" t="str">
        <f aca="true">IF(B284="","",IFERROR(INDEX(InsCosto,MATCH(B284,ListaInsumos,0)),""))</f>
        <v/>
      </c>
      <c r="G284" s="19" t="str">
        <f aca="false">IF(AND(A284="",B284=""),"",IF(H284="OK",E284*F284,0))</f>
        <v/>
      </c>
      <c r="H284" s="20" t="str">
        <f aca="true">IF(AND(A284="",B284=""),"",IF(ISNA(MATCH(B284,ListaInsumos,0)),"Insumo no está en Insumos",IF(C284="","Falta cantidad",IF(IFERROR(INDEX(UnidadesBase,MATCH(D284,Unidades,0)),"")&lt;&gt;INDEX(InsBase,MATCH(B284,ListaInsumos,0)),"Unidad incompatible",IF(F284="","Insumo sin compras","OK")))))</f>
        <v/>
      </c>
      <c r="I284" s="15"/>
    </row>
    <row r="285" customFormat="false" ht="15" hidden="false" customHeight="false" outlineLevel="0" collapsed="false">
      <c r="A285" s="15"/>
      <c r="B285" s="15"/>
      <c r="C285" s="27"/>
      <c r="D285" s="15"/>
      <c r="E285" s="25" t="str">
        <f aca="true">IF(OR(C285="",D285=""),"",IFERROR(C285*INDEX(UnidadesFactor,MATCH(D285,Unidades,0)),""))</f>
        <v/>
      </c>
      <c r="F285" s="18" t="str">
        <f aca="true">IF(B285="","",IFERROR(INDEX(InsCosto,MATCH(B285,ListaInsumos,0)),""))</f>
        <v/>
      </c>
      <c r="G285" s="19" t="str">
        <f aca="false">IF(AND(A285="",B285=""),"",IF(H285="OK",E285*F285,0))</f>
        <v/>
      </c>
      <c r="H285" s="20" t="str">
        <f aca="true">IF(AND(A285="",B285=""),"",IF(ISNA(MATCH(B285,ListaInsumos,0)),"Insumo no está en Insumos",IF(C285="","Falta cantidad",IF(IFERROR(INDEX(UnidadesBase,MATCH(D285,Unidades,0)),"")&lt;&gt;INDEX(InsBase,MATCH(B285,ListaInsumos,0)),"Unidad incompatible",IF(F285="","Insumo sin compras","OK")))))</f>
        <v/>
      </c>
      <c r="I285" s="15"/>
    </row>
    <row r="286" customFormat="false" ht="15" hidden="false" customHeight="false" outlineLevel="0" collapsed="false">
      <c r="A286" s="15"/>
      <c r="B286" s="15"/>
      <c r="C286" s="27"/>
      <c r="D286" s="15"/>
      <c r="E286" s="25" t="str">
        <f aca="true">IF(OR(C286="",D286=""),"",IFERROR(C286*INDEX(UnidadesFactor,MATCH(D286,Unidades,0)),""))</f>
        <v/>
      </c>
      <c r="F286" s="18" t="str">
        <f aca="true">IF(B286="","",IFERROR(INDEX(InsCosto,MATCH(B286,ListaInsumos,0)),""))</f>
        <v/>
      </c>
      <c r="G286" s="19" t="str">
        <f aca="false">IF(AND(A286="",B286=""),"",IF(H286="OK",E286*F286,0))</f>
        <v/>
      </c>
      <c r="H286" s="20" t="str">
        <f aca="true">IF(AND(A286="",B286=""),"",IF(ISNA(MATCH(B286,ListaInsumos,0)),"Insumo no está en Insumos",IF(C286="","Falta cantidad",IF(IFERROR(INDEX(UnidadesBase,MATCH(D286,Unidades,0)),"")&lt;&gt;INDEX(InsBase,MATCH(B286,ListaInsumos,0)),"Unidad incompatible",IF(F286="","Insumo sin compras","OK")))))</f>
        <v/>
      </c>
      <c r="I286" s="15"/>
    </row>
    <row r="287" customFormat="false" ht="15" hidden="false" customHeight="false" outlineLevel="0" collapsed="false">
      <c r="A287" s="15"/>
      <c r="B287" s="15"/>
      <c r="C287" s="27"/>
      <c r="D287" s="15"/>
      <c r="E287" s="25" t="str">
        <f aca="true">IF(OR(C287="",D287=""),"",IFERROR(C287*INDEX(UnidadesFactor,MATCH(D287,Unidades,0)),""))</f>
        <v/>
      </c>
      <c r="F287" s="18" t="str">
        <f aca="true">IF(B287="","",IFERROR(INDEX(InsCosto,MATCH(B287,ListaInsumos,0)),""))</f>
        <v/>
      </c>
      <c r="G287" s="19" t="str">
        <f aca="false">IF(AND(A287="",B287=""),"",IF(H287="OK",E287*F287,0))</f>
        <v/>
      </c>
      <c r="H287" s="20" t="str">
        <f aca="true">IF(AND(A287="",B287=""),"",IF(ISNA(MATCH(B287,ListaInsumos,0)),"Insumo no está en Insumos",IF(C287="","Falta cantidad",IF(IFERROR(INDEX(UnidadesBase,MATCH(D287,Unidades,0)),"")&lt;&gt;INDEX(InsBase,MATCH(B287,ListaInsumos,0)),"Unidad incompatible",IF(F287="","Insumo sin compras","OK")))))</f>
        <v/>
      </c>
      <c r="I287" s="15"/>
    </row>
    <row r="288" customFormat="false" ht="15" hidden="false" customHeight="false" outlineLevel="0" collapsed="false">
      <c r="A288" s="15"/>
      <c r="B288" s="15"/>
      <c r="C288" s="27"/>
      <c r="D288" s="15"/>
      <c r="E288" s="25" t="str">
        <f aca="true">IF(OR(C288="",D288=""),"",IFERROR(C288*INDEX(UnidadesFactor,MATCH(D288,Unidades,0)),""))</f>
        <v/>
      </c>
      <c r="F288" s="18" t="str">
        <f aca="true">IF(B288="","",IFERROR(INDEX(InsCosto,MATCH(B288,ListaInsumos,0)),""))</f>
        <v/>
      </c>
      <c r="G288" s="19" t="str">
        <f aca="false">IF(AND(A288="",B288=""),"",IF(H288="OK",E288*F288,0))</f>
        <v/>
      </c>
      <c r="H288" s="20" t="str">
        <f aca="true">IF(AND(A288="",B288=""),"",IF(ISNA(MATCH(B288,ListaInsumos,0)),"Insumo no está en Insumos",IF(C288="","Falta cantidad",IF(IFERROR(INDEX(UnidadesBase,MATCH(D288,Unidades,0)),"")&lt;&gt;INDEX(InsBase,MATCH(B288,ListaInsumos,0)),"Unidad incompatible",IF(F288="","Insumo sin compras","OK")))))</f>
        <v/>
      </c>
      <c r="I288" s="15"/>
    </row>
    <row r="289" customFormat="false" ht="15" hidden="false" customHeight="false" outlineLevel="0" collapsed="false">
      <c r="A289" s="15"/>
      <c r="B289" s="15"/>
      <c r="C289" s="27"/>
      <c r="D289" s="15"/>
      <c r="E289" s="25" t="str">
        <f aca="true">IF(OR(C289="",D289=""),"",IFERROR(C289*INDEX(UnidadesFactor,MATCH(D289,Unidades,0)),""))</f>
        <v/>
      </c>
      <c r="F289" s="18" t="str">
        <f aca="true">IF(B289="","",IFERROR(INDEX(InsCosto,MATCH(B289,ListaInsumos,0)),""))</f>
        <v/>
      </c>
      <c r="G289" s="19" t="str">
        <f aca="false">IF(AND(A289="",B289=""),"",IF(H289="OK",E289*F289,0))</f>
        <v/>
      </c>
      <c r="H289" s="20" t="str">
        <f aca="true">IF(AND(A289="",B289=""),"",IF(ISNA(MATCH(B289,ListaInsumos,0)),"Insumo no está en Insumos",IF(C289="","Falta cantidad",IF(IFERROR(INDEX(UnidadesBase,MATCH(D289,Unidades,0)),"")&lt;&gt;INDEX(InsBase,MATCH(B289,ListaInsumos,0)),"Unidad incompatible",IF(F289="","Insumo sin compras","OK")))))</f>
        <v/>
      </c>
      <c r="I289" s="15"/>
    </row>
    <row r="290" customFormat="false" ht="15" hidden="false" customHeight="false" outlineLevel="0" collapsed="false">
      <c r="A290" s="15"/>
      <c r="B290" s="15"/>
      <c r="C290" s="27"/>
      <c r="D290" s="15"/>
      <c r="E290" s="25" t="str">
        <f aca="true">IF(OR(C290="",D290=""),"",IFERROR(C290*INDEX(UnidadesFactor,MATCH(D290,Unidades,0)),""))</f>
        <v/>
      </c>
      <c r="F290" s="18" t="str">
        <f aca="true">IF(B290="","",IFERROR(INDEX(InsCosto,MATCH(B290,ListaInsumos,0)),""))</f>
        <v/>
      </c>
      <c r="G290" s="19" t="str">
        <f aca="false">IF(AND(A290="",B290=""),"",IF(H290="OK",E290*F290,0))</f>
        <v/>
      </c>
      <c r="H290" s="20" t="str">
        <f aca="true">IF(AND(A290="",B290=""),"",IF(ISNA(MATCH(B290,ListaInsumos,0)),"Insumo no está en Insumos",IF(C290="","Falta cantidad",IF(IFERROR(INDEX(UnidadesBase,MATCH(D290,Unidades,0)),"")&lt;&gt;INDEX(InsBase,MATCH(B290,ListaInsumos,0)),"Unidad incompatible",IF(F290="","Insumo sin compras","OK")))))</f>
        <v/>
      </c>
      <c r="I290" s="15"/>
    </row>
    <row r="291" customFormat="false" ht="15" hidden="false" customHeight="false" outlineLevel="0" collapsed="false">
      <c r="A291" s="15"/>
      <c r="B291" s="15"/>
      <c r="C291" s="27"/>
      <c r="D291" s="15"/>
      <c r="E291" s="25" t="str">
        <f aca="true">IF(OR(C291="",D291=""),"",IFERROR(C291*INDEX(UnidadesFactor,MATCH(D291,Unidades,0)),""))</f>
        <v/>
      </c>
      <c r="F291" s="18" t="str">
        <f aca="true">IF(B291="","",IFERROR(INDEX(InsCosto,MATCH(B291,ListaInsumos,0)),""))</f>
        <v/>
      </c>
      <c r="G291" s="19" t="str">
        <f aca="false">IF(AND(A291="",B291=""),"",IF(H291="OK",E291*F291,0))</f>
        <v/>
      </c>
      <c r="H291" s="20" t="str">
        <f aca="true">IF(AND(A291="",B291=""),"",IF(ISNA(MATCH(B291,ListaInsumos,0)),"Insumo no está en Insumos",IF(C291="","Falta cantidad",IF(IFERROR(INDEX(UnidadesBase,MATCH(D291,Unidades,0)),"")&lt;&gt;INDEX(InsBase,MATCH(B291,ListaInsumos,0)),"Unidad incompatible",IF(F291="","Insumo sin compras","OK")))))</f>
        <v/>
      </c>
      <c r="I291" s="15"/>
    </row>
    <row r="292" customFormat="false" ht="15" hidden="false" customHeight="false" outlineLevel="0" collapsed="false">
      <c r="A292" s="15"/>
      <c r="B292" s="15"/>
      <c r="C292" s="27"/>
      <c r="D292" s="15"/>
      <c r="E292" s="25" t="str">
        <f aca="true">IF(OR(C292="",D292=""),"",IFERROR(C292*INDEX(UnidadesFactor,MATCH(D292,Unidades,0)),""))</f>
        <v/>
      </c>
      <c r="F292" s="18" t="str">
        <f aca="true">IF(B292="","",IFERROR(INDEX(InsCosto,MATCH(B292,ListaInsumos,0)),""))</f>
        <v/>
      </c>
      <c r="G292" s="19" t="str">
        <f aca="false">IF(AND(A292="",B292=""),"",IF(H292="OK",E292*F292,0))</f>
        <v/>
      </c>
      <c r="H292" s="20" t="str">
        <f aca="true">IF(AND(A292="",B292=""),"",IF(ISNA(MATCH(B292,ListaInsumos,0)),"Insumo no está en Insumos",IF(C292="","Falta cantidad",IF(IFERROR(INDEX(UnidadesBase,MATCH(D292,Unidades,0)),"")&lt;&gt;INDEX(InsBase,MATCH(B292,ListaInsumos,0)),"Unidad incompatible",IF(F292="","Insumo sin compras","OK")))))</f>
        <v/>
      </c>
      <c r="I292" s="15"/>
    </row>
    <row r="293" customFormat="false" ht="15" hidden="false" customHeight="false" outlineLevel="0" collapsed="false">
      <c r="A293" s="15"/>
      <c r="B293" s="15"/>
      <c r="C293" s="27"/>
      <c r="D293" s="15"/>
      <c r="E293" s="25" t="str">
        <f aca="true">IF(OR(C293="",D293=""),"",IFERROR(C293*INDEX(UnidadesFactor,MATCH(D293,Unidades,0)),""))</f>
        <v/>
      </c>
      <c r="F293" s="18" t="str">
        <f aca="true">IF(B293="","",IFERROR(INDEX(InsCosto,MATCH(B293,ListaInsumos,0)),""))</f>
        <v/>
      </c>
      <c r="G293" s="19" t="str">
        <f aca="false">IF(AND(A293="",B293=""),"",IF(H293="OK",E293*F293,0))</f>
        <v/>
      </c>
      <c r="H293" s="20" t="str">
        <f aca="true">IF(AND(A293="",B293=""),"",IF(ISNA(MATCH(B293,ListaInsumos,0)),"Insumo no está en Insumos",IF(C293="","Falta cantidad",IF(IFERROR(INDEX(UnidadesBase,MATCH(D293,Unidades,0)),"")&lt;&gt;INDEX(InsBase,MATCH(B293,ListaInsumos,0)),"Unidad incompatible",IF(F293="","Insumo sin compras","OK")))))</f>
        <v/>
      </c>
      <c r="I293" s="15"/>
    </row>
    <row r="294" customFormat="false" ht="15" hidden="false" customHeight="false" outlineLevel="0" collapsed="false">
      <c r="A294" s="15"/>
      <c r="B294" s="15"/>
      <c r="C294" s="27"/>
      <c r="D294" s="15"/>
      <c r="E294" s="25" t="str">
        <f aca="true">IF(OR(C294="",D294=""),"",IFERROR(C294*INDEX(UnidadesFactor,MATCH(D294,Unidades,0)),""))</f>
        <v/>
      </c>
      <c r="F294" s="18" t="str">
        <f aca="true">IF(B294="","",IFERROR(INDEX(InsCosto,MATCH(B294,ListaInsumos,0)),""))</f>
        <v/>
      </c>
      <c r="G294" s="19" t="str">
        <f aca="false">IF(AND(A294="",B294=""),"",IF(H294="OK",E294*F294,0))</f>
        <v/>
      </c>
      <c r="H294" s="20" t="str">
        <f aca="true">IF(AND(A294="",B294=""),"",IF(ISNA(MATCH(B294,ListaInsumos,0)),"Insumo no está en Insumos",IF(C294="","Falta cantidad",IF(IFERROR(INDEX(UnidadesBase,MATCH(D294,Unidades,0)),"")&lt;&gt;INDEX(InsBase,MATCH(B294,ListaInsumos,0)),"Unidad incompatible",IF(F294="","Insumo sin compras","OK")))))</f>
        <v/>
      </c>
      <c r="I294" s="15"/>
    </row>
    <row r="295" customFormat="false" ht="15" hidden="false" customHeight="false" outlineLevel="0" collapsed="false">
      <c r="A295" s="15"/>
      <c r="B295" s="15"/>
      <c r="C295" s="27"/>
      <c r="D295" s="15"/>
      <c r="E295" s="25" t="str">
        <f aca="true">IF(OR(C295="",D295=""),"",IFERROR(C295*INDEX(UnidadesFactor,MATCH(D295,Unidades,0)),""))</f>
        <v/>
      </c>
      <c r="F295" s="18" t="str">
        <f aca="true">IF(B295="","",IFERROR(INDEX(InsCosto,MATCH(B295,ListaInsumos,0)),""))</f>
        <v/>
      </c>
      <c r="G295" s="19" t="str">
        <f aca="false">IF(AND(A295="",B295=""),"",IF(H295="OK",E295*F295,0))</f>
        <v/>
      </c>
      <c r="H295" s="20" t="str">
        <f aca="true">IF(AND(A295="",B295=""),"",IF(ISNA(MATCH(B295,ListaInsumos,0)),"Insumo no está en Insumos",IF(C295="","Falta cantidad",IF(IFERROR(INDEX(UnidadesBase,MATCH(D295,Unidades,0)),"")&lt;&gt;INDEX(InsBase,MATCH(B295,ListaInsumos,0)),"Unidad incompatible",IF(F295="","Insumo sin compras","OK")))))</f>
        <v/>
      </c>
      <c r="I295" s="15"/>
    </row>
    <row r="296" customFormat="false" ht="15" hidden="false" customHeight="false" outlineLevel="0" collapsed="false">
      <c r="A296" s="15"/>
      <c r="B296" s="15"/>
      <c r="C296" s="27"/>
      <c r="D296" s="15"/>
      <c r="E296" s="25" t="str">
        <f aca="true">IF(OR(C296="",D296=""),"",IFERROR(C296*INDEX(UnidadesFactor,MATCH(D296,Unidades,0)),""))</f>
        <v/>
      </c>
      <c r="F296" s="18" t="str">
        <f aca="true">IF(B296="","",IFERROR(INDEX(InsCosto,MATCH(B296,ListaInsumos,0)),""))</f>
        <v/>
      </c>
      <c r="G296" s="19" t="str">
        <f aca="false">IF(AND(A296="",B296=""),"",IF(H296="OK",E296*F296,0))</f>
        <v/>
      </c>
      <c r="H296" s="20" t="str">
        <f aca="true">IF(AND(A296="",B296=""),"",IF(ISNA(MATCH(B296,ListaInsumos,0)),"Insumo no está en Insumos",IF(C296="","Falta cantidad",IF(IFERROR(INDEX(UnidadesBase,MATCH(D296,Unidades,0)),"")&lt;&gt;INDEX(InsBase,MATCH(B296,ListaInsumos,0)),"Unidad incompatible",IF(F296="","Insumo sin compras","OK")))))</f>
        <v/>
      </c>
      <c r="I296" s="15"/>
    </row>
    <row r="297" customFormat="false" ht="15" hidden="false" customHeight="false" outlineLevel="0" collapsed="false">
      <c r="A297" s="15"/>
      <c r="B297" s="15"/>
      <c r="C297" s="27"/>
      <c r="D297" s="15"/>
      <c r="E297" s="25" t="str">
        <f aca="true">IF(OR(C297="",D297=""),"",IFERROR(C297*INDEX(UnidadesFactor,MATCH(D297,Unidades,0)),""))</f>
        <v/>
      </c>
      <c r="F297" s="18" t="str">
        <f aca="true">IF(B297="","",IFERROR(INDEX(InsCosto,MATCH(B297,ListaInsumos,0)),""))</f>
        <v/>
      </c>
      <c r="G297" s="19" t="str">
        <f aca="false">IF(AND(A297="",B297=""),"",IF(H297="OK",E297*F297,0))</f>
        <v/>
      </c>
      <c r="H297" s="20" t="str">
        <f aca="true">IF(AND(A297="",B297=""),"",IF(ISNA(MATCH(B297,ListaInsumos,0)),"Insumo no está en Insumos",IF(C297="","Falta cantidad",IF(IFERROR(INDEX(UnidadesBase,MATCH(D297,Unidades,0)),"")&lt;&gt;INDEX(InsBase,MATCH(B297,ListaInsumos,0)),"Unidad incompatible",IF(F297="","Insumo sin compras","OK")))))</f>
        <v/>
      </c>
      <c r="I297" s="15"/>
    </row>
    <row r="298" customFormat="false" ht="15" hidden="false" customHeight="false" outlineLevel="0" collapsed="false">
      <c r="A298" s="15"/>
      <c r="B298" s="15"/>
      <c r="C298" s="27"/>
      <c r="D298" s="15"/>
      <c r="E298" s="25" t="str">
        <f aca="true">IF(OR(C298="",D298=""),"",IFERROR(C298*INDEX(UnidadesFactor,MATCH(D298,Unidades,0)),""))</f>
        <v/>
      </c>
      <c r="F298" s="18" t="str">
        <f aca="true">IF(B298="","",IFERROR(INDEX(InsCosto,MATCH(B298,ListaInsumos,0)),""))</f>
        <v/>
      </c>
      <c r="G298" s="19" t="str">
        <f aca="false">IF(AND(A298="",B298=""),"",IF(H298="OK",E298*F298,0))</f>
        <v/>
      </c>
      <c r="H298" s="20" t="str">
        <f aca="true">IF(AND(A298="",B298=""),"",IF(ISNA(MATCH(B298,ListaInsumos,0)),"Insumo no está en Insumos",IF(C298="","Falta cantidad",IF(IFERROR(INDEX(UnidadesBase,MATCH(D298,Unidades,0)),"")&lt;&gt;INDEX(InsBase,MATCH(B298,ListaInsumos,0)),"Unidad incompatible",IF(F298="","Insumo sin compras","OK")))))</f>
        <v/>
      </c>
      <c r="I298" s="15"/>
    </row>
    <row r="299" customFormat="false" ht="15" hidden="false" customHeight="false" outlineLevel="0" collapsed="false">
      <c r="A299" s="15"/>
      <c r="B299" s="15"/>
      <c r="C299" s="27"/>
      <c r="D299" s="15"/>
      <c r="E299" s="25" t="str">
        <f aca="true">IF(OR(C299="",D299=""),"",IFERROR(C299*INDEX(UnidadesFactor,MATCH(D299,Unidades,0)),""))</f>
        <v/>
      </c>
      <c r="F299" s="18" t="str">
        <f aca="true">IF(B299="","",IFERROR(INDEX(InsCosto,MATCH(B299,ListaInsumos,0)),""))</f>
        <v/>
      </c>
      <c r="G299" s="19" t="str">
        <f aca="false">IF(AND(A299="",B299=""),"",IF(H299="OK",E299*F299,0))</f>
        <v/>
      </c>
      <c r="H299" s="20" t="str">
        <f aca="true">IF(AND(A299="",B299=""),"",IF(ISNA(MATCH(B299,ListaInsumos,0)),"Insumo no está en Insumos",IF(C299="","Falta cantidad",IF(IFERROR(INDEX(UnidadesBase,MATCH(D299,Unidades,0)),"")&lt;&gt;INDEX(InsBase,MATCH(B299,ListaInsumos,0)),"Unidad incompatible",IF(F299="","Insumo sin compras","OK")))))</f>
        <v/>
      </c>
      <c r="I299" s="15"/>
    </row>
    <row r="300" customFormat="false" ht="15" hidden="false" customHeight="false" outlineLevel="0" collapsed="false">
      <c r="A300" s="15"/>
      <c r="B300" s="15"/>
      <c r="C300" s="27"/>
      <c r="D300" s="15"/>
      <c r="E300" s="25" t="str">
        <f aca="true">IF(OR(C300="",D300=""),"",IFERROR(C300*INDEX(UnidadesFactor,MATCH(D300,Unidades,0)),""))</f>
        <v/>
      </c>
      <c r="F300" s="18" t="str">
        <f aca="true">IF(B300="","",IFERROR(INDEX(InsCosto,MATCH(B300,ListaInsumos,0)),""))</f>
        <v/>
      </c>
      <c r="G300" s="19" t="str">
        <f aca="false">IF(AND(A300="",B300=""),"",IF(H300="OK",E300*F300,0))</f>
        <v/>
      </c>
      <c r="H300" s="20" t="str">
        <f aca="true">IF(AND(A300="",B300=""),"",IF(ISNA(MATCH(B300,ListaInsumos,0)),"Insumo no está en Insumos",IF(C300="","Falta cantidad",IF(IFERROR(INDEX(UnidadesBase,MATCH(D300,Unidades,0)),"")&lt;&gt;INDEX(InsBase,MATCH(B300,ListaInsumos,0)),"Unidad incompatible",IF(F300="","Insumo sin compras","OK")))))</f>
        <v/>
      </c>
      <c r="I300" s="15"/>
    </row>
    <row r="301" customFormat="false" ht="15" hidden="false" customHeight="false" outlineLevel="0" collapsed="false">
      <c r="A301" s="15"/>
      <c r="B301" s="15"/>
      <c r="C301" s="27"/>
      <c r="D301" s="15"/>
      <c r="E301" s="25" t="str">
        <f aca="true">IF(OR(C301="",D301=""),"",IFERROR(C301*INDEX(UnidadesFactor,MATCH(D301,Unidades,0)),""))</f>
        <v/>
      </c>
      <c r="F301" s="18" t="str">
        <f aca="true">IF(B301="","",IFERROR(INDEX(InsCosto,MATCH(B301,ListaInsumos,0)),""))</f>
        <v/>
      </c>
      <c r="G301" s="19" t="str">
        <f aca="false">IF(AND(A301="",B301=""),"",IF(H301="OK",E301*F301,0))</f>
        <v/>
      </c>
      <c r="H301" s="20" t="str">
        <f aca="true">IF(AND(A301="",B301=""),"",IF(ISNA(MATCH(B301,ListaInsumos,0)),"Insumo no está en Insumos",IF(C301="","Falta cantidad",IF(IFERROR(INDEX(UnidadesBase,MATCH(D301,Unidades,0)),"")&lt;&gt;INDEX(InsBase,MATCH(B301,ListaInsumos,0)),"Unidad incompatible",IF(F301="","Insumo sin compras","OK")))))</f>
        <v/>
      </c>
      <c r="I301" s="15"/>
    </row>
    <row r="302" customFormat="false" ht="15" hidden="false" customHeight="false" outlineLevel="0" collapsed="false">
      <c r="A302" s="15"/>
      <c r="B302" s="15"/>
      <c r="C302" s="27"/>
      <c r="D302" s="15"/>
      <c r="E302" s="25" t="str">
        <f aca="true">IF(OR(C302="",D302=""),"",IFERROR(C302*INDEX(UnidadesFactor,MATCH(D302,Unidades,0)),""))</f>
        <v/>
      </c>
      <c r="F302" s="18" t="str">
        <f aca="true">IF(B302="","",IFERROR(INDEX(InsCosto,MATCH(B302,ListaInsumos,0)),""))</f>
        <v/>
      </c>
      <c r="G302" s="19" t="str">
        <f aca="false">IF(AND(A302="",B302=""),"",IF(H302="OK",E302*F302,0))</f>
        <v/>
      </c>
      <c r="H302" s="20" t="str">
        <f aca="true">IF(AND(A302="",B302=""),"",IF(ISNA(MATCH(B302,ListaInsumos,0)),"Insumo no está en Insumos",IF(C302="","Falta cantidad",IF(IFERROR(INDEX(UnidadesBase,MATCH(D302,Unidades,0)),"")&lt;&gt;INDEX(InsBase,MATCH(B302,ListaInsumos,0)),"Unidad incompatible",IF(F302="","Insumo sin compras","OK")))))</f>
        <v/>
      </c>
      <c r="I302" s="15"/>
    </row>
    <row r="303" customFormat="false" ht="15" hidden="false" customHeight="false" outlineLevel="0" collapsed="false">
      <c r="A303" s="15"/>
      <c r="B303" s="15"/>
      <c r="C303" s="27"/>
      <c r="D303" s="15"/>
      <c r="E303" s="25" t="str">
        <f aca="true">IF(OR(C303="",D303=""),"",IFERROR(C303*INDEX(UnidadesFactor,MATCH(D303,Unidades,0)),""))</f>
        <v/>
      </c>
      <c r="F303" s="18" t="str">
        <f aca="true">IF(B303="","",IFERROR(INDEX(InsCosto,MATCH(B303,ListaInsumos,0)),""))</f>
        <v/>
      </c>
      <c r="G303" s="19" t="str">
        <f aca="false">IF(AND(A303="",B303=""),"",IF(H303="OK",E303*F303,0))</f>
        <v/>
      </c>
      <c r="H303" s="20" t="str">
        <f aca="true">IF(AND(A303="",B303=""),"",IF(ISNA(MATCH(B303,ListaInsumos,0)),"Insumo no está en Insumos",IF(C303="","Falta cantidad",IF(IFERROR(INDEX(UnidadesBase,MATCH(D303,Unidades,0)),"")&lt;&gt;INDEX(InsBase,MATCH(B303,ListaInsumos,0)),"Unidad incompatible",IF(F303="","Insumo sin compras","OK")))))</f>
        <v/>
      </c>
      <c r="I303" s="15"/>
    </row>
    <row r="304" customFormat="false" ht="15" hidden="false" customHeight="false" outlineLevel="0" collapsed="false">
      <c r="A304" s="15"/>
      <c r="B304" s="15"/>
      <c r="C304" s="27"/>
      <c r="D304" s="15"/>
      <c r="E304" s="25" t="str">
        <f aca="true">IF(OR(C304="",D304=""),"",IFERROR(C304*INDEX(UnidadesFactor,MATCH(D304,Unidades,0)),""))</f>
        <v/>
      </c>
      <c r="F304" s="18" t="str">
        <f aca="true">IF(B304="","",IFERROR(INDEX(InsCosto,MATCH(B304,ListaInsumos,0)),""))</f>
        <v/>
      </c>
      <c r="G304" s="19" t="str">
        <f aca="false">IF(AND(A304="",B304=""),"",IF(H304="OK",E304*F304,0))</f>
        <v/>
      </c>
      <c r="H304" s="20" t="str">
        <f aca="true">IF(AND(A304="",B304=""),"",IF(ISNA(MATCH(B304,ListaInsumos,0)),"Insumo no está en Insumos",IF(C304="","Falta cantidad",IF(IFERROR(INDEX(UnidadesBase,MATCH(D304,Unidades,0)),"")&lt;&gt;INDEX(InsBase,MATCH(B304,ListaInsumos,0)),"Unidad incompatible",IF(F304="","Insumo sin compras","OK")))))</f>
        <v/>
      </c>
      <c r="I304" s="15"/>
    </row>
    <row r="305" customFormat="false" ht="15" hidden="false" customHeight="false" outlineLevel="0" collapsed="false">
      <c r="A305" s="15"/>
      <c r="B305" s="15"/>
      <c r="C305" s="27"/>
      <c r="D305" s="15"/>
      <c r="E305" s="25" t="str">
        <f aca="true">IF(OR(C305="",D305=""),"",IFERROR(C305*INDEX(UnidadesFactor,MATCH(D305,Unidades,0)),""))</f>
        <v/>
      </c>
      <c r="F305" s="18" t="str">
        <f aca="true">IF(B305="","",IFERROR(INDEX(InsCosto,MATCH(B305,ListaInsumos,0)),""))</f>
        <v/>
      </c>
      <c r="G305" s="19" t="str">
        <f aca="false">IF(AND(A305="",B305=""),"",IF(H305="OK",E305*F305,0))</f>
        <v/>
      </c>
      <c r="H305" s="20" t="str">
        <f aca="true">IF(AND(A305="",B305=""),"",IF(ISNA(MATCH(B305,ListaInsumos,0)),"Insumo no está en Insumos",IF(C305="","Falta cantidad",IF(IFERROR(INDEX(UnidadesBase,MATCH(D305,Unidades,0)),"")&lt;&gt;INDEX(InsBase,MATCH(B305,ListaInsumos,0)),"Unidad incompatible",IF(F305="","Insumo sin compras","OK")))))</f>
        <v/>
      </c>
      <c r="I305" s="15"/>
    </row>
    <row r="306" customFormat="false" ht="15" hidden="false" customHeight="false" outlineLevel="0" collapsed="false">
      <c r="A306" s="15"/>
      <c r="B306" s="15"/>
      <c r="C306" s="27"/>
      <c r="D306" s="15"/>
      <c r="E306" s="25" t="str">
        <f aca="true">IF(OR(C306="",D306=""),"",IFERROR(C306*INDEX(UnidadesFactor,MATCH(D306,Unidades,0)),""))</f>
        <v/>
      </c>
      <c r="F306" s="18" t="str">
        <f aca="true">IF(B306="","",IFERROR(INDEX(InsCosto,MATCH(B306,ListaInsumos,0)),""))</f>
        <v/>
      </c>
      <c r="G306" s="19" t="str">
        <f aca="false">IF(AND(A306="",B306=""),"",IF(H306="OK",E306*F306,0))</f>
        <v/>
      </c>
      <c r="H306" s="20" t="str">
        <f aca="true">IF(AND(A306="",B306=""),"",IF(ISNA(MATCH(B306,ListaInsumos,0)),"Insumo no está en Insumos",IF(C306="","Falta cantidad",IF(IFERROR(INDEX(UnidadesBase,MATCH(D306,Unidades,0)),"")&lt;&gt;INDEX(InsBase,MATCH(B306,ListaInsumos,0)),"Unidad incompatible",IF(F306="","Insumo sin compras","OK")))))</f>
        <v/>
      </c>
      <c r="I306" s="15"/>
    </row>
    <row r="307" customFormat="false" ht="15" hidden="false" customHeight="false" outlineLevel="0" collapsed="false">
      <c r="A307" s="15"/>
      <c r="B307" s="15"/>
      <c r="C307" s="27"/>
      <c r="D307" s="15"/>
      <c r="E307" s="25" t="str">
        <f aca="true">IF(OR(C307="",D307=""),"",IFERROR(C307*INDEX(UnidadesFactor,MATCH(D307,Unidades,0)),""))</f>
        <v/>
      </c>
      <c r="F307" s="18" t="str">
        <f aca="true">IF(B307="","",IFERROR(INDEX(InsCosto,MATCH(B307,ListaInsumos,0)),""))</f>
        <v/>
      </c>
      <c r="G307" s="19" t="str">
        <f aca="false">IF(AND(A307="",B307=""),"",IF(H307="OK",E307*F307,0))</f>
        <v/>
      </c>
      <c r="H307" s="20" t="str">
        <f aca="true">IF(AND(A307="",B307=""),"",IF(ISNA(MATCH(B307,ListaInsumos,0)),"Insumo no está en Insumos",IF(C307="","Falta cantidad",IF(IFERROR(INDEX(UnidadesBase,MATCH(D307,Unidades,0)),"")&lt;&gt;INDEX(InsBase,MATCH(B307,ListaInsumos,0)),"Unidad incompatible",IF(F307="","Insumo sin compras","OK")))))</f>
        <v/>
      </c>
      <c r="I307" s="15"/>
    </row>
    <row r="308" customFormat="false" ht="15" hidden="false" customHeight="false" outlineLevel="0" collapsed="false">
      <c r="A308" s="15"/>
      <c r="B308" s="15"/>
      <c r="C308" s="27"/>
      <c r="D308" s="15"/>
      <c r="E308" s="25" t="str">
        <f aca="true">IF(OR(C308="",D308=""),"",IFERROR(C308*INDEX(UnidadesFactor,MATCH(D308,Unidades,0)),""))</f>
        <v/>
      </c>
      <c r="F308" s="18" t="str">
        <f aca="true">IF(B308="","",IFERROR(INDEX(InsCosto,MATCH(B308,ListaInsumos,0)),""))</f>
        <v/>
      </c>
      <c r="G308" s="19" t="str">
        <f aca="false">IF(AND(A308="",B308=""),"",IF(H308="OK",E308*F308,0))</f>
        <v/>
      </c>
      <c r="H308" s="20" t="str">
        <f aca="true">IF(AND(A308="",B308=""),"",IF(ISNA(MATCH(B308,ListaInsumos,0)),"Insumo no está en Insumos",IF(C308="","Falta cantidad",IF(IFERROR(INDEX(UnidadesBase,MATCH(D308,Unidades,0)),"")&lt;&gt;INDEX(InsBase,MATCH(B308,ListaInsumos,0)),"Unidad incompatible",IF(F308="","Insumo sin compras","OK")))))</f>
        <v/>
      </c>
      <c r="I308" s="15"/>
    </row>
    <row r="309" customFormat="false" ht="15" hidden="false" customHeight="false" outlineLevel="0" collapsed="false">
      <c r="A309" s="15"/>
      <c r="B309" s="15"/>
      <c r="C309" s="27"/>
      <c r="D309" s="15"/>
      <c r="E309" s="25" t="str">
        <f aca="true">IF(OR(C309="",D309=""),"",IFERROR(C309*INDEX(UnidadesFactor,MATCH(D309,Unidades,0)),""))</f>
        <v/>
      </c>
      <c r="F309" s="18" t="str">
        <f aca="true">IF(B309="","",IFERROR(INDEX(InsCosto,MATCH(B309,ListaInsumos,0)),""))</f>
        <v/>
      </c>
      <c r="G309" s="19" t="str">
        <f aca="false">IF(AND(A309="",B309=""),"",IF(H309="OK",E309*F309,0))</f>
        <v/>
      </c>
      <c r="H309" s="20" t="str">
        <f aca="true">IF(AND(A309="",B309=""),"",IF(ISNA(MATCH(B309,ListaInsumos,0)),"Insumo no está en Insumos",IF(C309="","Falta cantidad",IF(IFERROR(INDEX(UnidadesBase,MATCH(D309,Unidades,0)),"")&lt;&gt;INDEX(InsBase,MATCH(B309,ListaInsumos,0)),"Unidad incompatible",IF(F309="","Insumo sin compras","OK")))))</f>
        <v/>
      </c>
      <c r="I309" s="15"/>
    </row>
    <row r="310" customFormat="false" ht="15" hidden="false" customHeight="false" outlineLevel="0" collapsed="false">
      <c r="A310" s="15"/>
      <c r="B310" s="15"/>
      <c r="C310" s="27"/>
      <c r="D310" s="15"/>
      <c r="E310" s="25" t="str">
        <f aca="true">IF(OR(C310="",D310=""),"",IFERROR(C310*INDEX(UnidadesFactor,MATCH(D310,Unidades,0)),""))</f>
        <v/>
      </c>
      <c r="F310" s="18" t="str">
        <f aca="true">IF(B310="","",IFERROR(INDEX(InsCosto,MATCH(B310,ListaInsumos,0)),""))</f>
        <v/>
      </c>
      <c r="G310" s="19" t="str">
        <f aca="false">IF(AND(A310="",B310=""),"",IF(H310="OK",E310*F310,0))</f>
        <v/>
      </c>
      <c r="H310" s="20" t="str">
        <f aca="true">IF(AND(A310="",B310=""),"",IF(ISNA(MATCH(B310,ListaInsumos,0)),"Insumo no está en Insumos",IF(C310="","Falta cantidad",IF(IFERROR(INDEX(UnidadesBase,MATCH(D310,Unidades,0)),"")&lt;&gt;INDEX(InsBase,MATCH(B310,ListaInsumos,0)),"Unidad incompatible",IF(F310="","Insumo sin compras","OK")))))</f>
        <v/>
      </c>
      <c r="I310" s="15"/>
    </row>
    <row r="311" customFormat="false" ht="15" hidden="false" customHeight="false" outlineLevel="0" collapsed="false">
      <c r="A311" s="15"/>
      <c r="B311" s="15"/>
      <c r="C311" s="27"/>
      <c r="D311" s="15"/>
      <c r="E311" s="25" t="str">
        <f aca="true">IF(OR(C311="",D311=""),"",IFERROR(C311*INDEX(UnidadesFactor,MATCH(D311,Unidades,0)),""))</f>
        <v/>
      </c>
      <c r="F311" s="18" t="str">
        <f aca="true">IF(B311="","",IFERROR(INDEX(InsCosto,MATCH(B311,ListaInsumos,0)),""))</f>
        <v/>
      </c>
      <c r="G311" s="19" t="str">
        <f aca="false">IF(AND(A311="",B311=""),"",IF(H311="OK",E311*F311,0))</f>
        <v/>
      </c>
      <c r="H311" s="20" t="str">
        <f aca="true">IF(AND(A311="",B311=""),"",IF(ISNA(MATCH(B311,ListaInsumos,0)),"Insumo no está en Insumos",IF(C311="","Falta cantidad",IF(IFERROR(INDEX(UnidadesBase,MATCH(D311,Unidades,0)),"")&lt;&gt;INDEX(InsBase,MATCH(B311,ListaInsumos,0)),"Unidad incompatible",IF(F311="","Insumo sin compras","OK")))))</f>
        <v/>
      </c>
      <c r="I311" s="15"/>
    </row>
    <row r="312" customFormat="false" ht="15" hidden="false" customHeight="false" outlineLevel="0" collapsed="false">
      <c r="A312" s="15"/>
      <c r="B312" s="15"/>
      <c r="C312" s="27"/>
      <c r="D312" s="15"/>
      <c r="E312" s="25" t="str">
        <f aca="true">IF(OR(C312="",D312=""),"",IFERROR(C312*INDEX(UnidadesFactor,MATCH(D312,Unidades,0)),""))</f>
        <v/>
      </c>
      <c r="F312" s="18" t="str">
        <f aca="true">IF(B312="","",IFERROR(INDEX(InsCosto,MATCH(B312,ListaInsumos,0)),""))</f>
        <v/>
      </c>
      <c r="G312" s="19" t="str">
        <f aca="false">IF(AND(A312="",B312=""),"",IF(H312="OK",E312*F312,0))</f>
        <v/>
      </c>
      <c r="H312" s="20" t="str">
        <f aca="true">IF(AND(A312="",B312=""),"",IF(ISNA(MATCH(B312,ListaInsumos,0)),"Insumo no está en Insumos",IF(C312="","Falta cantidad",IF(IFERROR(INDEX(UnidadesBase,MATCH(D312,Unidades,0)),"")&lt;&gt;INDEX(InsBase,MATCH(B312,ListaInsumos,0)),"Unidad incompatible",IF(F312="","Insumo sin compras","OK")))))</f>
        <v/>
      </c>
      <c r="I312" s="15"/>
    </row>
    <row r="313" customFormat="false" ht="15" hidden="false" customHeight="false" outlineLevel="0" collapsed="false">
      <c r="A313" s="15"/>
      <c r="B313" s="15"/>
      <c r="C313" s="27"/>
      <c r="D313" s="15"/>
      <c r="E313" s="25" t="str">
        <f aca="true">IF(OR(C313="",D313=""),"",IFERROR(C313*INDEX(UnidadesFactor,MATCH(D313,Unidades,0)),""))</f>
        <v/>
      </c>
      <c r="F313" s="18" t="str">
        <f aca="true">IF(B313="","",IFERROR(INDEX(InsCosto,MATCH(B313,ListaInsumos,0)),""))</f>
        <v/>
      </c>
      <c r="G313" s="19" t="str">
        <f aca="false">IF(AND(A313="",B313=""),"",IF(H313="OK",E313*F313,0))</f>
        <v/>
      </c>
      <c r="H313" s="20" t="str">
        <f aca="true">IF(AND(A313="",B313=""),"",IF(ISNA(MATCH(B313,ListaInsumos,0)),"Insumo no está en Insumos",IF(C313="","Falta cantidad",IF(IFERROR(INDEX(UnidadesBase,MATCH(D313,Unidades,0)),"")&lt;&gt;INDEX(InsBase,MATCH(B313,ListaInsumos,0)),"Unidad incompatible",IF(F313="","Insumo sin compras","OK")))))</f>
        <v/>
      </c>
      <c r="I313" s="15"/>
    </row>
    <row r="314" customFormat="false" ht="15" hidden="false" customHeight="false" outlineLevel="0" collapsed="false">
      <c r="A314" s="15"/>
      <c r="B314" s="15"/>
      <c r="C314" s="27"/>
      <c r="D314" s="15"/>
      <c r="E314" s="25" t="str">
        <f aca="true">IF(OR(C314="",D314=""),"",IFERROR(C314*INDEX(UnidadesFactor,MATCH(D314,Unidades,0)),""))</f>
        <v/>
      </c>
      <c r="F314" s="18" t="str">
        <f aca="true">IF(B314="","",IFERROR(INDEX(InsCosto,MATCH(B314,ListaInsumos,0)),""))</f>
        <v/>
      </c>
      <c r="G314" s="19" t="str">
        <f aca="false">IF(AND(A314="",B314=""),"",IF(H314="OK",E314*F314,0))</f>
        <v/>
      </c>
      <c r="H314" s="20" t="str">
        <f aca="true">IF(AND(A314="",B314=""),"",IF(ISNA(MATCH(B314,ListaInsumos,0)),"Insumo no está en Insumos",IF(C314="","Falta cantidad",IF(IFERROR(INDEX(UnidadesBase,MATCH(D314,Unidades,0)),"")&lt;&gt;INDEX(InsBase,MATCH(B314,ListaInsumos,0)),"Unidad incompatible",IF(F314="","Insumo sin compras","OK")))))</f>
        <v/>
      </c>
      <c r="I314" s="15"/>
    </row>
    <row r="315" customFormat="false" ht="15" hidden="false" customHeight="false" outlineLevel="0" collapsed="false">
      <c r="A315" s="15"/>
      <c r="B315" s="15"/>
      <c r="C315" s="27"/>
      <c r="D315" s="15"/>
      <c r="E315" s="25" t="str">
        <f aca="true">IF(OR(C315="",D315=""),"",IFERROR(C315*INDEX(UnidadesFactor,MATCH(D315,Unidades,0)),""))</f>
        <v/>
      </c>
      <c r="F315" s="18" t="str">
        <f aca="true">IF(B315="","",IFERROR(INDEX(InsCosto,MATCH(B315,ListaInsumos,0)),""))</f>
        <v/>
      </c>
      <c r="G315" s="19" t="str">
        <f aca="false">IF(AND(A315="",B315=""),"",IF(H315="OK",E315*F315,0))</f>
        <v/>
      </c>
      <c r="H315" s="20" t="str">
        <f aca="true">IF(AND(A315="",B315=""),"",IF(ISNA(MATCH(B315,ListaInsumos,0)),"Insumo no está en Insumos",IF(C315="","Falta cantidad",IF(IFERROR(INDEX(UnidadesBase,MATCH(D315,Unidades,0)),"")&lt;&gt;INDEX(InsBase,MATCH(B315,ListaInsumos,0)),"Unidad incompatible",IF(F315="","Insumo sin compras","OK")))))</f>
        <v/>
      </c>
      <c r="I315" s="15"/>
    </row>
    <row r="316" customFormat="false" ht="15" hidden="false" customHeight="false" outlineLevel="0" collapsed="false">
      <c r="A316" s="15"/>
      <c r="B316" s="15"/>
      <c r="C316" s="27"/>
      <c r="D316" s="15"/>
      <c r="E316" s="25" t="str">
        <f aca="true">IF(OR(C316="",D316=""),"",IFERROR(C316*INDEX(UnidadesFactor,MATCH(D316,Unidades,0)),""))</f>
        <v/>
      </c>
      <c r="F316" s="18" t="str">
        <f aca="true">IF(B316="","",IFERROR(INDEX(InsCosto,MATCH(B316,ListaInsumos,0)),""))</f>
        <v/>
      </c>
      <c r="G316" s="19" t="str">
        <f aca="false">IF(AND(A316="",B316=""),"",IF(H316="OK",E316*F316,0))</f>
        <v/>
      </c>
      <c r="H316" s="20" t="str">
        <f aca="true">IF(AND(A316="",B316=""),"",IF(ISNA(MATCH(B316,ListaInsumos,0)),"Insumo no está en Insumos",IF(C316="","Falta cantidad",IF(IFERROR(INDEX(UnidadesBase,MATCH(D316,Unidades,0)),"")&lt;&gt;INDEX(InsBase,MATCH(B316,ListaInsumos,0)),"Unidad incompatible",IF(F316="","Insumo sin compras","OK")))))</f>
        <v/>
      </c>
      <c r="I316" s="15"/>
    </row>
    <row r="317" customFormat="false" ht="15" hidden="false" customHeight="false" outlineLevel="0" collapsed="false">
      <c r="A317" s="15"/>
      <c r="B317" s="15"/>
      <c r="C317" s="27"/>
      <c r="D317" s="15"/>
      <c r="E317" s="25" t="str">
        <f aca="true">IF(OR(C317="",D317=""),"",IFERROR(C317*INDEX(UnidadesFactor,MATCH(D317,Unidades,0)),""))</f>
        <v/>
      </c>
      <c r="F317" s="18" t="str">
        <f aca="true">IF(B317="","",IFERROR(INDEX(InsCosto,MATCH(B317,ListaInsumos,0)),""))</f>
        <v/>
      </c>
      <c r="G317" s="19" t="str">
        <f aca="false">IF(AND(A317="",B317=""),"",IF(H317="OK",E317*F317,0))</f>
        <v/>
      </c>
      <c r="H317" s="20" t="str">
        <f aca="true">IF(AND(A317="",B317=""),"",IF(ISNA(MATCH(B317,ListaInsumos,0)),"Insumo no está en Insumos",IF(C317="","Falta cantidad",IF(IFERROR(INDEX(UnidadesBase,MATCH(D317,Unidades,0)),"")&lt;&gt;INDEX(InsBase,MATCH(B317,ListaInsumos,0)),"Unidad incompatible",IF(F317="","Insumo sin compras","OK")))))</f>
        <v/>
      </c>
      <c r="I317" s="15"/>
    </row>
    <row r="318" customFormat="false" ht="15" hidden="false" customHeight="false" outlineLevel="0" collapsed="false">
      <c r="A318" s="15"/>
      <c r="B318" s="15"/>
      <c r="C318" s="27"/>
      <c r="D318" s="15"/>
      <c r="E318" s="25" t="str">
        <f aca="true">IF(OR(C318="",D318=""),"",IFERROR(C318*INDEX(UnidadesFactor,MATCH(D318,Unidades,0)),""))</f>
        <v/>
      </c>
      <c r="F318" s="18" t="str">
        <f aca="true">IF(B318="","",IFERROR(INDEX(InsCosto,MATCH(B318,ListaInsumos,0)),""))</f>
        <v/>
      </c>
      <c r="G318" s="19" t="str">
        <f aca="false">IF(AND(A318="",B318=""),"",IF(H318="OK",E318*F318,0))</f>
        <v/>
      </c>
      <c r="H318" s="20" t="str">
        <f aca="true">IF(AND(A318="",B318=""),"",IF(ISNA(MATCH(B318,ListaInsumos,0)),"Insumo no está en Insumos",IF(C318="","Falta cantidad",IF(IFERROR(INDEX(UnidadesBase,MATCH(D318,Unidades,0)),"")&lt;&gt;INDEX(InsBase,MATCH(B318,ListaInsumos,0)),"Unidad incompatible",IF(F318="","Insumo sin compras","OK")))))</f>
        <v/>
      </c>
      <c r="I318" s="15"/>
    </row>
    <row r="319" customFormat="false" ht="15" hidden="false" customHeight="false" outlineLevel="0" collapsed="false">
      <c r="A319" s="15"/>
      <c r="B319" s="15"/>
      <c r="C319" s="27"/>
      <c r="D319" s="15"/>
      <c r="E319" s="25" t="str">
        <f aca="true">IF(OR(C319="",D319=""),"",IFERROR(C319*INDEX(UnidadesFactor,MATCH(D319,Unidades,0)),""))</f>
        <v/>
      </c>
      <c r="F319" s="18" t="str">
        <f aca="true">IF(B319="","",IFERROR(INDEX(InsCosto,MATCH(B319,ListaInsumos,0)),""))</f>
        <v/>
      </c>
      <c r="G319" s="19" t="str">
        <f aca="false">IF(AND(A319="",B319=""),"",IF(H319="OK",E319*F319,0))</f>
        <v/>
      </c>
      <c r="H319" s="20" t="str">
        <f aca="true">IF(AND(A319="",B319=""),"",IF(ISNA(MATCH(B319,ListaInsumos,0)),"Insumo no está en Insumos",IF(C319="","Falta cantidad",IF(IFERROR(INDEX(UnidadesBase,MATCH(D319,Unidades,0)),"")&lt;&gt;INDEX(InsBase,MATCH(B319,ListaInsumos,0)),"Unidad incompatible",IF(F319="","Insumo sin compras","OK")))))</f>
        <v/>
      </c>
      <c r="I319" s="15"/>
    </row>
    <row r="320" customFormat="false" ht="15" hidden="false" customHeight="false" outlineLevel="0" collapsed="false">
      <c r="A320" s="15"/>
      <c r="B320" s="15"/>
      <c r="C320" s="27"/>
      <c r="D320" s="15"/>
      <c r="E320" s="25" t="str">
        <f aca="true">IF(OR(C320="",D320=""),"",IFERROR(C320*INDEX(UnidadesFactor,MATCH(D320,Unidades,0)),""))</f>
        <v/>
      </c>
      <c r="F320" s="18" t="str">
        <f aca="true">IF(B320="","",IFERROR(INDEX(InsCosto,MATCH(B320,ListaInsumos,0)),""))</f>
        <v/>
      </c>
      <c r="G320" s="19" t="str">
        <f aca="false">IF(AND(A320="",B320=""),"",IF(H320="OK",E320*F320,0))</f>
        <v/>
      </c>
      <c r="H320" s="20" t="str">
        <f aca="true">IF(AND(A320="",B320=""),"",IF(ISNA(MATCH(B320,ListaInsumos,0)),"Insumo no está en Insumos",IF(C320="","Falta cantidad",IF(IFERROR(INDEX(UnidadesBase,MATCH(D320,Unidades,0)),"")&lt;&gt;INDEX(InsBase,MATCH(B320,ListaInsumos,0)),"Unidad incompatible",IF(F320="","Insumo sin compras","OK")))))</f>
        <v/>
      </c>
      <c r="I320" s="15"/>
    </row>
    <row r="321" customFormat="false" ht="15" hidden="false" customHeight="false" outlineLevel="0" collapsed="false">
      <c r="A321" s="15"/>
      <c r="B321" s="15"/>
      <c r="C321" s="27"/>
      <c r="D321" s="15"/>
      <c r="E321" s="25" t="str">
        <f aca="true">IF(OR(C321="",D321=""),"",IFERROR(C321*INDEX(UnidadesFactor,MATCH(D321,Unidades,0)),""))</f>
        <v/>
      </c>
      <c r="F321" s="18" t="str">
        <f aca="true">IF(B321="","",IFERROR(INDEX(InsCosto,MATCH(B321,ListaInsumos,0)),""))</f>
        <v/>
      </c>
      <c r="G321" s="19" t="str">
        <f aca="false">IF(AND(A321="",B321=""),"",IF(H321="OK",E321*F321,0))</f>
        <v/>
      </c>
      <c r="H321" s="20" t="str">
        <f aca="true">IF(AND(A321="",B321=""),"",IF(ISNA(MATCH(B321,ListaInsumos,0)),"Insumo no está en Insumos",IF(C321="","Falta cantidad",IF(IFERROR(INDEX(UnidadesBase,MATCH(D321,Unidades,0)),"")&lt;&gt;INDEX(InsBase,MATCH(B321,ListaInsumos,0)),"Unidad incompatible",IF(F321="","Insumo sin compras","OK")))))</f>
        <v/>
      </c>
      <c r="I321" s="15"/>
    </row>
    <row r="322" customFormat="false" ht="15" hidden="false" customHeight="false" outlineLevel="0" collapsed="false">
      <c r="A322" s="15"/>
      <c r="B322" s="15"/>
      <c r="C322" s="27"/>
      <c r="D322" s="15"/>
      <c r="E322" s="25" t="str">
        <f aca="true">IF(OR(C322="",D322=""),"",IFERROR(C322*INDEX(UnidadesFactor,MATCH(D322,Unidades,0)),""))</f>
        <v/>
      </c>
      <c r="F322" s="18" t="str">
        <f aca="true">IF(B322="","",IFERROR(INDEX(InsCosto,MATCH(B322,ListaInsumos,0)),""))</f>
        <v/>
      </c>
      <c r="G322" s="19" t="str">
        <f aca="false">IF(AND(A322="",B322=""),"",IF(H322="OK",E322*F322,0))</f>
        <v/>
      </c>
      <c r="H322" s="20" t="str">
        <f aca="true">IF(AND(A322="",B322=""),"",IF(ISNA(MATCH(B322,ListaInsumos,0)),"Insumo no está en Insumos",IF(C322="","Falta cantidad",IF(IFERROR(INDEX(UnidadesBase,MATCH(D322,Unidades,0)),"")&lt;&gt;INDEX(InsBase,MATCH(B322,ListaInsumos,0)),"Unidad incompatible",IF(F322="","Insumo sin compras","OK")))))</f>
        <v/>
      </c>
      <c r="I322" s="15"/>
    </row>
    <row r="323" customFormat="false" ht="15" hidden="false" customHeight="false" outlineLevel="0" collapsed="false">
      <c r="A323" s="15"/>
      <c r="B323" s="15"/>
      <c r="C323" s="27"/>
      <c r="D323" s="15"/>
      <c r="E323" s="25" t="str">
        <f aca="true">IF(OR(C323="",D323=""),"",IFERROR(C323*INDEX(UnidadesFactor,MATCH(D323,Unidades,0)),""))</f>
        <v/>
      </c>
      <c r="F323" s="18" t="str">
        <f aca="true">IF(B323="","",IFERROR(INDEX(InsCosto,MATCH(B323,ListaInsumos,0)),""))</f>
        <v/>
      </c>
      <c r="G323" s="19" t="str">
        <f aca="false">IF(AND(A323="",B323=""),"",IF(H323="OK",E323*F323,0))</f>
        <v/>
      </c>
      <c r="H323" s="20" t="str">
        <f aca="true">IF(AND(A323="",B323=""),"",IF(ISNA(MATCH(B323,ListaInsumos,0)),"Insumo no está en Insumos",IF(C323="","Falta cantidad",IF(IFERROR(INDEX(UnidadesBase,MATCH(D323,Unidades,0)),"")&lt;&gt;INDEX(InsBase,MATCH(B323,ListaInsumos,0)),"Unidad incompatible",IF(F323="","Insumo sin compras","OK")))))</f>
        <v/>
      </c>
      <c r="I323" s="15"/>
    </row>
    <row r="324" customFormat="false" ht="15" hidden="false" customHeight="false" outlineLevel="0" collapsed="false">
      <c r="A324" s="15"/>
      <c r="B324" s="15"/>
      <c r="C324" s="27"/>
      <c r="D324" s="15"/>
      <c r="E324" s="25" t="str">
        <f aca="true">IF(OR(C324="",D324=""),"",IFERROR(C324*INDEX(UnidadesFactor,MATCH(D324,Unidades,0)),""))</f>
        <v/>
      </c>
      <c r="F324" s="18" t="str">
        <f aca="true">IF(B324="","",IFERROR(INDEX(InsCosto,MATCH(B324,ListaInsumos,0)),""))</f>
        <v/>
      </c>
      <c r="G324" s="19" t="str">
        <f aca="false">IF(AND(A324="",B324=""),"",IF(H324="OK",E324*F324,0))</f>
        <v/>
      </c>
      <c r="H324" s="20" t="str">
        <f aca="true">IF(AND(A324="",B324=""),"",IF(ISNA(MATCH(B324,ListaInsumos,0)),"Insumo no está en Insumos",IF(C324="","Falta cantidad",IF(IFERROR(INDEX(UnidadesBase,MATCH(D324,Unidades,0)),"")&lt;&gt;INDEX(InsBase,MATCH(B324,ListaInsumos,0)),"Unidad incompatible",IF(F324="","Insumo sin compras","OK")))))</f>
        <v/>
      </c>
      <c r="I324" s="15"/>
    </row>
    <row r="325" customFormat="false" ht="15" hidden="false" customHeight="false" outlineLevel="0" collapsed="false">
      <c r="A325" s="15"/>
      <c r="B325" s="15"/>
      <c r="C325" s="27"/>
      <c r="D325" s="15"/>
      <c r="E325" s="25" t="str">
        <f aca="true">IF(OR(C325="",D325=""),"",IFERROR(C325*INDEX(UnidadesFactor,MATCH(D325,Unidades,0)),""))</f>
        <v/>
      </c>
      <c r="F325" s="18" t="str">
        <f aca="true">IF(B325="","",IFERROR(INDEX(InsCosto,MATCH(B325,ListaInsumos,0)),""))</f>
        <v/>
      </c>
      <c r="G325" s="19" t="str">
        <f aca="false">IF(AND(A325="",B325=""),"",IF(H325="OK",E325*F325,0))</f>
        <v/>
      </c>
      <c r="H325" s="20" t="str">
        <f aca="true">IF(AND(A325="",B325=""),"",IF(ISNA(MATCH(B325,ListaInsumos,0)),"Insumo no está en Insumos",IF(C325="","Falta cantidad",IF(IFERROR(INDEX(UnidadesBase,MATCH(D325,Unidades,0)),"")&lt;&gt;INDEX(InsBase,MATCH(B325,ListaInsumos,0)),"Unidad incompatible",IF(F325="","Insumo sin compras","OK")))))</f>
        <v/>
      </c>
      <c r="I325" s="15"/>
    </row>
    <row r="326" customFormat="false" ht="15" hidden="false" customHeight="false" outlineLevel="0" collapsed="false">
      <c r="A326" s="15"/>
      <c r="B326" s="15"/>
      <c r="C326" s="27"/>
      <c r="D326" s="15"/>
      <c r="E326" s="25" t="str">
        <f aca="true">IF(OR(C326="",D326=""),"",IFERROR(C326*INDEX(UnidadesFactor,MATCH(D326,Unidades,0)),""))</f>
        <v/>
      </c>
      <c r="F326" s="18" t="str">
        <f aca="true">IF(B326="","",IFERROR(INDEX(InsCosto,MATCH(B326,ListaInsumos,0)),""))</f>
        <v/>
      </c>
      <c r="G326" s="19" t="str">
        <f aca="false">IF(AND(A326="",B326=""),"",IF(H326="OK",E326*F326,0))</f>
        <v/>
      </c>
      <c r="H326" s="20" t="str">
        <f aca="true">IF(AND(A326="",B326=""),"",IF(ISNA(MATCH(B326,ListaInsumos,0)),"Insumo no está en Insumos",IF(C326="","Falta cantidad",IF(IFERROR(INDEX(UnidadesBase,MATCH(D326,Unidades,0)),"")&lt;&gt;INDEX(InsBase,MATCH(B326,ListaInsumos,0)),"Unidad incompatible",IF(F326="","Insumo sin compras","OK")))))</f>
        <v/>
      </c>
      <c r="I326" s="15"/>
    </row>
    <row r="327" customFormat="false" ht="15" hidden="false" customHeight="false" outlineLevel="0" collapsed="false">
      <c r="A327" s="15"/>
      <c r="B327" s="15"/>
      <c r="C327" s="27"/>
      <c r="D327" s="15"/>
      <c r="E327" s="25" t="str">
        <f aca="true">IF(OR(C327="",D327=""),"",IFERROR(C327*INDEX(UnidadesFactor,MATCH(D327,Unidades,0)),""))</f>
        <v/>
      </c>
      <c r="F327" s="18" t="str">
        <f aca="true">IF(B327="","",IFERROR(INDEX(InsCosto,MATCH(B327,ListaInsumos,0)),""))</f>
        <v/>
      </c>
      <c r="G327" s="19" t="str">
        <f aca="false">IF(AND(A327="",B327=""),"",IF(H327="OK",E327*F327,0))</f>
        <v/>
      </c>
      <c r="H327" s="20" t="str">
        <f aca="true">IF(AND(A327="",B327=""),"",IF(ISNA(MATCH(B327,ListaInsumos,0)),"Insumo no está en Insumos",IF(C327="","Falta cantidad",IF(IFERROR(INDEX(UnidadesBase,MATCH(D327,Unidades,0)),"")&lt;&gt;INDEX(InsBase,MATCH(B327,ListaInsumos,0)),"Unidad incompatible",IF(F327="","Insumo sin compras","OK")))))</f>
        <v/>
      </c>
      <c r="I327" s="15"/>
    </row>
    <row r="328" customFormat="false" ht="15" hidden="false" customHeight="false" outlineLevel="0" collapsed="false">
      <c r="A328" s="15"/>
      <c r="B328" s="15"/>
      <c r="C328" s="27"/>
      <c r="D328" s="15"/>
      <c r="E328" s="25" t="str">
        <f aca="true">IF(OR(C328="",D328=""),"",IFERROR(C328*INDEX(UnidadesFactor,MATCH(D328,Unidades,0)),""))</f>
        <v/>
      </c>
      <c r="F328" s="18" t="str">
        <f aca="true">IF(B328="","",IFERROR(INDEX(InsCosto,MATCH(B328,ListaInsumos,0)),""))</f>
        <v/>
      </c>
      <c r="G328" s="19" t="str">
        <f aca="false">IF(AND(A328="",B328=""),"",IF(H328="OK",E328*F328,0))</f>
        <v/>
      </c>
      <c r="H328" s="20" t="str">
        <f aca="true">IF(AND(A328="",B328=""),"",IF(ISNA(MATCH(B328,ListaInsumos,0)),"Insumo no está en Insumos",IF(C328="","Falta cantidad",IF(IFERROR(INDEX(UnidadesBase,MATCH(D328,Unidades,0)),"")&lt;&gt;INDEX(InsBase,MATCH(B328,ListaInsumos,0)),"Unidad incompatible",IF(F328="","Insumo sin compras","OK")))))</f>
        <v/>
      </c>
      <c r="I328" s="15"/>
    </row>
    <row r="329" customFormat="false" ht="15" hidden="false" customHeight="false" outlineLevel="0" collapsed="false">
      <c r="A329" s="15"/>
      <c r="B329" s="15"/>
      <c r="C329" s="27"/>
      <c r="D329" s="15"/>
      <c r="E329" s="25" t="str">
        <f aca="true">IF(OR(C329="",D329=""),"",IFERROR(C329*INDEX(UnidadesFactor,MATCH(D329,Unidades,0)),""))</f>
        <v/>
      </c>
      <c r="F329" s="18" t="str">
        <f aca="true">IF(B329="","",IFERROR(INDEX(InsCosto,MATCH(B329,ListaInsumos,0)),""))</f>
        <v/>
      </c>
      <c r="G329" s="19" t="str">
        <f aca="false">IF(AND(A329="",B329=""),"",IF(H329="OK",E329*F329,0))</f>
        <v/>
      </c>
      <c r="H329" s="20" t="str">
        <f aca="true">IF(AND(A329="",B329=""),"",IF(ISNA(MATCH(B329,ListaInsumos,0)),"Insumo no está en Insumos",IF(C329="","Falta cantidad",IF(IFERROR(INDEX(UnidadesBase,MATCH(D329,Unidades,0)),"")&lt;&gt;INDEX(InsBase,MATCH(B329,ListaInsumos,0)),"Unidad incompatible",IF(F329="","Insumo sin compras","OK")))))</f>
        <v/>
      </c>
      <c r="I329" s="15"/>
    </row>
    <row r="330" customFormat="false" ht="15" hidden="false" customHeight="false" outlineLevel="0" collapsed="false">
      <c r="A330" s="15"/>
      <c r="B330" s="15"/>
      <c r="C330" s="27"/>
      <c r="D330" s="15"/>
      <c r="E330" s="25" t="str">
        <f aca="true">IF(OR(C330="",D330=""),"",IFERROR(C330*INDEX(UnidadesFactor,MATCH(D330,Unidades,0)),""))</f>
        <v/>
      </c>
      <c r="F330" s="18" t="str">
        <f aca="true">IF(B330="","",IFERROR(INDEX(InsCosto,MATCH(B330,ListaInsumos,0)),""))</f>
        <v/>
      </c>
      <c r="G330" s="19" t="str">
        <f aca="false">IF(AND(A330="",B330=""),"",IF(H330="OK",E330*F330,0))</f>
        <v/>
      </c>
      <c r="H330" s="20" t="str">
        <f aca="true">IF(AND(A330="",B330=""),"",IF(ISNA(MATCH(B330,ListaInsumos,0)),"Insumo no está en Insumos",IF(C330="","Falta cantidad",IF(IFERROR(INDEX(UnidadesBase,MATCH(D330,Unidades,0)),"")&lt;&gt;INDEX(InsBase,MATCH(B330,ListaInsumos,0)),"Unidad incompatible",IF(F330="","Insumo sin compras","OK")))))</f>
        <v/>
      </c>
      <c r="I330" s="15"/>
    </row>
    <row r="331" customFormat="false" ht="15" hidden="false" customHeight="false" outlineLevel="0" collapsed="false">
      <c r="A331" s="15"/>
      <c r="B331" s="15"/>
      <c r="C331" s="27"/>
      <c r="D331" s="15"/>
      <c r="E331" s="25" t="str">
        <f aca="true">IF(OR(C331="",D331=""),"",IFERROR(C331*INDEX(UnidadesFactor,MATCH(D331,Unidades,0)),""))</f>
        <v/>
      </c>
      <c r="F331" s="18" t="str">
        <f aca="true">IF(B331="","",IFERROR(INDEX(InsCosto,MATCH(B331,ListaInsumos,0)),""))</f>
        <v/>
      </c>
      <c r="G331" s="19" t="str">
        <f aca="false">IF(AND(A331="",B331=""),"",IF(H331="OK",E331*F331,0))</f>
        <v/>
      </c>
      <c r="H331" s="20" t="str">
        <f aca="true">IF(AND(A331="",B331=""),"",IF(ISNA(MATCH(B331,ListaInsumos,0)),"Insumo no está en Insumos",IF(C331="","Falta cantidad",IF(IFERROR(INDEX(UnidadesBase,MATCH(D331,Unidades,0)),"")&lt;&gt;INDEX(InsBase,MATCH(B331,ListaInsumos,0)),"Unidad incompatible",IF(F331="","Insumo sin compras","OK")))))</f>
        <v/>
      </c>
      <c r="I331" s="15"/>
    </row>
    <row r="332" customFormat="false" ht="15" hidden="false" customHeight="false" outlineLevel="0" collapsed="false">
      <c r="A332" s="15"/>
      <c r="B332" s="15"/>
      <c r="C332" s="27"/>
      <c r="D332" s="15"/>
      <c r="E332" s="25" t="str">
        <f aca="true">IF(OR(C332="",D332=""),"",IFERROR(C332*INDEX(UnidadesFactor,MATCH(D332,Unidades,0)),""))</f>
        <v/>
      </c>
      <c r="F332" s="18" t="str">
        <f aca="true">IF(B332="","",IFERROR(INDEX(InsCosto,MATCH(B332,ListaInsumos,0)),""))</f>
        <v/>
      </c>
      <c r="G332" s="19" t="str">
        <f aca="false">IF(AND(A332="",B332=""),"",IF(H332="OK",E332*F332,0))</f>
        <v/>
      </c>
      <c r="H332" s="20" t="str">
        <f aca="true">IF(AND(A332="",B332=""),"",IF(ISNA(MATCH(B332,ListaInsumos,0)),"Insumo no está en Insumos",IF(C332="","Falta cantidad",IF(IFERROR(INDEX(UnidadesBase,MATCH(D332,Unidades,0)),"")&lt;&gt;INDEX(InsBase,MATCH(B332,ListaInsumos,0)),"Unidad incompatible",IF(F332="","Insumo sin compras","OK")))))</f>
        <v/>
      </c>
      <c r="I332" s="15"/>
    </row>
    <row r="333" customFormat="false" ht="15" hidden="false" customHeight="false" outlineLevel="0" collapsed="false">
      <c r="A333" s="15"/>
      <c r="B333" s="15"/>
      <c r="C333" s="27"/>
      <c r="D333" s="15"/>
      <c r="E333" s="25" t="str">
        <f aca="true">IF(OR(C333="",D333=""),"",IFERROR(C333*INDEX(UnidadesFactor,MATCH(D333,Unidades,0)),""))</f>
        <v/>
      </c>
      <c r="F333" s="18" t="str">
        <f aca="true">IF(B333="","",IFERROR(INDEX(InsCosto,MATCH(B333,ListaInsumos,0)),""))</f>
        <v/>
      </c>
      <c r="G333" s="19" t="str">
        <f aca="false">IF(AND(A333="",B333=""),"",IF(H333="OK",E333*F333,0))</f>
        <v/>
      </c>
      <c r="H333" s="20" t="str">
        <f aca="true">IF(AND(A333="",B333=""),"",IF(ISNA(MATCH(B333,ListaInsumos,0)),"Insumo no está en Insumos",IF(C333="","Falta cantidad",IF(IFERROR(INDEX(UnidadesBase,MATCH(D333,Unidades,0)),"")&lt;&gt;INDEX(InsBase,MATCH(B333,ListaInsumos,0)),"Unidad incompatible",IF(F333="","Insumo sin compras","OK")))))</f>
        <v/>
      </c>
      <c r="I333" s="15"/>
    </row>
    <row r="334" customFormat="false" ht="15" hidden="false" customHeight="false" outlineLevel="0" collapsed="false">
      <c r="A334" s="15"/>
      <c r="B334" s="15"/>
      <c r="C334" s="27"/>
      <c r="D334" s="15"/>
      <c r="E334" s="25" t="str">
        <f aca="true">IF(OR(C334="",D334=""),"",IFERROR(C334*INDEX(UnidadesFactor,MATCH(D334,Unidades,0)),""))</f>
        <v/>
      </c>
      <c r="F334" s="18" t="str">
        <f aca="true">IF(B334="","",IFERROR(INDEX(InsCosto,MATCH(B334,ListaInsumos,0)),""))</f>
        <v/>
      </c>
      <c r="G334" s="19" t="str">
        <f aca="false">IF(AND(A334="",B334=""),"",IF(H334="OK",E334*F334,0))</f>
        <v/>
      </c>
      <c r="H334" s="20" t="str">
        <f aca="true">IF(AND(A334="",B334=""),"",IF(ISNA(MATCH(B334,ListaInsumos,0)),"Insumo no está en Insumos",IF(C334="","Falta cantidad",IF(IFERROR(INDEX(UnidadesBase,MATCH(D334,Unidades,0)),"")&lt;&gt;INDEX(InsBase,MATCH(B334,ListaInsumos,0)),"Unidad incompatible",IF(F334="","Insumo sin compras","OK")))))</f>
        <v/>
      </c>
      <c r="I334" s="15"/>
    </row>
    <row r="335" customFormat="false" ht="15" hidden="false" customHeight="false" outlineLevel="0" collapsed="false">
      <c r="A335" s="15"/>
      <c r="B335" s="15"/>
      <c r="C335" s="27"/>
      <c r="D335" s="15"/>
      <c r="E335" s="25" t="str">
        <f aca="true">IF(OR(C335="",D335=""),"",IFERROR(C335*INDEX(UnidadesFactor,MATCH(D335,Unidades,0)),""))</f>
        <v/>
      </c>
      <c r="F335" s="18" t="str">
        <f aca="true">IF(B335="","",IFERROR(INDEX(InsCosto,MATCH(B335,ListaInsumos,0)),""))</f>
        <v/>
      </c>
      <c r="G335" s="19" t="str">
        <f aca="false">IF(AND(A335="",B335=""),"",IF(H335="OK",E335*F335,0))</f>
        <v/>
      </c>
      <c r="H335" s="20" t="str">
        <f aca="true">IF(AND(A335="",B335=""),"",IF(ISNA(MATCH(B335,ListaInsumos,0)),"Insumo no está en Insumos",IF(C335="","Falta cantidad",IF(IFERROR(INDEX(UnidadesBase,MATCH(D335,Unidades,0)),"")&lt;&gt;INDEX(InsBase,MATCH(B335,ListaInsumos,0)),"Unidad incompatible",IF(F335="","Insumo sin compras","OK")))))</f>
        <v/>
      </c>
      <c r="I335" s="15"/>
    </row>
    <row r="336" customFormat="false" ht="15" hidden="false" customHeight="false" outlineLevel="0" collapsed="false">
      <c r="A336" s="15"/>
      <c r="B336" s="15"/>
      <c r="C336" s="27"/>
      <c r="D336" s="15"/>
      <c r="E336" s="25" t="str">
        <f aca="true">IF(OR(C336="",D336=""),"",IFERROR(C336*INDEX(UnidadesFactor,MATCH(D336,Unidades,0)),""))</f>
        <v/>
      </c>
      <c r="F336" s="18" t="str">
        <f aca="true">IF(B336="","",IFERROR(INDEX(InsCosto,MATCH(B336,ListaInsumos,0)),""))</f>
        <v/>
      </c>
      <c r="G336" s="19" t="str">
        <f aca="false">IF(AND(A336="",B336=""),"",IF(H336="OK",E336*F336,0))</f>
        <v/>
      </c>
      <c r="H336" s="20" t="str">
        <f aca="true">IF(AND(A336="",B336=""),"",IF(ISNA(MATCH(B336,ListaInsumos,0)),"Insumo no está en Insumos",IF(C336="","Falta cantidad",IF(IFERROR(INDEX(UnidadesBase,MATCH(D336,Unidades,0)),"")&lt;&gt;INDEX(InsBase,MATCH(B336,ListaInsumos,0)),"Unidad incompatible",IF(F336="","Insumo sin compras","OK")))))</f>
        <v/>
      </c>
      <c r="I336" s="15"/>
    </row>
    <row r="337" customFormat="false" ht="15" hidden="false" customHeight="false" outlineLevel="0" collapsed="false">
      <c r="A337" s="15"/>
      <c r="B337" s="15"/>
      <c r="C337" s="27"/>
      <c r="D337" s="15"/>
      <c r="E337" s="25" t="str">
        <f aca="true">IF(OR(C337="",D337=""),"",IFERROR(C337*INDEX(UnidadesFactor,MATCH(D337,Unidades,0)),""))</f>
        <v/>
      </c>
      <c r="F337" s="18" t="str">
        <f aca="true">IF(B337="","",IFERROR(INDEX(InsCosto,MATCH(B337,ListaInsumos,0)),""))</f>
        <v/>
      </c>
      <c r="G337" s="19" t="str">
        <f aca="false">IF(AND(A337="",B337=""),"",IF(H337="OK",E337*F337,0))</f>
        <v/>
      </c>
      <c r="H337" s="20" t="str">
        <f aca="true">IF(AND(A337="",B337=""),"",IF(ISNA(MATCH(B337,ListaInsumos,0)),"Insumo no está en Insumos",IF(C337="","Falta cantidad",IF(IFERROR(INDEX(UnidadesBase,MATCH(D337,Unidades,0)),"")&lt;&gt;INDEX(InsBase,MATCH(B337,ListaInsumos,0)),"Unidad incompatible",IF(F337="","Insumo sin compras","OK")))))</f>
        <v/>
      </c>
      <c r="I337" s="15"/>
    </row>
    <row r="338" customFormat="false" ht="15" hidden="false" customHeight="false" outlineLevel="0" collapsed="false">
      <c r="A338" s="15"/>
      <c r="B338" s="15"/>
      <c r="C338" s="27"/>
      <c r="D338" s="15"/>
      <c r="E338" s="25" t="str">
        <f aca="true">IF(OR(C338="",D338=""),"",IFERROR(C338*INDEX(UnidadesFactor,MATCH(D338,Unidades,0)),""))</f>
        <v/>
      </c>
      <c r="F338" s="18" t="str">
        <f aca="true">IF(B338="","",IFERROR(INDEX(InsCosto,MATCH(B338,ListaInsumos,0)),""))</f>
        <v/>
      </c>
      <c r="G338" s="19" t="str">
        <f aca="false">IF(AND(A338="",B338=""),"",IF(H338="OK",E338*F338,0))</f>
        <v/>
      </c>
      <c r="H338" s="20" t="str">
        <f aca="true">IF(AND(A338="",B338=""),"",IF(ISNA(MATCH(B338,ListaInsumos,0)),"Insumo no está en Insumos",IF(C338="","Falta cantidad",IF(IFERROR(INDEX(UnidadesBase,MATCH(D338,Unidades,0)),"")&lt;&gt;INDEX(InsBase,MATCH(B338,ListaInsumos,0)),"Unidad incompatible",IF(F338="","Insumo sin compras","OK")))))</f>
        <v/>
      </c>
      <c r="I338" s="15"/>
    </row>
    <row r="339" customFormat="false" ht="15" hidden="false" customHeight="false" outlineLevel="0" collapsed="false">
      <c r="A339" s="15"/>
      <c r="B339" s="15"/>
      <c r="C339" s="27"/>
      <c r="D339" s="15"/>
      <c r="E339" s="25" t="str">
        <f aca="true">IF(OR(C339="",D339=""),"",IFERROR(C339*INDEX(UnidadesFactor,MATCH(D339,Unidades,0)),""))</f>
        <v/>
      </c>
      <c r="F339" s="18" t="str">
        <f aca="true">IF(B339="","",IFERROR(INDEX(InsCosto,MATCH(B339,ListaInsumos,0)),""))</f>
        <v/>
      </c>
      <c r="G339" s="19" t="str">
        <f aca="false">IF(AND(A339="",B339=""),"",IF(H339="OK",E339*F339,0))</f>
        <v/>
      </c>
      <c r="H339" s="20" t="str">
        <f aca="true">IF(AND(A339="",B339=""),"",IF(ISNA(MATCH(B339,ListaInsumos,0)),"Insumo no está en Insumos",IF(C339="","Falta cantidad",IF(IFERROR(INDEX(UnidadesBase,MATCH(D339,Unidades,0)),"")&lt;&gt;INDEX(InsBase,MATCH(B339,ListaInsumos,0)),"Unidad incompatible",IF(F339="","Insumo sin compras","OK")))))</f>
        <v/>
      </c>
      <c r="I339" s="15"/>
    </row>
    <row r="340" customFormat="false" ht="15" hidden="false" customHeight="false" outlineLevel="0" collapsed="false">
      <c r="A340" s="15"/>
      <c r="B340" s="15"/>
      <c r="C340" s="27"/>
      <c r="D340" s="15"/>
      <c r="E340" s="25" t="str">
        <f aca="true">IF(OR(C340="",D340=""),"",IFERROR(C340*INDEX(UnidadesFactor,MATCH(D340,Unidades,0)),""))</f>
        <v/>
      </c>
      <c r="F340" s="18" t="str">
        <f aca="true">IF(B340="","",IFERROR(INDEX(InsCosto,MATCH(B340,ListaInsumos,0)),""))</f>
        <v/>
      </c>
      <c r="G340" s="19" t="str">
        <f aca="false">IF(AND(A340="",B340=""),"",IF(H340="OK",E340*F340,0))</f>
        <v/>
      </c>
      <c r="H340" s="20" t="str">
        <f aca="true">IF(AND(A340="",B340=""),"",IF(ISNA(MATCH(B340,ListaInsumos,0)),"Insumo no está en Insumos",IF(C340="","Falta cantidad",IF(IFERROR(INDEX(UnidadesBase,MATCH(D340,Unidades,0)),"")&lt;&gt;INDEX(InsBase,MATCH(B340,ListaInsumos,0)),"Unidad incompatible",IF(F340="","Insumo sin compras","OK")))))</f>
        <v/>
      </c>
      <c r="I340" s="15"/>
    </row>
    <row r="341" customFormat="false" ht="15" hidden="false" customHeight="false" outlineLevel="0" collapsed="false">
      <c r="A341" s="15"/>
      <c r="B341" s="15"/>
      <c r="C341" s="27"/>
      <c r="D341" s="15"/>
      <c r="E341" s="25" t="str">
        <f aca="true">IF(OR(C341="",D341=""),"",IFERROR(C341*INDEX(UnidadesFactor,MATCH(D341,Unidades,0)),""))</f>
        <v/>
      </c>
      <c r="F341" s="18" t="str">
        <f aca="true">IF(B341="","",IFERROR(INDEX(InsCosto,MATCH(B341,ListaInsumos,0)),""))</f>
        <v/>
      </c>
      <c r="G341" s="19" t="str">
        <f aca="false">IF(AND(A341="",B341=""),"",IF(H341="OK",E341*F341,0))</f>
        <v/>
      </c>
      <c r="H341" s="20" t="str">
        <f aca="true">IF(AND(A341="",B341=""),"",IF(ISNA(MATCH(B341,ListaInsumos,0)),"Insumo no está en Insumos",IF(C341="","Falta cantidad",IF(IFERROR(INDEX(UnidadesBase,MATCH(D341,Unidades,0)),"")&lt;&gt;INDEX(InsBase,MATCH(B341,ListaInsumos,0)),"Unidad incompatible",IF(F341="","Insumo sin compras","OK")))))</f>
        <v/>
      </c>
      <c r="I341" s="15"/>
    </row>
    <row r="342" customFormat="false" ht="15" hidden="false" customHeight="false" outlineLevel="0" collapsed="false">
      <c r="A342" s="15"/>
      <c r="B342" s="15"/>
      <c r="C342" s="27"/>
      <c r="D342" s="15"/>
      <c r="E342" s="25" t="str">
        <f aca="true">IF(OR(C342="",D342=""),"",IFERROR(C342*INDEX(UnidadesFactor,MATCH(D342,Unidades,0)),""))</f>
        <v/>
      </c>
      <c r="F342" s="18" t="str">
        <f aca="true">IF(B342="","",IFERROR(INDEX(InsCosto,MATCH(B342,ListaInsumos,0)),""))</f>
        <v/>
      </c>
      <c r="G342" s="19" t="str">
        <f aca="false">IF(AND(A342="",B342=""),"",IF(H342="OK",E342*F342,0))</f>
        <v/>
      </c>
      <c r="H342" s="20" t="str">
        <f aca="true">IF(AND(A342="",B342=""),"",IF(ISNA(MATCH(B342,ListaInsumos,0)),"Insumo no está en Insumos",IF(C342="","Falta cantidad",IF(IFERROR(INDEX(UnidadesBase,MATCH(D342,Unidades,0)),"")&lt;&gt;INDEX(InsBase,MATCH(B342,ListaInsumos,0)),"Unidad incompatible",IF(F342="","Insumo sin compras","OK")))))</f>
        <v/>
      </c>
      <c r="I342" s="15"/>
    </row>
    <row r="343" customFormat="false" ht="15" hidden="false" customHeight="false" outlineLevel="0" collapsed="false">
      <c r="A343" s="15"/>
      <c r="B343" s="15"/>
      <c r="C343" s="27"/>
      <c r="D343" s="15"/>
      <c r="E343" s="25" t="str">
        <f aca="true">IF(OR(C343="",D343=""),"",IFERROR(C343*INDEX(UnidadesFactor,MATCH(D343,Unidades,0)),""))</f>
        <v/>
      </c>
      <c r="F343" s="18" t="str">
        <f aca="true">IF(B343="","",IFERROR(INDEX(InsCosto,MATCH(B343,ListaInsumos,0)),""))</f>
        <v/>
      </c>
      <c r="G343" s="19" t="str">
        <f aca="false">IF(AND(A343="",B343=""),"",IF(H343="OK",E343*F343,0))</f>
        <v/>
      </c>
      <c r="H343" s="20" t="str">
        <f aca="true">IF(AND(A343="",B343=""),"",IF(ISNA(MATCH(B343,ListaInsumos,0)),"Insumo no está en Insumos",IF(C343="","Falta cantidad",IF(IFERROR(INDEX(UnidadesBase,MATCH(D343,Unidades,0)),"")&lt;&gt;INDEX(InsBase,MATCH(B343,ListaInsumos,0)),"Unidad incompatible",IF(F343="","Insumo sin compras","OK")))))</f>
        <v/>
      </c>
      <c r="I343" s="15"/>
    </row>
    <row r="344" customFormat="false" ht="15" hidden="false" customHeight="false" outlineLevel="0" collapsed="false">
      <c r="A344" s="15"/>
      <c r="B344" s="15"/>
      <c r="C344" s="27"/>
      <c r="D344" s="15"/>
      <c r="E344" s="25" t="str">
        <f aca="true">IF(OR(C344="",D344=""),"",IFERROR(C344*INDEX(UnidadesFactor,MATCH(D344,Unidades,0)),""))</f>
        <v/>
      </c>
      <c r="F344" s="18" t="str">
        <f aca="true">IF(B344="","",IFERROR(INDEX(InsCosto,MATCH(B344,ListaInsumos,0)),""))</f>
        <v/>
      </c>
      <c r="G344" s="19" t="str">
        <f aca="false">IF(AND(A344="",B344=""),"",IF(H344="OK",E344*F344,0))</f>
        <v/>
      </c>
      <c r="H344" s="20" t="str">
        <f aca="true">IF(AND(A344="",B344=""),"",IF(ISNA(MATCH(B344,ListaInsumos,0)),"Insumo no está en Insumos",IF(C344="","Falta cantidad",IF(IFERROR(INDEX(UnidadesBase,MATCH(D344,Unidades,0)),"")&lt;&gt;INDEX(InsBase,MATCH(B344,ListaInsumos,0)),"Unidad incompatible",IF(F344="","Insumo sin compras","OK")))))</f>
        <v/>
      </c>
      <c r="I344" s="15"/>
    </row>
    <row r="345" customFormat="false" ht="15" hidden="false" customHeight="false" outlineLevel="0" collapsed="false">
      <c r="A345" s="15"/>
      <c r="B345" s="15"/>
      <c r="C345" s="27"/>
      <c r="D345" s="15"/>
      <c r="E345" s="25" t="str">
        <f aca="true">IF(OR(C345="",D345=""),"",IFERROR(C345*INDEX(UnidadesFactor,MATCH(D345,Unidades,0)),""))</f>
        <v/>
      </c>
      <c r="F345" s="18" t="str">
        <f aca="true">IF(B345="","",IFERROR(INDEX(InsCosto,MATCH(B345,ListaInsumos,0)),""))</f>
        <v/>
      </c>
      <c r="G345" s="19" t="str">
        <f aca="false">IF(AND(A345="",B345=""),"",IF(H345="OK",E345*F345,0))</f>
        <v/>
      </c>
      <c r="H345" s="20" t="str">
        <f aca="true">IF(AND(A345="",B345=""),"",IF(ISNA(MATCH(B345,ListaInsumos,0)),"Insumo no está en Insumos",IF(C345="","Falta cantidad",IF(IFERROR(INDEX(UnidadesBase,MATCH(D345,Unidades,0)),"")&lt;&gt;INDEX(InsBase,MATCH(B345,ListaInsumos,0)),"Unidad incompatible",IF(F345="","Insumo sin compras","OK")))))</f>
        <v/>
      </c>
      <c r="I345" s="15"/>
    </row>
    <row r="346" customFormat="false" ht="15" hidden="false" customHeight="false" outlineLevel="0" collapsed="false">
      <c r="A346" s="15"/>
      <c r="B346" s="15"/>
      <c r="C346" s="27"/>
      <c r="D346" s="15"/>
      <c r="E346" s="25" t="str">
        <f aca="true">IF(OR(C346="",D346=""),"",IFERROR(C346*INDEX(UnidadesFactor,MATCH(D346,Unidades,0)),""))</f>
        <v/>
      </c>
      <c r="F346" s="18" t="str">
        <f aca="true">IF(B346="","",IFERROR(INDEX(InsCosto,MATCH(B346,ListaInsumos,0)),""))</f>
        <v/>
      </c>
      <c r="G346" s="19" t="str">
        <f aca="false">IF(AND(A346="",B346=""),"",IF(H346="OK",E346*F346,0))</f>
        <v/>
      </c>
      <c r="H346" s="20" t="str">
        <f aca="true">IF(AND(A346="",B346=""),"",IF(ISNA(MATCH(B346,ListaInsumos,0)),"Insumo no está en Insumos",IF(C346="","Falta cantidad",IF(IFERROR(INDEX(UnidadesBase,MATCH(D346,Unidades,0)),"")&lt;&gt;INDEX(InsBase,MATCH(B346,ListaInsumos,0)),"Unidad incompatible",IF(F346="","Insumo sin compras","OK")))))</f>
        <v/>
      </c>
      <c r="I346" s="15"/>
    </row>
    <row r="347" customFormat="false" ht="15" hidden="false" customHeight="false" outlineLevel="0" collapsed="false">
      <c r="A347" s="15"/>
      <c r="B347" s="15"/>
      <c r="C347" s="27"/>
      <c r="D347" s="15"/>
      <c r="E347" s="25" t="str">
        <f aca="true">IF(OR(C347="",D347=""),"",IFERROR(C347*INDEX(UnidadesFactor,MATCH(D347,Unidades,0)),""))</f>
        <v/>
      </c>
      <c r="F347" s="18" t="str">
        <f aca="true">IF(B347="","",IFERROR(INDEX(InsCosto,MATCH(B347,ListaInsumos,0)),""))</f>
        <v/>
      </c>
      <c r="G347" s="19" t="str">
        <f aca="false">IF(AND(A347="",B347=""),"",IF(H347="OK",E347*F347,0))</f>
        <v/>
      </c>
      <c r="H347" s="20" t="str">
        <f aca="true">IF(AND(A347="",B347=""),"",IF(ISNA(MATCH(B347,ListaInsumos,0)),"Insumo no está en Insumos",IF(C347="","Falta cantidad",IF(IFERROR(INDEX(UnidadesBase,MATCH(D347,Unidades,0)),"")&lt;&gt;INDEX(InsBase,MATCH(B347,ListaInsumos,0)),"Unidad incompatible",IF(F347="","Insumo sin compras","OK")))))</f>
        <v/>
      </c>
      <c r="I347" s="15"/>
    </row>
    <row r="348" customFormat="false" ht="15" hidden="false" customHeight="false" outlineLevel="0" collapsed="false">
      <c r="A348" s="15"/>
      <c r="B348" s="15"/>
      <c r="C348" s="27"/>
      <c r="D348" s="15"/>
      <c r="E348" s="25" t="str">
        <f aca="true">IF(OR(C348="",D348=""),"",IFERROR(C348*INDEX(UnidadesFactor,MATCH(D348,Unidades,0)),""))</f>
        <v/>
      </c>
      <c r="F348" s="18" t="str">
        <f aca="true">IF(B348="","",IFERROR(INDEX(InsCosto,MATCH(B348,ListaInsumos,0)),""))</f>
        <v/>
      </c>
      <c r="G348" s="19" t="str">
        <f aca="false">IF(AND(A348="",B348=""),"",IF(H348="OK",E348*F348,0))</f>
        <v/>
      </c>
      <c r="H348" s="20" t="str">
        <f aca="true">IF(AND(A348="",B348=""),"",IF(ISNA(MATCH(B348,ListaInsumos,0)),"Insumo no está en Insumos",IF(C348="","Falta cantidad",IF(IFERROR(INDEX(UnidadesBase,MATCH(D348,Unidades,0)),"")&lt;&gt;INDEX(InsBase,MATCH(B348,ListaInsumos,0)),"Unidad incompatible",IF(F348="","Insumo sin compras","OK")))))</f>
        <v/>
      </c>
      <c r="I348" s="15"/>
    </row>
    <row r="349" customFormat="false" ht="15" hidden="false" customHeight="false" outlineLevel="0" collapsed="false">
      <c r="A349" s="15"/>
      <c r="B349" s="15"/>
      <c r="C349" s="27"/>
      <c r="D349" s="15"/>
      <c r="E349" s="25" t="str">
        <f aca="true">IF(OR(C349="",D349=""),"",IFERROR(C349*INDEX(UnidadesFactor,MATCH(D349,Unidades,0)),""))</f>
        <v/>
      </c>
      <c r="F349" s="18" t="str">
        <f aca="true">IF(B349="","",IFERROR(INDEX(InsCosto,MATCH(B349,ListaInsumos,0)),""))</f>
        <v/>
      </c>
      <c r="G349" s="19" t="str">
        <f aca="false">IF(AND(A349="",B349=""),"",IF(H349="OK",E349*F349,0))</f>
        <v/>
      </c>
      <c r="H349" s="20" t="str">
        <f aca="true">IF(AND(A349="",B349=""),"",IF(ISNA(MATCH(B349,ListaInsumos,0)),"Insumo no está en Insumos",IF(C349="","Falta cantidad",IF(IFERROR(INDEX(UnidadesBase,MATCH(D349,Unidades,0)),"")&lt;&gt;INDEX(InsBase,MATCH(B349,ListaInsumos,0)),"Unidad incompatible",IF(F349="","Insumo sin compras","OK")))))</f>
        <v/>
      </c>
      <c r="I349" s="15"/>
    </row>
    <row r="350" customFormat="false" ht="15" hidden="false" customHeight="false" outlineLevel="0" collapsed="false">
      <c r="A350" s="15"/>
      <c r="B350" s="15"/>
      <c r="C350" s="27"/>
      <c r="D350" s="15"/>
      <c r="E350" s="25" t="str">
        <f aca="true">IF(OR(C350="",D350=""),"",IFERROR(C350*INDEX(UnidadesFactor,MATCH(D350,Unidades,0)),""))</f>
        <v/>
      </c>
      <c r="F350" s="18" t="str">
        <f aca="true">IF(B350="","",IFERROR(INDEX(InsCosto,MATCH(B350,ListaInsumos,0)),""))</f>
        <v/>
      </c>
      <c r="G350" s="19" t="str">
        <f aca="false">IF(AND(A350="",B350=""),"",IF(H350="OK",E350*F350,0))</f>
        <v/>
      </c>
      <c r="H350" s="20" t="str">
        <f aca="true">IF(AND(A350="",B350=""),"",IF(ISNA(MATCH(B350,ListaInsumos,0)),"Insumo no está en Insumos",IF(C350="","Falta cantidad",IF(IFERROR(INDEX(UnidadesBase,MATCH(D350,Unidades,0)),"")&lt;&gt;INDEX(InsBase,MATCH(B350,ListaInsumos,0)),"Unidad incompatible",IF(F350="","Insumo sin compras","OK")))))</f>
        <v/>
      </c>
      <c r="I350" s="15"/>
    </row>
    <row r="351" customFormat="false" ht="15" hidden="false" customHeight="false" outlineLevel="0" collapsed="false">
      <c r="A351" s="15"/>
      <c r="B351" s="15"/>
      <c r="C351" s="27"/>
      <c r="D351" s="15"/>
      <c r="E351" s="25" t="str">
        <f aca="true">IF(OR(C351="",D351=""),"",IFERROR(C351*INDEX(UnidadesFactor,MATCH(D351,Unidades,0)),""))</f>
        <v/>
      </c>
      <c r="F351" s="18" t="str">
        <f aca="true">IF(B351="","",IFERROR(INDEX(InsCosto,MATCH(B351,ListaInsumos,0)),""))</f>
        <v/>
      </c>
      <c r="G351" s="19" t="str">
        <f aca="false">IF(AND(A351="",B351=""),"",IF(H351="OK",E351*F351,0))</f>
        <v/>
      </c>
      <c r="H351" s="20" t="str">
        <f aca="true">IF(AND(A351="",B351=""),"",IF(ISNA(MATCH(B351,ListaInsumos,0)),"Insumo no está en Insumos",IF(C351="","Falta cantidad",IF(IFERROR(INDEX(UnidadesBase,MATCH(D351,Unidades,0)),"")&lt;&gt;INDEX(InsBase,MATCH(B351,ListaInsumos,0)),"Unidad incompatible",IF(F351="","Insumo sin compras","OK")))))</f>
        <v/>
      </c>
      <c r="I351" s="15"/>
    </row>
    <row r="352" customFormat="false" ht="15" hidden="false" customHeight="false" outlineLevel="0" collapsed="false">
      <c r="A352" s="15"/>
      <c r="B352" s="15"/>
      <c r="C352" s="27"/>
      <c r="D352" s="15"/>
      <c r="E352" s="25" t="str">
        <f aca="true">IF(OR(C352="",D352=""),"",IFERROR(C352*INDEX(UnidadesFactor,MATCH(D352,Unidades,0)),""))</f>
        <v/>
      </c>
      <c r="F352" s="18" t="str">
        <f aca="true">IF(B352="","",IFERROR(INDEX(InsCosto,MATCH(B352,ListaInsumos,0)),""))</f>
        <v/>
      </c>
      <c r="G352" s="19" t="str">
        <f aca="false">IF(AND(A352="",B352=""),"",IF(H352="OK",E352*F352,0))</f>
        <v/>
      </c>
      <c r="H352" s="20" t="str">
        <f aca="true">IF(AND(A352="",B352=""),"",IF(ISNA(MATCH(B352,ListaInsumos,0)),"Insumo no está en Insumos",IF(C352="","Falta cantidad",IF(IFERROR(INDEX(UnidadesBase,MATCH(D352,Unidades,0)),"")&lt;&gt;INDEX(InsBase,MATCH(B352,ListaInsumos,0)),"Unidad incompatible",IF(F352="","Insumo sin compras","OK")))))</f>
        <v/>
      </c>
      <c r="I352" s="15"/>
    </row>
    <row r="353" customFormat="false" ht="15" hidden="false" customHeight="false" outlineLevel="0" collapsed="false">
      <c r="A353" s="15"/>
      <c r="B353" s="15"/>
      <c r="C353" s="27"/>
      <c r="D353" s="15"/>
      <c r="E353" s="25" t="str">
        <f aca="true">IF(OR(C353="",D353=""),"",IFERROR(C353*INDEX(UnidadesFactor,MATCH(D353,Unidades,0)),""))</f>
        <v/>
      </c>
      <c r="F353" s="18" t="str">
        <f aca="true">IF(B353="","",IFERROR(INDEX(InsCosto,MATCH(B353,ListaInsumos,0)),""))</f>
        <v/>
      </c>
      <c r="G353" s="19" t="str">
        <f aca="false">IF(AND(A353="",B353=""),"",IF(H353="OK",E353*F353,0))</f>
        <v/>
      </c>
      <c r="H353" s="20" t="str">
        <f aca="true">IF(AND(A353="",B353=""),"",IF(ISNA(MATCH(B353,ListaInsumos,0)),"Insumo no está en Insumos",IF(C353="","Falta cantidad",IF(IFERROR(INDEX(UnidadesBase,MATCH(D353,Unidades,0)),"")&lt;&gt;INDEX(InsBase,MATCH(B353,ListaInsumos,0)),"Unidad incompatible",IF(F353="","Insumo sin compras","OK")))))</f>
        <v/>
      </c>
      <c r="I353" s="15"/>
    </row>
    <row r="354" customFormat="false" ht="15" hidden="false" customHeight="false" outlineLevel="0" collapsed="false">
      <c r="A354" s="15"/>
      <c r="B354" s="15"/>
      <c r="C354" s="27"/>
      <c r="D354" s="15"/>
      <c r="E354" s="25" t="str">
        <f aca="true">IF(OR(C354="",D354=""),"",IFERROR(C354*INDEX(UnidadesFactor,MATCH(D354,Unidades,0)),""))</f>
        <v/>
      </c>
      <c r="F354" s="18" t="str">
        <f aca="true">IF(B354="","",IFERROR(INDEX(InsCosto,MATCH(B354,ListaInsumos,0)),""))</f>
        <v/>
      </c>
      <c r="G354" s="19" t="str">
        <f aca="false">IF(AND(A354="",B354=""),"",IF(H354="OK",E354*F354,0))</f>
        <v/>
      </c>
      <c r="H354" s="20" t="str">
        <f aca="true">IF(AND(A354="",B354=""),"",IF(ISNA(MATCH(B354,ListaInsumos,0)),"Insumo no está en Insumos",IF(C354="","Falta cantidad",IF(IFERROR(INDEX(UnidadesBase,MATCH(D354,Unidades,0)),"")&lt;&gt;INDEX(InsBase,MATCH(B354,ListaInsumos,0)),"Unidad incompatible",IF(F354="","Insumo sin compras","OK")))))</f>
        <v/>
      </c>
      <c r="I354" s="15"/>
    </row>
    <row r="355" customFormat="false" ht="15" hidden="false" customHeight="false" outlineLevel="0" collapsed="false">
      <c r="A355" s="15"/>
      <c r="B355" s="15"/>
      <c r="C355" s="27"/>
      <c r="D355" s="15"/>
      <c r="E355" s="25" t="str">
        <f aca="true">IF(OR(C355="",D355=""),"",IFERROR(C355*INDEX(UnidadesFactor,MATCH(D355,Unidades,0)),""))</f>
        <v/>
      </c>
      <c r="F355" s="18" t="str">
        <f aca="true">IF(B355="","",IFERROR(INDEX(InsCosto,MATCH(B355,ListaInsumos,0)),""))</f>
        <v/>
      </c>
      <c r="G355" s="19" t="str">
        <f aca="false">IF(AND(A355="",B355=""),"",IF(H355="OK",E355*F355,0))</f>
        <v/>
      </c>
      <c r="H355" s="20" t="str">
        <f aca="true">IF(AND(A355="",B355=""),"",IF(ISNA(MATCH(B355,ListaInsumos,0)),"Insumo no está en Insumos",IF(C355="","Falta cantidad",IF(IFERROR(INDEX(UnidadesBase,MATCH(D355,Unidades,0)),"")&lt;&gt;INDEX(InsBase,MATCH(B355,ListaInsumos,0)),"Unidad incompatible",IF(F355="","Insumo sin compras","OK")))))</f>
        <v/>
      </c>
      <c r="I355" s="15"/>
    </row>
    <row r="356" customFormat="false" ht="15" hidden="false" customHeight="false" outlineLevel="0" collapsed="false">
      <c r="A356" s="15"/>
      <c r="B356" s="15"/>
      <c r="C356" s="27"/>
      <c r="D356" s="15"/>
      <c r="E356" s="25" t="str">
        <f aca="true">IF(OR(C356="",D356=""),"",IFERROR(C356*INDEX(UnidadesFactor,MATCH(D356,Unidades,0)),""))</f>
        <v/>
      </c>
      <c r="F356" s="18" t="str">
        <f aca="true">IF(B356="","",IFERROR(INDEX(InsCosto,MATCH(B356,ListaInsumos,0)),""))</f>
        <v/>
      </c>
      <c r="G356" s="19" t="str">
        <f aca="false">IF(AND(A356="",B356=""),"",IF(H356="OK",E356*F356,0))</f>
        <v/>
      </c>
      <c r="H356" s="20" t="str">
        <f aca="true">IF(AND(A356="",B356=""),"",IF(ISNA(MATCH(B356,ListaInsumos,0)),"Insumo no está en Insumos",IF(C356="","Falta cantidad",IF(IFERROR(INDEX(UnidadesBase,MATCH(D356,Unidades,0)),"")&lt;&gt;INDEX(InsBase,MATCH(B356,ListaInsumos,0)),"Unidad incompatible",IF(F356="","Insumo sin compras","OK")))))</f>
        <v/>
      </c>
      <c r="I356" s="15"/>
    </row>
    <row r="357" customFormat="false" ht="15" hidden="false" customHeight="false" outlineLevel="0" collapsed="false">
      <c r="A357" s="15"/>
      <c r="B357" s="15"/>
      <c r="C357" s="27"/>
      <c r="D357" s="15"/>
      <c r="E357" s="25" t="str">
        <f aca="true">IF(OR(C357="",D357=""),"",IFERROR(C357*INDEX(UnidadesFactor,MATCH(D357,Unidades,0)),""))</f>
        <v/>
      </c>
      <c r="F357" s="18" t="str">
        <f aca="true">IF(B357="","",IFERROR(INDEX(InsCosto,MATCH(B357,ListaInsumos,0)),""))</f>
        <v/>
      </c>
      <c r="G357" s="19" t="str">
        <f aca="false">IF(AND(A357="",B357=""),"",IF(H357="OK",E357*F357,0))</f>
        <v/>
      </c>
      <c r="H357" s="20" t="str">
        <f aca="true">IF(AND(A357="",B357=""),"",IF(ISNA(MATCH(B357,ListaInsumos,0)),"Insumo no está en Insumos",IF(C357="","Falta cantidad",IF(IFERROR(INDEX(UnidadesBase,MATCH(D357,Unidades,0)),"")&lt;&gt;INDEX(InsBase,MATCH(B357,ListaInsumos,0)),"Unidad incompatible",IF(F357="","Insumo sin compras","OK")))))</f>
        <v/>
      </c>
      <c r="I357" s="15"/>
    </row>
    <row r="358" customFormat="false" ht="15" hidden="false" customHeight="false" outlineLevel="0" collapsed="false">
      <c r="A358" s="15"/>
      <c r="B358" s="15"/>
      <c r="C358" s="27"/>
      <c r="D358" s="15"/>
      <c r="E358" s="25" t="str">
        <f aca="true">IF(OR(C358="",D358=""),"",IFERROR(C358*INDEX(UnidadesFactor,MATCH(D358,Unidades,0)),""))</f>
        <v/>
      </c>
      <c r="F358" s="18" t="str">
        <f aca="true">IF(B358="","",IFERROR(INDEX(InsCosto,MATCH(B358,ListaInsumos,0)),""))</f>
        <v/>
      </c>
      <c r="G358" s="19" t="str">
        <f aca="false">IF(AND(A358="",B358=""),"",IF(H358="OK",E358*F358,0))</f>
        <v/>
      </c>
      <c r="H358" s="20" t="str">
        <f aca="true">IF(AND(A358="",B358=""),"",IF(ISNA(MATCH(B358,ListaInsumos,0)),"Insumo no está en Insumos",IF(C358="","Falta cantidad",IF(IFERROR(INDEX(UnidadesBase,MATCH(D358,Unidades,0)),"")&lt;&gt;INDEX(InsBase,MATCH(B358,ListaInsumos,0)),"Unidad incompatible",IF(F358="","Insumo sin compras","OK")))))</f>
        <v/>
      </c>
      <c r="I358" s="15"/>
    </row>
    <row r="359" customFormat="false" ht="15" hidden="false" customHeight="false" outlineLevel="0" collapsed="false">
      <c r="A359" s="15"/>
      <c r="B359" s="15"/>
      <c r="C359" s="27"/>
      <c r="D359" s="15"/>
      <c r="E359" s="25" t="str">
        <f aca="true">IF(OR(C359="",D359=""),"",IFERROR(C359*INDEX(UnidadesFactor,MATCH(D359,Unidades,0)),""))</f>
        <v/>
      </c>
      <c r="F359" s="18" t="str">
        <f aca="true">IF(B359="","",IFERROR(INDEX(InsCosto,MATCH(B359,ListaInsumos,0)),""))</f>
        <v/>
      </c>
      <c r="G359" s="19" t="str">
        <f aca="false">IF(AND(A359="",B359=""),"",IF(H359="OK",E359*F359,0))</f>
        <v/>
      </c>
      <c r="H359" s="20" t="str">
        <f aca="true">IF(AND(A359="",B359=""),"",IF(ISNA(MATCH(B359,ListaInsumos,0)),"Insumo no está en Insumos",IF(C359="","Falta cantidad",IF(IFERROR(INDEX(UnidadesBase,MATCH(D359,Unidades,0)),"")&lt;&gt;INDEX(InsBase,MATCH(B359,ListaInsumos,0)),"Unidad incompatible",IF(F359="","Insumo sin compras","OK")))))</f>
        <v/>
      </c>
      <c r="I359" s="15"/>
    </row>
    <row r="360" customFormat="false" ht="15" hidden="false" customHeight="false" outlineLevel="0" collapsed="false">
      <c r="A360" s="15"/>
      <c r="B360" s="15"/>
      <c r="C360" s="27"/>
      <c r="D360" s="15"/>
      <c r="E360" s="25" t="str">
        <f aca="true">IF(OR(C360="",D360=""),"",IFERROR(C360*INDEX(UnidadesFactor,MATCH(D360,Unidades,0)),""))</f>
        <v/>
      </c>
      <c r="F360" s="18" t="str">
        <f aca="true">IF(B360="","",IFERROR(INDEX(InsCosto,MATCH(B360,ListaInsumos,0)),""))</f>
        <v/>
      </c>
      <c r="G360" s="19" t="str">
        <f aca="false">IF(AND(A360="",B360=""),"",IF(H360="OK",E360*F360,0))</f>
        <v/>
      </c>
      <c r="H360" s="20" t="str">
        <f aca="true">IF(AND(A360="",B360=""),"",IF(ISNA(MATCH(B360,ListaInsumos,0)),"Insumo no está en Insumos",IF(C360="","Falta cantidad",IF(IFERROR(INDEX(UnidadesBase,MATCH(D360,Unidades,0)),"")&lt;&gt;INDEX(InsBase,MATCH(B360,ListaInsumos,0)),"Unidad incompatible",IF(F360="","Insumo sin compras","OK")))))</f>
        <v/>
      </c>
      <c r="I360" s="15"/>
    </row>
    <row r="361" customFormat="false" ht="15" hidden="false" customHeight="false" outlineLevel="0" collapsed="false">
      <c r="A361" s="15"/>
      <c r="B361" s="15"/>
      <c r="C361" s="27"/>
      <c r="D361" s="15"/>
      <c r="E361" s="25" t="str">
        <f aca="true">IF(OR(C361="",D361=""),"",IFERROR(C361*INDEX(UnidadesFactor,MATCH(D361,Unidades,0)),""))</f>
        <v/>
      </c>
      <c r="F361" s="18" t="str">
        <f aca="true">IF(B361="","",IFERROR(INDEX(InsCosto,MATCH(B361,ListaInsumos,0)),""))</f>
        <v/>
      </c>
      <c r="G361" s="19" t="str">
        <f aca="false">IF(AND(A361="",B361=""),"",IF(H361="OK",E361*F361,0))</f>
        <v/>
      </c>
      <c r="H361" s="20" t="str">
        <f aca="true">IF(AND(A361="",B361=""),"",IF(ISNA(MATCH(B361,ListaInsumos,0)),"Insumo no está en Insumos",IF(C361="","Falta cantidad",IF(IFERROR(INDEX(UnidadesBase,MATCH(D361,Unidades,0)),"")&lt;&gt;INDEX(InsBase,MATCH(B361,ListaInsumos,0)),"Unidad incompatible",IF(F361="","Insumo sin compras","OK")))))</f>
        <v/>
      </c>
      <c r="I361" s="15"/>
    </row>
    <row r="362" customFormat="false" ht="15" hidden="false" customHeight="false" outlineLevel="0" collapsed="false">
      <c r="A362" s="15"/>
      <c r="B362" s="15"/>
      <c r="C362" s="27"/>
      <c r="D362" s="15"/>
      <c r="E362" s="25" t="str">
        <f aca="true">IF(OR(C362="",D362=""),"",IFERROR(C362*INDEX(UnidadesFactor,MATCH(D362,Unidades,0)),""))</f>
        <v/>
      </c>
      <c r="F362" s="18" t="str">
        <f aca="true">IF(B362="","",IFERROR(INDEX(InsCosto,MATCH(B362,ListaInsumos,0)),""))</f>
        <v/>
      </c>
      <c r="G362" s="19" t="str">
        <f aca="false">IF(AND(A362="",B362=""),"",IF(H362="OK",E362*F362,0))</f>
        <v/>
      </c>
      <c r="H362" s="20" t="str">
        <f aca="true">IF(AND(A362="",B362=""),"",IF(ISNA(MATCH(B362,ListaInsumos,0)),"Insumo no está en Insumos",IF(C362="","Falta cantidad",IF(IFERROR(INDEX(UnidadesBase,MATCH(D362,Unidades,0)),"")&lt;&gt;INDEX(InsBase,MATCH(B362,ListaInsumos,0)),"Unidad incompatible",IF(F362="","Insumo sin compras","OK")))))</f>
        <v/>
      </c>
      <c r="I362" s="15"/>
    </row>
    <row r="363" customFormat="false" ht="15" hidden="false" customHeight="false" outlineLevel="0" collapsed="false">
      <c r="A363" s="15"/>
      <c r="B363" s="15"/>
      <c r="C363" s="27"/>
      <c r="D363" s="15"/>
      <c r="E363" s="25" t="str">
        <f aca="true">IF(OR(C363="",D363=""),"",IFERROR(C363*INDEX(UnidadesFactor,MATCH(D363,Unidades,0)),""))</f>
        <v/>
      </c>
      <c r="F363" s="18" t="str">
        <f aca="true">IF(B363="","",IFERROR(INDEX(InsCosto,MATCH(B363,ListaInsumos,0)),""))</f>
        <v/>
      </c>
      <c r="G363" s="19" t="str">
        <f aca="false">IF(AND(A363="",B363=""),"",IF(H363="OK",E363*F363,0))</f>
        <v/>
      </c>
      <c r="H363" s="20" t="str">
        <f aca="true">IF(AND(A363="",B363=""),"",IF(ISNA(MATCH(B363,ListaInsumos,0)),"Insumo no está en Insumos",IF(C363="","Falta cantidad",IF(IFERROR(INDEX(UnidadesBase,MATCH(D363,Unidades,0)),"")&lt;&gt;INDEX(InsBase,MATCH(B363,ListaInsumos,0)),"Unidad incompatible",IF(F363="","Insumo sin compras","OK")))))</f>
        <v/>
      </c>
      <c r="I363" s="15"/>
    </row>
    <row r="364" customFormat="false" ht="15" hidden="false" customHeight="false" outlineLevel="0" collapsed="false">
      <c r="A364" s="15"/>
      <c r="B364" s="15"/>
      <c r="C364" s="27"/>
      <c r="D364" s="15"/>
      <c r="E364" s="25" t="str">
        <f aca="true">IF(OR(C364="",D364=""),"",IFERROR(C364*INDEX(UnidadesFactor,MATCH(D364,Unidades,0)),""))</f>
        <v/>
      </c>
      <c r="F364" s="18" t="str">
        <f aca="true">IF(B364="","",IFERROR(INDEX(InsCosto,MATCH(B364,ListaInsumos,0)),""))</f>
        <v/>
      </c>
      <c r="G364" s="19" t="str">
        <f aca="false">IF(AND(A364="",B364=""),"",IF(H364="OK",E364*F364,0))</f>
        <v/>
      </c>
      <c r="H364" s="20" t="str">
        <f aca="true">IF(AND(A364="",B364=""),"",IF(ISNA(MATCH(B364,ListaInsumos,0)),"Insumo no está en Insumos",IF(C364="","Falta cantidad",IF(IFERROR(INDEX(UnidadesBase,MATCH(D364,Unidades,0)),"")&lt;&gt;INDEX(InsBase,MATCH(B364,ListaInsumos,0)),"Unidad incompatible",IF(F364="","Insumo sin compras","OK")))))</f>
        <v/>
      </c>
      <c r="I364" s="15"/>
    </row>
    <row r="365" customFormat="false" ht="15" hidden="false" customHeight="false" outlineLevel="0" collapsed="false">
      <c r="A365" s="15"/>
      <c r="B365" s="15"/>
      <c r="C365" s="27"/>
      <c r="D365" s="15"/>
      <c r="E365" s="25" t="str">
        <f aca="true">IF(OR(C365="",D365=""),"",IFERROR(C365*INDEX(UnidadesFactor,MATCH(D365,Unidades,0)),""))</f>
        <v/>
      </c>
      <c r="F365" s="18" t="str">
        <f aca="true">IF(B365="","",IFERROR(INDEX(InsCosto,MATCH(B365,ListaInsumos,0)),""))</f>
        <v/>
      </c>
      <c r="G365" s="19" t="str">
        <f aca="false">IF(AND(A365="",B365=""),"",IF(H365="OK",E365*F365,0))</f>
        <v/>
      </c>
      <c r="H365" s="20" t="str">
        <f aca="true">IF(AND(A365="",B365=""),"",IF(ISNA(MATCH(B365,ListaInsumos,0)),"Insumo no está en Insumos",IF(C365="","Falta cantidad",IF(IFERROR(INDEX(UnidadesBase,MATCH(D365,Unidades,0)),"")&lt;&gt;INDEX(InsBase,MATCH(B365,ListaInsumos,0)),"Unidad incompatible",IF(F365="","Insumo sin compras","OK")))))</f>
        <v/>
      </c>
      <c r="I365" s="15"/>
    </row>
    <row r="366" customFormat="false" ht="15" hidden="false" customHeight="false" outlineLevel="0" collapsed="false">
      <c r="A366" s="15"/>
      <c r="B366" s="15"/>
      <c r="C366" s="27"/>
      <c r="D366" s="15"/>
      <c r="E366" s="25" t="str">
        <f aca="true">IF(OR(C366="",D366=""),"",IFERROR(C366*INDEX(UnidadesFactor,MATCH(D366,Unidades,0)),""))</f>
        <v/>
      </c>
      <c r="F366" s="18" t="str">
        <f aca="true">IF(B366="","",IFERROR(INDEX(InsCosto,MATCH(B366,ListaInsumos,0)),""))</f>
        <v/>
      </c>
      <c r="G366" s="19" t="str">
        <f aca="false">IF(AND(A366="",B366=""),"",IF(H366="OK",E366*F366,0))</f>
        <v/>
      </c>
      <c r="H366" s="20" t="str">
        <f aca="true">IF(AND(A366="",B366=""),"",IF(ISNA(MATCH(B366,ListaInsumos,0)),"Insumo no está en Insumos",IF(C366="","Falta cantidad",IF(IFERROR(INDEX(UnidadesBase,MATCH(D366,Unidades,0)),"")&lt;&gt;INDEX(InsBase,MATCH(B366,ListaInsumos,0)),"Unidad incompatible",IF(F366="","Insumo sin compras","OK")))))</f>
        <v/>
      </c>
      <c r="I366" s="15"/>
    </row>
    <row r="367" customFormat="false" ht="15" hidden="false" customHeight="false" outlineLevel="0" collapsed="false">
      <c r="A367" s="15"/>
      <c r="B367" s="15"/>
      <c r="C367" s="27"/>
      <c r="D367" s="15"/>
      <c r="E367" s="25" t="str">
        <f aca="true">IF(OR(C367="",D367=""),"",IFERROR(C367*INDEX(UnidadesFactor,MATCH(D367,Unidades,0)),""))</f>
        <v/>
      </c>
      <c r="F367" s="18" t="str">
        <f aca="true">IF(B367="","",IFERROR(INDEX(InsCosto,MATCH(B367,ListaInsumos,0)),""))</f>
        <v/>
      </c>
      <c r="G367" s="19" t="str">
        <f aca="false">IF(AND(A367="",B367=""),"",IF(H367="OK",E367*F367,0))</f>
        <v/>
      </c>
      <c r="H367" s="20" t="str">
        <f aca="true">IF(AND(A367="",B367=""),"",IF(ISNA(MATCH(B367,ListaInsumos,0)),"Insumo no está en Insumos",IF(C367="","Falta cantidad",IF(IFERROR(INDEX(UnidadesBase,MATCH(D367,Unidades,0)),"")&lt;&gt;INDEX(InsBase,MATCH(B367,ListaInsumos,0)),"Unidad incompatible",IF(F367="","Insumo sin compras","OK")))))</f>
        <v/>
      </c>
      <c r="I367" s="15"/>
    </row>
    <row r="368" customFormat="false" ht="15" hidden="false" customHeight="false" outlineLevel="0" collapsed="false">
      <c r="A368" s="15"/>
      <c r="B368" s="15"/>
      <c r="C368" s="27"/>
      <c r="D368" s="15"/>
      <c r="E368" s="25" t="str">
        <f aca="true">IF(OR(C368="",D368=""),"",IFERROR(C368*INDEX(UnidadesFactor,MATCH(D368,Unidades,0)),""))</f>
        <v/>
      </c>
      <c r="F368" s="18" t="str">
        <f aca="true">IF(B368="","",IFERROR(INDEX(InsCosto,MATCH(B368,ListaInsumos,0)),""))</f>
        <v/>
      </c>
      <c r="G368" s="19" t="str">
        <f aca="false">IF(AND(A368="",B368=""),"",IF(H368="OK",E368*F368,0))</f>
        <v/>
      </c>
      <c r="H368" s="20" t="str">
        <f aca="true">IF(AND(A368="",B368=""),"",IF(ISNA(MATCH(B368,ListaInsumos,0)),"Insumo no está en Insumos",IF(C368="","Falta cantidad",IF(IFERROR(INDEX(UnidadesBase,MATCH(D368,Unidades,0)),"")&lt;&gt;INDEX(InsBase,MATCH(B368,ListaInsumos,0)),"Unidad incompatible",IF(F368="","Insumo sin compras","OK")))))</f>
        <v/>
      </c>
      <c r="I368" s="15"/>
    </row>
    <row r="369" customFormat="false" ht="15" hidden="false" customHeight="false" outlineLevel="0" collapsed="false">
      <c r="A369" s="15"/>
      <c r="B369" s="15"/>
      <c r="C369" s="27"/>
      <c r="D369" s="15"/>
      <c r="E369" s="25" t="str">
        <f aca="true">IF(OR(C369="",D369=""),"",IFERROR(C369*INDEX(UnidadesFactor,MATCH(D369,Unidades,0)),""))</f>
        <v/>
      </c>
      <c r="F369" s="18" t="str">
        <f aca="true">IF(B369="","",IFERROR(INDEX(InsCosto,MATCH(B369,ListaInsumos,0)),""))</f>
        <v/>
      </c>
      <c r="G369" s="19" t="str">
        <f aca="false">IF(AND(A369="",B369=""),"",IF(H369="OK",E369*F369,0))</f>
        <v/>
      </c>
      <c r="H369" s="20" t="str">
        <f aca="true">IF(AND(A369="",B369=""),"",IF(ISNA(MATCH(B369,ListaInsumos,0)),"Insumo no está en Insumos",IF(C369="","Falta cantidad",IF(IFERROR(INDEX(UnidadesBase,MATCH(D369,Unidades,0)),"")&lt;&gt;INDEX(InsBase,MATCH(B369,ListaInsumos,0)),"Unidad incompatible",IF(F369="","Insumo sin compras","OK")))))</f>
        <v/>
      </c>
      <c r="I369" s="15"/>
    </row>
    <row r="370" customFormat="false" ht="15" hidden="false" customHeight="false" outlineLevel="0" collapsed="false">
      <c r="A370" s="15"/>
      <c r="B370" s="15"/>
      <c r="C370" s="27"/>
      <c r="D370" s="15"/>
      <c r="E370" s="25" t="str">
        <f aca="true">IF(OR(C370="",D370=""),"",IFERROR(C370*INDEX(UnidadesFactor,MATCH(D370,Unidades,0)),""))</f>
        <v/>
      </c>
      <c r="F370" s="18" t="str">
        <f aca="true">IF(B370="","",IFERROR(INDEX(InsCosto,MATCH(B370,ListaInsumos,0)),""))</f>
        <v/>
      </c>
      <c r="G370" s="19" t="str">
        <f aca="false">IF(AND(A370="",B370=""),"",IF(H370="OK",E370*F370,0))</f>
        <v/>
      </c>
      <c r="H370" s="20" t="str">
        <f aca="true">IF(AND(A370="",B370=""),"",IF(ISNA(MATCH(B370,ListaInsumos,0)),"Insumo no está en Insumos",IF(C370="","Falta cantidad",IF(IFERROR(INDEX(UnidadesBase,MATCH(D370,Unidades,0)),"")&lt;&gt;INDEX(InsBase,MATCH(B370,ListaInsumos,0)),"Unidad incompatible",IF(F370="","Insumo sin compras","OK")))))</f>
        <v/>
      </c>
      <c r="I370" s="15"/>
    </row>
    <row r="371" customFormat="false" ht="15" hidden="false" customHeight="false" outlineLevel="0" collapsed="false">
      <c r="A371" s="15"/>
      <c r="B371" s="15"/>
      <c r="C371" s="27"/>
      <c r="D371" s="15"/>
      <c r="E371" s="25" t="str">
        <f aca="true">IF(OR(C371="",D371=""),"",IFERROR(C371*INDEX(UnidadesFactor,MATCH(D371,Unidades,0)),""))</f>
        <v/>
      </c>
      <c r="F371" s="18" t="str">
        <f aca="true">IF(B371="","",IFERROR(INDEX(InsCosto,MATCH(B371,ListaInsumos,0)),""))</f>
        <v/>
      </c>
      <c r="G371" s="19" t="str">
        <f aca="false">IF(AND(A371="",B371=""),"",IF(H371="OK",E371*F371,0))</f>
        <v/>
      </c>
      <c r="H371" s="20" t="str">
        <f aca="true">IF(AND(A371="",B371=""),"",IF(ISNA(MATCH(B371,ListaInsumos,0)),"Insumo no está en Insumos",IF(C371="","Falta cantidad",IF(IFERROR(INDEX(UnidadesBase,MATCH(D371,Unidades,0)),"")&lt;&gt;INDEX(InsBase,MATCH(B371,ListaInsumos,0)),"Unidad incompatible",IF(F371="","Insumo sin compras","OK")))))</f>
        <v/>
      </c>
      <c r="I371" s="15"/>
    </row>
    <row r="372" customFormat="false" ht="15" hidden="false" customHeight="false" outlineLevel="0" collapsed="false">
      <c r="A372" s="15"/>
      <c r="B372" s="15"/>
      <c r="C372" s="27"/>
      <c r="D372" s="15"/>
      <c r="E372" s="25" t="str">
        <f aca="true">IF(OR(C372="",D372=""),"",IFERROR(C372*INDEX(UnidadesFactor,MATCH(D372,Unidades,0)),""))</f>
        <v/>
      </c>
      <c r="F372" s="18" t="str">
        <f aca="true">IF(B372="","",IFERROR(INDEX(InsCosto,MATCH(B372,ListaInsumos,0)),""))</f>
        <v/>
      </c>
      <c r="G372" s="19" t="str">
        <f aca="false">IF(AND(A372="",B372=""),"",IF(H372="OK",E372*F372,0))</f>
        <v/>
      </c>
      <c r="H372" s="20" t="str">
        <f aca="true">IF(AND(A372="",B372=""),"",IF(ISNA(MATCH(B372,ListaInsumos,0)),"Insumo no está en Insumos",IF(C372="","Falta cantidad",IF(IFERROR(INDEX(UnidadesBase,MATCH(D372,Unidades,0)),"")&lt;&gt;INDEX(InsBase,MATCH(B372,ListaInsumos,0)),"Unidad incompatible",IF(F372="","Insumo sin compras","OK")))))</f>
        <v/>
      </c>
      <c r="I372" s="15"/>
    </row>
    <row r="373" customFormat="false" ht="15" hidden="false" customHeight="false" outlineLevel="0" collapsed="false">
      <c r="A373" s="15"/>
      <c r="B373" s="15"/>
      <c r="C373" s="27"/>
      <c r="D373" s="15"/>
      <c r="E373" s="25" t="str">
        <f aca="true">IF(OR(C373="",D373=""),"",IFERROR(C373*INDEX(UnidadesFactor,MATCH(D373,Unidades,0)),""))</f>
        <v/>
      </c>
      <c r="F373" s="18" t="str">
        <f aca="true">IF(B373="","",IFERROR(INDEX(InsCosto,MATCH(B373,ListaInsumos,0)),""))</f>
        <v/>
      </c>
      <c r="G373" s="19" t="str">
        <f aca="false">IF(AND(A373="",B373=""),"",IF(H373="OK",E373*F373,0))</f>
        <v/>
      </c>
      <c r="H373" s="20" t="str">
        <f aca="true">IF(AND(A373="",B373=""),"",IF(ISNA(MATCH(B373,ListaInsumos,0)),"Insumo no está en Insumos",IF(C373="","Falta cantidad",IF(IFERROR(INDEX(UnidadesBase,MATCH(D373,Unidades,0)),"")&lt;&gt;INDEX(InsBase,MATCH(B373,ListaInsumos,0)),"Unidad incompatible",IF(F373="","Insumo sin compras","OK")))))</f>
        <v/>
      </c>
      <c r="I373" s="15"/>
    </row>
    <row r="374" customFormat="false" ht="15" hidden="false" customHeight="false" outlineLevel="0" collapsed="false">
      <c r="A374" s="15"/>
      <c r="B374" s="15"/>
      <c r="C374" s="27"/>
      <c r="D374" s="15"/>
      <c r="E374" s="25" t="str">
        <f aca="true">IF(OR(C374="",D374=""),"",IFERROR(C374*INDEX(UnidadesFactor,MATCH(D374,Unidades,0)),""))</f>
        <v/>
      </c>
      <c r="F374" s="18" t="str">
        <f aca="true">IF(B374="","",IFERROR(INDEX(InsCosto,MATCH(B374,ListaInsumos,0)),""))</f>
        <v/>
      </c>
      <c r="G374" s="19" t="str">
        <f aca="false">IF(AND(A374="",B374=""),"",IF(H374="OK",E374*F374,0))</f>
        <v/>
      </c>
      <c r="H374" s="20" t="str">
        <f aca="true">IF(AND(A374="",B374=""),"",IF(ISNA(MATCH(B374,ListaInsumos,0)),"Insumo no está en Insumos",IF(C374="","Falta cantidad",IF(IFERROR(INDEX(UnidadesBase,MATCH(D374,Unidades,0)),"")&lt;&gt;INDEX(InsBase,MATCH(B374,ListaInsumos,0)),"Unidad incompatible",IF(F374="","Insumo sin compras","OK")))))</f>
        <v/>
      </c>
      <c r="I374" s="15"/>
    </row>
    <row r="375" customFormat="false" ht="15" hidden="false" customHeight="false" outlineLevel="0" collapsed="false">
      <c r="A375" s="15"/>
      <c r="B375" s="15"/>
      <c r="C375" s="27"/>
      <c r="D375" s="15"/>
      <c r="E375" s="25" t="str">
        <f aca="true">IF(OR(C375="",D375=""),"",IFERROR(C375*INDEX(UnidadesFactor,MATCH(D375,Unidades,0)),""))</f>
        <v/>
      </c>
      <c r="F375" s="18" t="str">
        <f aca="true">IF(B375="","",IFERROR(INDEX(InsCosto,MATCH(B375,ListaInsumos,0)),""))</f>
        <v/>
      </c>
      <c r="G375" s="19" t="str">
        <f aca="false">IF(AND(A375="",B375=""),"",IF(H375="OK",E375*F375,0))</f>
        <v/>
      </c>
      <c r="H375" s="20" t="str">
        <f aca="true">IF(AND(A375="",B375=""),"",IF(ISNA(MATCH(B375,ListaInsumos,0)),"Insumo no está en Insumos",IF(C375="","Falta cantidad",IF(IFERROR(INDEX(UnidadesBase,MATCH(D375,Unidades,0)),"")&lt;&gt;INDEX(InsBase,MATCH(B375,ListaInsumos,0)),"Unidad incompatible",IF(F375="","Insumo sin compras","OK")))))</f>
        <v/>
      </c>
      <c r="I375" s="15"/>
    </row>
    <row r="376" customFormat="false" ht="15" hidden="false" customHeight="false" outlineLevel="0" collapsed="false">
      <c r="A376" s="15"/>
      <c r="B376" s="15"/>
      <c r="C376" s="27"/>
      <c r="D376" s="15"/>
      <c r="E376" s="25" t="str">
        <f aca="true">IF(OR(C376="",D376=""),"",IFERROR(C376*INDEX(UnidadesFactor,MATCH(D376,Unidades,0)),""))</f>
        <v/>
      </c>
      <c r="F376" s="18" t="str">
        <f aca="true">IF(B376="","",IFERROR(INDEX(InsCosto,MATCH(B376,ListaInsumos,0)),""))</f>
        <v/>
      </c>
      <c r="G376" s="19" t="str">
        <f aca="false">IF(AND(A376="",B376=""),"",IF(H376="OK",E376*F376,0))</f>
        <v/>
      </c>
      <c r="H376" s="20" t="str">
        <f aca="true">IF(AND(A376="",B376=""),"",IF(ISNA(MATCH(B376,ListaInsumos,0)),"Insumo no está en Insumos",IF(C376="","Falta cantidad",IF(IFERROR(INDEX(UnidadesBase,MATCH(D376,Unidades,0)),"")&lt;&gt;INDEX(InsBase,MATCH(B376,ListaInsumos,0)),"Unidad incompatible",IF(F376="","Insumo sin compras","OK")))))</f>
        <v/>
      </c>
      <c r="I376" s="15"/>
    </row>
    <row r="377" customFormat="false" ht="15" hidden="false" customHeight="false" outlineLevel="0" collapsed="false">
      <c r="A377" s="15"/>
      <c r="B377" s="15"/>
      <c r="C377" s="27"/>
      <c r="D377" s="15"/>
      <c r="E377" s="25" t="str">
        <f aca="true">IF(OR(C377="",D377=""),"",IFERROR(C377*INDEX(UnidadesFactor,MATCH(D377,Unidades,0)),""))</f>
        <v/>
      </c>
      <c r="F377" s="18" t="str">
        <f aca="true">IF(B377="","",IFERROR(INDEX(InsCosto,MATCH(B377,ListaInsumos,0)),""))</f>
        <v/>
      </c>
      <c r="G377" s="19" t="str">
        <f aca="false">IF(AND(A377="",B377=""),"",IF(H377="OK",E377*F377,0))</f>
        <v/>
      </c>
      <c r="H377" s="20" t="str">
        <f aca="true">IF(AND(A377="",B377=""),"",IF(ISNA(MATCH(B377,ListaInsumos,0)),"Insumo no está en Insumos",IF(C377="","Falta cantidad",IF(IFERROR(INDEX(UnidadesBase,MATCH(D377,Unidades,0)),"")&lt;&gt;INDEX(InsBase,MATCH(B377,ListaInsumos,0)),"Unidad incompatible",IF(F377="","Insumo sin compras","OK")))))</f>
        <v/>
      </c>
      <c r="I377" s="15"/>
    </row>
    <row r="378" customFormat="false" ht="15" hidden="false" customHeight="false" outlineLevel="0" collapsed="false">
      <c r="A378" s="15"/>
      <c r="B378" s="15"/>
      <c r="C378" s="27"/>
      <c r="D378" s="15"/>
      <c r="E378" s="25" t="str">
        <f aca="true">IF(OR(C378="",D378=""),"",IFERROR(C378*INDEX(UnidadesFactor,MATCH(D378,Unidades,0)),""))</f>
        <v/>
      </c>
      <c r="F378" s="18" t="str">
        <f aca="true">IF(B378="","",IFERROR(INDEX(InsCosto,MATCH(B378,ListaInsumos,0)),""))</f>
        <v/>
      </c>
      <c r="G378" s="19" t="str">
        <f aca="false">IF(AND(A378="",B378=""),"",IF(H378="OK",E378*F378,0))</f>
        <v/>
      </c>
      <c r="H378" s="20" t="str">
        <f aca="true">IF(AND(A378="",B378=""),"",IF(ISNA(MATCH(B378,ListaInsumos,0)),"Insumo no está en Insumos",IF(C378="","Falta cantidad",IF(IFERROR(INDEX(UnidadesBase,MATCH(D378,Unidades,0)),"")&lt;&gt;INDEX(InsBase,MATCH(B378,ListaInsumos,0)),"Unidad incompatible",IF(F378="","Insumo sin compras","OK")))))</f>
        <v/>
      </c>
      <c r="I378" s="15"/>
    </row>
    <row r="379" customFormat="false" ht="15" hidden="false" customHeight="false" outlineLevel="0" collapsed="false">
      <c r="A379" s="15"/>
      <c r="B379" s="15"/>
      <c r="C379" s="27"/>
      <c r="D379" s="15"/>
      <c r="E379" s="25" t="str">
        <f aca="true">IF(OR(C379="",D379=""),"",IFERROR(C379*INDEX(UnidadesFactor,MATCH(D379,Unidades,0)),""))</f>
        <v/>
      </c>
      <c r="F379" s="18" t="str">
        <f aca="true">IF(B379="","",IFERROR(INDEX(InsCosto,MATCH(B379,ListaInsumos,0)),""))</f>
        <v/>
      </c>
      <c r="G379" s="19" t="str">
        <f aca="false">IF(AND(A379="",B379=""),"",IF(H379="OK",E379*F379,0))</f>
        <v/>
      </c>
      <c r="H379" s="20" t="str">
        <f aca="true">IF(AND(A379="",B379=""),"",IF(ISNA(MATCH(B379,ListaInsumos,0)),"Insumo no está en Insumos",IF(C379="","Falta cantidad",IF(IFERROR(INDEX(UnidadesBase,MATCH(D379,Unidades,0)),"")&lt;&gt;INDEX(InsBase,MATCH(B379,ListaInsumos,0)),"Unidad incompatible",IF(F379="","Insumo sin compras","OK")))))</f>
        <v/>
      </c>
      <c r="I379" s="15"/>
    </row>
    <row r="380" customFormat="false" ht="15" hidden="false" customHeight="false" outlineLevel="0" collapsed="false">
      <c r="A380" s="15"/>
      <c r="B380" s="15"/>
      <c r="C380" s="27"/>
      <c r="D380" s="15"/>
      <c r="E380" s="25" t="str">
        <f aca="true">IF(OR(C380="",D380=""),"",IFERROR(C380*INDEX(UnidadesFactor,MATCH(D380,Unidades,0)),""))</f>
        <v/>
      </c>
      <c r="F380" s="18" t="str">
        <f aca="true">IF(B380="","",IFERROR(INDEX(InsCosto,MATCH(B380,ListaInsumos,0)),""))</f>
        <v/>
      </c>
      <c r="G380" s="19" t="str">
        <f aca="false">IF(AND(A380="",B380=""),"",IF(H380="OK",E380*F380,0))</f>
        <v/>
      </c>
      <c r="H380" s="20" t="str">
        <f aca="true">IF(AND(A380="",B380=""),"",IF(ISNA(MATCH(B380,ListaInsumos,0)),"Insumo no está en Insumos",IF(C380="","Falta cantidad",IF(IFERROR(INDEX(UnidadesBase,MATCH(D380,Unidades,0)),"")&lt;&gt;INDEX(InsBase,MATCH(B380,ListaInsumos,0)),"Unidad incompatible",IF(F380="","Insumo sin compras","OK")))))</f>
        <v/>
      </c>
      <c r="I380" s="15"/>
    </row>
    <row r="381" customFormat="false" ht="15" hidden="false" customHeight="false" outlineLevel="0" collapsed="false">
      <c r="A381" s="15"/>
      <c r="B381" s="15"/>
      <c r="C381" s="27"/>
      <c r="D381" s="15"/>
      <c r="E381" s="25" t="str">
        <f aca="true">IF(OR(C381="",D381=""),"",IFERROR(C381*INDEX(UnidadesFactor,MATCH(D381,Unidades,0)),""))</f>
        <v/>
      </c>
      <c r="F381" s="18" t="str">
        <f aca="true">IF(B381="","",IFERROR(INDEX(InsCosto,MATCH(B381,ListaInsumos,0)),""))</f>
        <v/>
      </c>
      <c r="G381" s="19" t="str">
        <f aca="false">IF(AND(A381="",B381=""),"",IF(H381="OK",E381*F381,0))</f>
        <v/>
      </c>
      <c r="H381" s="20" t="str">
        <f aca="true">IF(AND(A381="",B381=""),"",IF(ISNA(MATCH(B381,ListaInsumos,0)),"Insumo no está en Insumos",IF(C381="","Falta cantidad",IF(IFERROR(INDEX(UnidadesBase,MATCH(D381,Unidades,0)),"")&lt;&gt;INDEX(InsBase,MATCH(B381,ListaInsumos,0)),"Unidad incompatible",IF(F381="","Insumo sin compras","OK")))))</f>
        <v/>
      </c>
      <c r="I381" s="15"/>
    </row>
    <row r="382" customFormat="false" ht="15" hidden="false" customHeight="false" outlineLevel="0" collapsed="false">
      <c r="A382" s="15"/>
      <c r="B382" s="15"/>
      <c r="C382" s="27"/>
      <c r="D382" s="15"/>
      <c r="E382" s="25" t="str">
        <f aca="true">IF(OR(C382="",D382=""),"",IFERROR(C382*INDEX(UnidadesFactor,MATCH(D382,Unidades,0)),""))</f>
        <v/>
      </c>
      <c r="F382" s="18" t="str">
        <f aca="true">IF(B382="","",IFERROR(INDEX(InsCosto,MATCH(B382,ListaInsumos,0)),""))</f>
        <v/>
      </c>
      <c r="G382" s="19" t="str">
        <f aca="false">IF(AND(A382="",B382=""),"",IF(H382="OK",E382*F382,0))</f>
        <v/>
      </c>
      <c r="H382" s="20" t="str">
        <f aca="true">IF(AND(A382="",B382=""),"",IF(ISNA(MATCH(B382,ListaInsumos,0)),"Insumo no está en Insumos",IF(C382="","Falta cantidad",IF(IFERROR(INDEX(UnidadesBase,MATCH(D382,Unidades,0)),"")&lt;&gt;INDEX(InsBase,MATCH(B382,ListaInsumos,0)),"Unidad incompatible",IF(F382="","Insumo sin compras","OK")))))</f>
        <v/>
      </c>
      <c r="I382" s="15"/>
    </row>
    <row r="383" customFormat="false" ht="15" hidden="false" customHeight="false" outlineLevel="0" collapsed="false">
      <c r="A383" s="15"/>
      <c r="B383" s="15"/>
      <c r="C383" s="27"/>
      <c r="D383" s="15"/>
      <c r="E383" s="25" t="str">
        <f aca="true">IF(OR(C383="",D383=""),"",IFERROR(C383*INDEX(UnidadesFactor,MATCH(D383,Unidades,0)),""))</f>
        <v/>
      </c>
      <c r="F383" s="18" t="str">
        <f aca="true">IF(B383="","",IFERROR(INDEX(InsCosto,MATCH(B383,ListaInsumos,0)),""))</f>
        <v/>
      </c>
      <c r="G383" s="19" t="str">
        <f aca="false">IF(AND(A383="",B383=""),"",IF(H383="OK",E383*F383,0))</f>
        <v/>
      </c>
      <c r="H383" s="20" t="str">
        <f aca="true">IF(AND(A383="",B383=""),"",IF(ISNA(MATCH(B383,ListaInsumos,0)),"Insumo no está en Insumos",IF(C383="","Falta cantidad",IF(IFERROR(INDEX(UnidadesBase,MATCH(D383,Unidades,0)),"")&lt;&gt;INDEX(InsBase,MATCH(B383,ListaInsumos,0)),"Unidad incompatible",IF(F383="","Insumo sin compras","OK")))))</f>
        <v/>
      </c>
      <c r="I383" s="15"/>
    </row>
    <row r="384" customFormat="false" ht="15" hidden="false" customHeight="false" outlineLevel="0" collapsed="false">
      <c r="A384" s="15"/>
      <c r="B384" s="15"/>
      <c r="C384" s="27"/>
      <c r="D384" s="15"/>
      <c r="E384" s="25" t="str">
        <f aca="true">IF(OR(C384="",D384=""),"",IFERROR(C384*INDEX(UnidadesFactor,MATCH(D384,Unidades,0)),""))</f>
        <v/>
      </c>
      <c r="F384" s="18" t="str">
        <f aca="true">IF(B384="","",IFERROR(INDEX(InsCosto,MATCH(B384,ListaInsumos,0)),""))</f>
        <v/>
      </c>
      <c r="G384" s="19" t="str">
        <f aca="false">IF(AND(A384="",B384=""),"",IF(H384="OK",E384*F384,0))</f>
        <v/>
      </c>
      <c r="H384" s="20" t="str">
        <f aca="true">IF(AND(A384="",B384=""),"",IF(ISNA(MATCH(B384,ListaInsumos,0)),"Insumo no está en Insumos",IF(C384="","Falta cantidad",IF(IFERROR(INDEX(UnidadesBase,MATCH(D384,Unidades,0)),"")&lt;&gt;INDEX(InsBase,MATCH(B384,ListaInsumos,0)),"Unidad incompatible",IF(F384="","Insumo sin compras","OK")))))</f>
        <v/>
      </c>
      <c r="I384" s="15"/>
    </row>
    <row r="385" customFormat="false" ht="15" hidden="false" customHeight="false" outlineLevel="0" collapsed="false">
      <c r="A385" s="15"/>
      <c r="B385" s="15"/>
      <c r="C385" s="27"/>
      <c r="D385" s="15"/>
      <c r="E385" s="25" t="str">
        <f aca="true">IF(OR(C385="",D385=""),"",IFERROR(C385*INDEX(UnidadesFactor,MATCH(D385,Unidades,0)),""))</f>
        <v/>
      </c>
      <c r="F385" s="18" t="str">
        <f aca="true">IF(B385="","",IFERROR(INDEX(InsCosto,MATCH(B385,ListaInsumos,0)),""))</f>
        <v/>
      </c>
      <c r="G385" s="19" t="str">
        <f aca="false">IF(AND(A385="",B385=""),"",IF(H385="OK",E385*F385,0))</f>
        <v/>
      </c>
      <c r="H385" s="20" t="str">
        <f aca="true">IF(AND(A385="",B385=""),"",IF(ISNA(MATCH(B385,ListaInsumos,0)),"Insumo no está en Insumos",IF(C385="","Falta cantidad",IF(IFERROR(INDEX(UnidadesBase,MATCH(D385,Unidades,0)),"")&lt;&gt;INDEX(InsBase,MATCH(B385,ListaInsumos,0)),"Unidad incompatible",IF(F385="","Insumo sin compras","OK")))))</f>
        <v/>
      </c>
      <c r="I385" s="15"/>
    </row>
    <row r="386" customFormat="false" ht="15" hidden="false" customHeight="false" outlineLevel="0" collapsed="false">
      <c r="A386" s="15"/>
      <c r="B386" s="15"/>
      <c r="C386" s="27"/>
      <c r="D386" s="15"/>
      <c r="E386" s="25" t="str">
        <f aca="true">IF(OR(C386="",D386=""),"",IFERROR(C386*INDEX(UnidadesFactor,MATCH(D386,Unidades,0)),""))</f>
        <v/>
      </c>
      <c r="F386" s="18" t="str">
        <f aca="true">IF(B386="","",IFERROR(INDEX(InsCosto,MATCH(B386,ListaInsumos,0)),""))</f>
        <v/>
      </c>
      <c r="G386" s="19" t="str">
        <f aca="false">IF(AND(A386="",B386=""),"",IF(H386="OK",E386*F386,0))</f>
        <v/>
      </c>
      <c r="H386" s="20" t="str">
        <f aca="true">IF(AND(A386="",B386=""),"",IF(ISNA(MATCH(B386,ListaInsumos,0)),"Insumo no está en Insumos",IF(C386="","Falta cantidad",IF(IFERROR(INDEX(UnidadesBase,MATCH(D386,Unidades,0)),"")&lt;&gt;INDEX(InsBase,MATCH(B386,ListaInsumos,0)),"Unidad incompatible",IF(F386="","Insumo sin compras","OK")))))</f>
        <v/>
      </c>
      <c r="I386" s="15"/>
    </row>
    <row r="387" customFormat="false" ht="15" hidden="false" customHeight="false" outlineLevel="0" collapsed="false">
      <c r="A387" s="15"/>
      <c r="B387" s="15"/>
      <c r="C387" s="27"/>
      <c r="D387" s="15"/>
      <c r="E387" s="25" t="str">
        <f aca="true">IF(OR(C387="",D387=""),"",IFERROR(C387*INDEX(UnidadesFactor,MATCH(D387,Unidades,0)),""))</f>
        <v/>
      </c>
      <c r="F387" s="18" t="str">
        <f aca="true">IF(B387="","",IFERROR(INDEX(InsCosto,MATCH(B387,ListaInsumos,0)),""))</f>
        <v/>
      </c>
      <c r="G387" s="19" t="str">
        <f aca="false">IF(AND(A387="",B387=""),"",IF(H387="OK",E387*F387,0))</f>
        <v/>
      </c>
      <c r="H387" s="20" t="str">
        <f aca="true">IF(AND(A387="",B387=""),"",IF(ISNA(MATCH(B387,ListaInsumos,0)),"Insumo no está en Insumos",IF(C387="","Falta cantidad",IF(IFERROR(INDEX(UnidadesBase,MATCH(D387,Unidades,0)),"")&lt;&gt;INDEX(InsBase,MATCH(B387,ListaInsumos,0)),"Unidad incompatible",IF(F387="","Insumo sin compras","OK")))))</f>
        <v/>
      </c>
      <c r="I387" s="15"/>
    </row>
    <row r="388" customFormat="false" ht="15" hidden="false" customHeight="false" outlineLevel="0" collapsed="false">
      <c r="A388" s="15"/>
      <c r="B388" s="15"/>
      <c r="C388" s="27"/>
      <c r="D388" s="15"/>
      <c r="E388" s="25" t="str">
        <f aca="true">IF(OR(C388="",D388=""),"",IFERROR(C388*INDEX(UnidadesFactor,MATCH(D388,Unidades,0)),""))</f>
        <v/>
      </c>
      <c r="F388" s="18" t="str">
        <f aca="true">IF(B388="","",IFERROR(INDEX(InsCosto,MATCH(B388,ListaInsumos,0)),""))</f>
        <v/>
      </c>
      <c r="G388" s="19" t="str">
        <f aca="false">IF(AND(A388="",B388=""),"",IF(H388="OK",E388*F388,0))</f>
        <v/>
      </c>
      <c r="H388" s="20" t="str">
        <f aca="true">IF(AND(A388="",B388=""),"",IF(ISNA(MATCH(B388,ListaInsumos,0)),"Insumo no está en Insumos",IF(C388="","Falta cantidad",IF(IFERROR(INDEX(UnidadesBase,MATCH(D388,Unidades,0)),"")&lt;&gt;INDEX(InsBase,MATCH(B388,ListaInsumos,0)),"Unidad incompatible",IF(F388="","Insumo sin compras","OK")))))</f>
        <v/>
      </c>
      <c r="I388" s="15"/>
    </row>
    <row r="389" customFormat="false" ht="15" hidden="false" customHeight="false" outlineLevel="0" collapsed="false">
      <c r="A389" s="15"/>
      <c r="B389" s="15"/>
      <c r="C389" s="27"/>
      <c r="D389" s="15"/>
      <c r="E389" s="25" t="str">
        <f aca="true">IF(OR(C389="",D389=""),"",IFERROR(C389*INDEX(UnidadesFactor,MATCH(D389,Unidades,0)),""))</f>
        <v/>
      </c>
      <c r="F389" s="18" t="str">
        <f aca="true">IF(B389="","",IFERROR(INDEX(InsCosto,MATCH(B389,ListaInsumos,0)),""))</f>
        <v/>
      </c>
      <c r="G389" s="19" t="str">
        <f aca="false">IF(AND(A389="",B389=""),"",IF(H389="OK",E389*F389,0))</f>
        <v/>
      </c>
      <c r="H389" s="20" t="str">
        <f aca="true">IF(AND(A389="",B389=""),"",IF(ISNA(MATCH(B389,ListaInsumos,0)),"Insumo no está en Insumos",IF(C389="","Falta cantidad",IF(IFERROR(INDEX(UnidadesBase,MATCH(D389,Unidades,0)),"")&lt;&gt;INDEX(InsBase,MATCH(B389,ListaInsumos,0)),"Unidad incompatible",IF(F389="","Insumo sin compras","OK")))))</f>
        <v/>
      </c>
      <c r="I389" s="15"/>
    </row>
    <row r="390" customFormat="false" ht="15" hidden="false" customHeight="false" outlineLevel="0" collapsed="false">
      <c r="A390" s="15"/>
      <c r="B390" s="15"/>
      <c r="C390" s="27"/>
      <c r="D390" s="15"/>
      <c r="E390" s="25" t="str">
        <f aca="true">IF(OR(C390="",D390=""),"",IFERROR(C390*INDEX(UnidadesFactor,MATCH(D390,Unidades,0)),""))</f>
        <v/>
      </c>
      <c r="F390" s="18" t="str">
        <f aca="true">IF(B390="","",IFERROR(INDEX(InsCosto,MATCH(B390,ListaInsumos,0)),""))</f>
        <v/>
      </c>
      <c r="G390" s="19" t="str">
        <f aca="false">IF(AND(A390="",B390=""),"",IF(H390="OK",E390*F390,0))</f>
        <v/>
      </c>
      <c r="H390" s="20" t="str">
        <f aca="true">IF(AND(A390="",B390=""),"",IF(ISNA(MATCH(B390,ListaInsumos,0)),"Insumo no está en Insumos",IF(C390="","Falta cantidad",IF(IFERROR(INDEX(UnidadesBase,MATCH(D390,Unidades,0)),"")&lt;&gt;INDEX(InsBase,MATCH(B390,ListaInsumos,0)),"Unidad incompatible",IF(F390="","Insumo sin compras","OK")))))</f>
        <v/>
      </c>
      <c r="I390" s="15"/>
    </row>
    <row r="391" customFormat="false" ht="15" hidden="false" customHeight="false" outlineLevel="0" collapsed="false">
      <c r="A391" s="15"/>
      <c r="B391" s="15"/>
      <c r="C391" s="27"/>
      <c r="D391" s="15"/>
      <c r="E391" s="25" t="str">
        <f aca="true">IF(OR(C391="",D391=""),"",IFERROR(C391*INDEX(UnidadesFactor,MATCH(D391,Unidades,0)),""))</f>
        <v/>
      </c>
      <c r="F391" s="18" t="str">
        <f aca="true">IF(B391="","",IFERROR(INDEX(InsCosto,MATCH(B391,ListaInsumos,0)),""))</f>
        <v/>
      </c>
      <c r="G391" s="19" t="str">
        <f aca="false">IF(AND(A391="",B391=""),"",IF(H391="OK",E391*F391,0))</f>
        <v/>
      </c>
      <c r="H391" s="20" t="str">
        <f aca="true">IF(AND(A391="",B391=""),"",IF(ISNA(MATCH(B391,ListaInsumos,0)),"Insumo no está en Insumos",IF(C391="","Falta cantidad",IF(IFERROR(INDEX(UnidadesBase,MATCH(D391,Unidades,0)),"")&lt;&gt;INDEX(InsBase,MATCH(B391,ListaInsumos,0)),"Unidad incompatible",IF(F391="","Insumo sin compras","OK")))))</f>
        <v/>
      </c>
      <c r="I391" s="15"/>
    </row>
    <row r="392" customFormat="false" ht="15" hidden="false" customHeight="false" outlineLevel="0" collapsed="false">
      <c r="A392" s="15"/>
      <c r="B392" s="15"/>
      <c r="C392" s="27"/>
      <c r="D392" s="15"/>
      <c r="E392" s="25" t="str">
        <f aca="true">IF(OR(C392="",D392=""),"",IFERROR(C392*INDEX(UnidadesFactor,MATCH(D392,Unidades,0)),""))</f>
        <v/>
      </c>
      <c r="F392" s="18" t="str">
        <f aca="true">IF(B392="","",IFERROR(INDEX(InsCosto,MATCH(B392,ListaInsumos,0)),""))</f>
        <v/>
      </c>
      <c r="G392" s="19" t="str">
        <f aca="false">IF(AND(A392="",B392=""),"",IF(H392="OK",E392*F392,0))</f>
        <v/>
      </c>
      <c r="H392" s="20" t="str">
        <f aca="true">IF(AND(A392="",B392=""),"",IF(ISNA(MATCH(B392,ListaInsumos,0)),"Insumo no está en Insumos",IF(C392="","Falta cantidad",IF(IFERROR(INDEX(UnidadesBase,MATCH(D392,Unidades,0)),"")&lt;&gt;INDEX(InsBase,MATCH(B392,ListaInsumos,0)),"Unidad incompatible",IF(F392="","Insumo sin compras","OK")))))</f>
        <v/>
      </c>
      <c r="I392" s="15"/>
    </row>
    <row r="393" customFormat="false" ht="15" hidden="false" customHeight="false" outlineLevel="0" collapsed="false">
      <c r="A393" s="15"/>
      <c r="B393" s="15"/>
      <c r="C393" s="27"/>
      <c r="D393" s="15"/>
      <c r="E393" s="25" t="str">
        <f aca="true">IF(OR(C393="",D393=""),"",IFERROR(C393*INDEX(UnidadesFactor,MATCH(D393,Unidades,0)),""))</f>
        <v/>
      </c>
      <c r="F393" s="18" t="str">
        <f aca="true">IF(B393="","",IFERROR(INDEX(InsCosto,MATCH(B393,ListaInsumos,0)),""))</f>
        <v/>
      </c>
      <c r="G393" s="19" t="str">
        <f aca="false">IF(AND(A393="",B393=""),"",IF(H393="OK",E393*F393,0))</f>
        <v/>
      </c>
      <c r="H393" s="20" t="str">
        <f aca="true">IF(AND(A393="",B393=""),"",IF(ISNA(MATCH(B393,ListaInsumos,0)),"Insumo no está en Insumos",IF(C393="","Falta cantidad",IF(IFERROR(INDEX(UnidadesBase,MATCH(D393,Unidades,0)),"")&lt;&gt;INDEX(InsBase,MATCH(B393,ListaInsumos,0)),"Unidad incompatible",IF(F393="","Insumo sin compras","OK")))))</f>
        <v/>
      </c>
      <c r="I393" s="15"/>
    </row>
    <row r="394" customFormat="false" ht="15" hidden="false" customHeight="false" outlineLevel="0" collapsed="false">
      <c r="A394" s="15"/>
      <c r="B394" s="15"/>
      <c r="C394" s="27"/>
      <c r="D394" s="15"/>
      <c r="E394" s="25" t="str">
        <f aca="true">IF(OR(C394="",D394=""),"",IFERROR(C394*INDEX(UnidadesFactor,MATCH(D394,Unidades,0)),""))</f>
        <v/>
      </c>
      <c r="F394" s="18" t="str">
        <f aca="true">IF(B394="","",IFERROR(INDEX(InsCosto,MATCH(B394,ListaInsumos,0)),""))</f>
        <v/>
      </c>
      <c r="G394" s="19" t="str">
        <f aca="false">IF(AND(A394="",B394=""),"",IF(H394="OK",E394*F394,0))</f>
        <v/>
      </c>
      <c r="H394" s="20" t="str">
        <f aca="true">IF(AND(A394="",B394=""),"",IF(ISNA(MATCH(B394,ListaInsumos,0)),"Insumo no está en Insumos",IF(C394="","Falta cantidad",IF(IFERROR(INDEX(UnidadesBase,MATCH(D394,Unidades,0)),"")&lt;&gt;INDEX(InsBase,MATCH(B394,ListaInsumos,0)),"Unidad incompatible",IF(F394="","Insumo sin compras","OK")))))</f>
        <v/>
      </c>
      <c r="I394" s="15"/>
    </row>
    <row r="395" customFormat="false" ht="15" hidden="false" customHeight="false" outlineLevel="0" collapsed="false">
      <c r="A395" s="15"/>
      <c r="B395" s="15"/>
      <c r="C395" s="27"/>
      <c r="D395" s="15"/>
      <c r="E395" s="25" t="str">
        <f aca="true">IF(OR(C395="",D395=""),"",IFERROR(C395*INDEX(UnidadesFactor,MATCH(D395,Unidades,0)),""))</f>
        <v/>
      </c>
      <c r="F395" s="18" t="str">
        <f aca="true">IF(B395="","",IFERROR(INDEX(InsCosto,MATCH(B395,ListaInsumos,0)),""))</f>
        <v/>
      </c>
      <c r="G395" s="19" t="str">
        <f aca="false">IF(AND(A395="",B395=""),"",IF(H395="OK",E395*F395,0))</f>
        <v/>
      </c>
      <c r="H395" s="20" t="str">
        <f aca="true">IF(AND(A395="",B395=""),"",IF(ISNA(MATCH(B395,ListaInsumos,0)),"Insumo no está en Insumos",IF(C395="","Falta cantidad",IF(IFERROR(INDEX(UnidadesBase,MATCH(D395,Unidades,0)),"")&lt;&gt;INDEX(InsBase,MATCH(B395,ListaInsumos,0)),"Unidad incompatible",IF(F395="","Insumo sin compras","OK")))))</f>
        <v/>
      </c>
      <c r="I395" s="15"/>
    </row>
    <row r="396" customFormat="false" ht="15" hidden="false" customHeight="false" outlineLevel="0" collapsed="false">
      <c r="A396" s="15"/>
      <c r="B396" s="15"/>
      <c r="C396" s="27"/>
      <c r="D396" s="15"/>
      <c r="E396" s="25" t="str">
        <f aca="true">IF(OR(C396="",D396=""),"",IFERROR(C396*INDEX(UnidadesFactor,MATCH(D396,Unidades,0)),""))</f>
        <v/>
      </c>
      <c r="F396" s="18" t="str">
        <f aca="true">IF(B396="","",IFERROR(INDEX(InsCosto,MATCH(B396,ListaInsumos,0)),""))</f>
        <v/>
      </c>
      <c r="G396" s="19" t="str">
        <f aca="false">IF(AND(A396="",B396=""),"",IF(H396="OK",E396*F396,0))</f>
        <v/>
      </c>
      <c r="H396" s="20" t="str">
        <f aca="true">IF(AND(A396="",B396=""),"",IF(ISNA(MATCH(B396,ListaInsumos,0)),"Insumo no está en Insumos",IF(C396="","Falta cantidad",IF(IFERROR(INDEX(UnidadesBase,MATCH(D396,Unidades,0)),"")&lt;&gt;INDEX(InsBase,MATCH(B396,ListaInsumos,0)),"Unidad incompatible",IF(F396="","Insumo sin compras","OK")))))</f>
        <v/>
      </c>
      <c r="I396" s="15"/>
    </row>
    <row r="397" customFormat="false" ht="15" hidden="false" customHeight="false" outlineLevel="0" collapsed="false">
      <c r="A397" s="15"/>
      <c r="B397" s="15"/>
      <c r="C397" s="27"/>
      <c r="D397" s="15"/>
      <c r="E397" s="25" t="str">
        <f aca="true">IF(OR(C397="",D397=""),"",IFERROR(C397*INDEX(UnidadesFactor,MATCH(D397,Unidades,0)),""))</f>
        <v/>
      </c>
      <c r="F397" s="18" t="str">
        <f aca="true">IF(B397="","",IFERROR(INDEX(InsCosto,MATCH(B397,ListaInsumos,0)),""))</f>
        <v/>
      </c>
      <c r="G397" s="19" t="str">
        <f aca="false">IF(AND(A397="",B397=""),"",IF(H397="OK",E397*F397,0))</f>
        <v/>
      </c>
      <c r="H397" s="20" t="str">
        <f aca="true">IF(AND(A397="",B397=""),"",IF(ISNA(MATCH(B397,ListaInsumos,0)),"Insumo no está en Insumos",IF(C397="","Falta cantidad",IF(IFERROR(INDEX(UnidadesBase,MATCH(D397,Unidades,0)),"")&lt;&gt;INDEX(InsBase,MATCH(B397,ListaInsumos,0)),"Unidad incompatible",IF(F397="","Insumo sin compras","OK")))))</f>
        <v/>
      </c>
      <c r="I397" s="15"/>
    </row>
    <row r="398" customFormat="false" ht="15" hidden="false" customHeight="false" outlineLevel="0" collapsed="false">
      <c r="A398" s="15"/>
      <c r="B398" s="15"/>
      <c r="C398" s="27"/>
      <c r="D398" s="15"/>
      <c r="E398" s="25" t="str">
        <f aca="true">IF(OR(C398="",D398=""),"",IFERROR(C398*INDEX(UnidadesFactor,MATCH(D398,Unidades,0)),""))</f>
        <v/>
      </c>
      <c r="F398" s="18" t="str">
        <f aca="true">IF(B398="","",IFERROR(INDEX(InsCosto,MATCH(B398,ListaInsumos,0)),""))</f>
        <v/>
      </c>
      <c r="G398" s="19" t="str">
        <f aca="false">IF(AND(A398="",B398=""),"",IF(H398="OK",E398*F398,0))</f>
        <v/>
      </c>
      <c r="H398" s="20" t="str">
        <f aca="true">IF(AND(A398="",B398=""),"",IF(ISNA(MATCH(B398,ListaInsumos,0)),"Insumo no está en Insumos",IF(C398="","Falta cantidad",IF(IFERROR(INDEX(UnidadesBase,MATCH(D398,Unidades,0)),"")&lt;&gt;INDEX(InsBase,MATCH(B398,ListaInsumos,0)),"Unidad incompatible",IF(F398="","Insumo sin compras","OK")))))</f>
        <v/>
      </c>
      <c r="I398" s="15"/>
    </row>
    <row r="399" customFormat="false" ht="15" hidden="false" customHeight="false" outlineLevel="0" collapsed="false">
      <c r="A399" s="15"/>
      <c r="B399" s="15"/>
      <c r="C399" s="27"/>
      <c r="D399" s="15"/>
      <c r="E399" s="25" t="str">
        <f aca="true">IF(OR(C399="",D399=""),"",IFERROR(C399*INDEX(UnidadesFactor,MATCH(D399,Unidades,0)),""))</f>
        <v/>
      </c>
      <c r="F399" s="18" t="str">
        <f aca="true">IF(B399="","",IFERROR(INDEX(InsCosto,MATCH(B399,ListaInsumos,0)),""))</f>
        <v/>
      </c>
      <c r="G399" s="19" t="str">
        <f aca="false">IF(AND(A399="",B399=""),"",IF(H399="OK",E399*F399,0))</f>
        <v/>
      </c>
      <c r="H399" s="20" t="str">
        <f aca="true">IF(AND(A399="",B399=""),"",IF(ISNA(MATCH(B399,ListaInsumos,0)),"Insumo no está en Insumos",IF(C399="","Falta cantidad",IF(IFERROR(INDEX(UnidadesBase,MATCH(D399,Unidades,0)),"")&lt;&gt;INDEX(InsBase,MATCH(B399,ListaInsumos,0)),"Unidad incompatible",IF(F399="","Insumo sin compras","OK")))))</f>
        <v/>
      </c>
      <c r="I399" s="15"/>
    </row>
    <row r="400" customFormat="false" ht="15" hidden="false" customHeight="false" outlineLevel="0" collapsed="false">
      <c r="A400" s="15"/>
      <c r="B400" s="15"/>
      <c r="C400" s="27"/>
      <c r="D400" s="15"/>
      <c r="E400" s="25" t="str">
        <f aca="true">IF(OR(C400="",D400=""),"",IFERROR(C400*INDEX(UnidadesFactor,MATCH(D400,Unidades,0)),""))</f>
        <v/>
      </c>
      <c r="F400" s="18" t="str">
        <f aca="true">IF(B400="","",IFERROR(INDEX(InsCosto,MATCH(B400,ListaInsumos,0)),""))</f>
        <v/>
      </c>
      <c r="G400" s="19" t="str">
        <f aca="false">IF(AND(A400="",B400=""),"",IF(H400="OK",E400*F400,0))</f>
        <v/>
      </c>
      <c r="H400" s="20" t="str">
        <f aca="true">IF(AND(A400="",B400=""),"",IF(ISNA(MATCH(B400,ListaInsumos,0)),"Insumo no está en Insumos",IF(C400="","Falta cantidad",IF(IFERROR(INDEX(UnidadesBase,MATCH(D400,Unidades,0)),"")&lt;&gt;INDEX(InsBase,MATCH(B400,ListaInsumos,0)),"Unidad incompatible",IF(F400="","Insumo sin compras","OK")))))</f>
        <v/>
      </c>
      <c r="I400" s="15"/>
    </row>
    <row r="401" customFormat="false" ht="15" hidden="false" customHeight="false" outlineLevel="0" collapsed="false">
      <c r="A401" s="15"/>
      <c r="B401" s="15"/>
      <c r="C401" s="27"/>
      <c r="D401" s="15"/>
      <c r="E401" s="25" t="str">
        <f aca="true">IF(OR(C401="",D401=""),"",IFERROR(C401*INDEX(UnidadesFactor,MATCH(D401,Unidades,0)),""))</f>
        <v/>
      </c>
      <c r="F401" s="18" t="str">
        <f aca="true">IF(B401="","",IFERROR(INDEX(InsCosto,MATCH(B401,ListaInsumos,0)),""))</f>
        <v/>
      </c>
      <c r="G401" s="19" t="str">
        <f aca="false">IF(AND(A401="",B401=""),"",IF(H401="OK",E401*F401,0))</f>
        <v/>
      </c>
      <c r="H401" s="20" t="str">
        <f aca="true">IF(AND(A401="",B401=""),"",IF(ISNA(MATCH(B401,ListaInsumos,0)),"Insumo no está en Insumos",IF(C401="","Falta cantidad",IF(IFERROR(INDEX(UnidadesBase,MATCH(D401,Unidades,0)),"")&lt;&gt;INDEX(InsBase,MATCH(B401,ListaInsumos,0)),"Unidad incompatible",IF(F401="","Insumo sin compras","OK")))))</f>
        <v/>
      </c>
      <c r="I401" s="15"/>
    </row>
    <row r="402" customFormat="false" ht="15" hidden="false" customHeight="false" outlineLevel="0" collapsed="false">
      <c r="A402" s="15"/>
      <c r="B402" s="15"/>
      <c r="C402" s="27"/>
      <c r="D402" s="15"/>
      <c r="E402" s="25" t="str">
        <f aca="true">IF(OR(C402="",D402=""),"",IFERROR(C402*INDEX(UnidadesFactor,MATCH(D402,Unidades,0)),""))</f>
        <v/>
      </c>
      <c r="F402" s="18" t="str">
        <f aca="true">IF(B402="","",IFERROR(INDEX(InsCosto,MATCH(B402,ListaInsumos,0)),""))</f>
        <v/>
      </c>
      <c r="G402" s="19" t="str">
        <f aca="false">IF(AND(A402="",B402=""),"",IF(H402="OK",E402*F402,0))</f>
        <v/>
      </c>
      <c r="H402" s="20" t="str">
        <f aca="true">IF(AND(A402="",B402=""),"",IF(ISNA(MATCH(B402,ListaInsumos,0)),"Insumo no está en Insumos",IF(C402="","Falta cantidad",IF(IFERROR(INDEX(UnidadesBase,MATCH(D402,Unidades,0)),"")&lt;&gt;INDEX(InsBase,MATCH(B402,ListaInsumos,0)),"Unidad incompatible",IF(F402="","Insumo sin compras","OK")))))</f>
        <v/>
      </c>
      <c r="I402" s="15"/>
    </row>
    <row r="403" customFormat="false" ht="15" hidden="false" customHeight="false" outlineLevel="0" collapsed="false">
      <c r="A403" s="15"/>
      <c r="B403" s="15"/>
      <c r="C403" s="27"/>
      <c r="D403" s="15"/>
      <c r="E403" s="25" t="str">
        <f aca="true">IF(OR(C403="",D403=""),"",IFERROR(C403*INDEX(UnidadesFactor,MATCH(D403,Unidades,0)),""))</f>
        <v/>
      </c>
      <c r="F403" s="18" t="str">
        <f aca="true">IF(B403="","",IFERROR(INDEX(InsCosto,MATCH(B403,ListaInsumos,0)),""))</f>
        <v/>
      </c>
      <c r="G403" s="19" t="str">
        <f aca="false">IF(AND(A403="",B403=""),"",IF(H403="OK",E403*F403,0))</f>
        <v/>
      </c>
      <c r="H403" s="20" t="str">
        <f aca="true">IF(AND(A403="",B403=""),"",IF(ISNA(MATCH(B403,ListaInsumos,0)),"Insumo no está en Insumos",IF(C403="","Falta cantidad",IF(IFERROR(INDEX(UnidadesBase,MATCH(D403,Unidades,0)),"")&lt;&gt;INDEX(InsBase,MATCH(B403,ListaInsumos,0)),"Unidad incompatible",IF(F403="","Insumo sin compras","OK")))))</f>
        <v/>
      </c>
      <c r="I403" s="15"/>
    </row>
    <row r="404" customFormat="false" ht="15" hidden="false" customHeight="false" outlineLevel="0" collapsed="false">
      <c r="A404" s="15"/>
      <c r="B404" s="15"/>
      <c r="C404" s="27"/>
      <c r="D404" s="15"/>
      <c r="E404" s="25" t="str">
        <f aca="true">IF(OR(C404="",D404=""),"",IFERROR(C404*INDEX(UnidadesFactor,MATCH(D404,Unidades,0)),""))</f>
        <v/>
      </c>
      <c r="F404" s="18" t="str">
        <f aca="true">IF(B404="","",IFERROR(INDEX(InsCosto,MATCH(B404,ListaInsumos,0)),""))</f>
        <v/>
      </c>
      <c r="G404" s="19" t="str">
        <f aca="false">IF(AND(A404="",B404=""),"",IF(H404="OK",E404*F404,0))</f>
        <v/>
      </c>
      <c r="H404" s="20" t="str">
        <f aca="true">IF(AND(A404="",B404=""),"",IF(ISNA(MATCH(B404,ListaInsumos,0)),"Insumo no está en Insumos",IF(C404="","Falta cantidad",IF(IFERROR(INDEX(UnidadesBase,MATCH(D404,Unidades,0)),"")&lt;&gt;INDEX(InsBase,MATCH(B404,ListaInsumos,0)),"Unidad incompatible",IF(F404="","Insumo sin compras","OK")))))</f>
        <v/>
      </c>
      <c r="I404" s="15"/>
    </row>
    <row r="405" customFormat="false" ht="15" hidden="false" customHeight="false" outlineLevel="0" collapsed="false">
      <c r="A405" s="15"/>
      <c r="B405" s="15"/>
      <c r="C405" s="27"/>
      <c r="D405" s="15"/>
      <c r="E405" s="25" t="str">
        <f aca="true">IF(OR(C405="",D405=""),"",IFERROR(C405*INDEX(UnidadesFactor,MATCH(D405,Unidades,0)),""))</f>
        <v/>
      </c>
      <c r="F405" s="18" t="str">
        <f aca="true">IF(B405="","",IFERROR(INDEX(InsCosto,MATCH(B405,ListaInsumos,0)),""))</f>
        <v/>
      </c>
      <c r="G405" s="19" t="str">
        <f aca="false">IF(AND(A405="",B405=""),"",IF(H405="OK",E405*F405,0))</f>
        <v/>
      </c>
      <c r="H405" s="20" t="str">
        <f aca="true">IF(AND(A405="",B405=""),"",IF(ISNA(MATCH(B405,ListaInsumos,0)),"Insumo no está en Insumos",IF(C405="","Falta cantidad",IF(IFERROR(INDEX(UnidadesBase,MATCH(D405,Unidades,0)),"")&lt;&gt;INDEX(InsBase,MATCH(B405,ListaInsumos,0)),"Unidad incompatible",IF(F405="","Insumo sin compras","OK")))))</f>
        <v/>
      </c>
      <c r="I405" s="15"/>
    </row>
    <row r="406" customFormat="false" ht="15" hidden="false" customHeight="false" outlineLevel="0" collapsed="false">
      <c r="A406" s="15"/>
      <c r="B406" s="15"/>
      <c r="C406" s="27"/>
      <c r="D406" s="15"/>
      <c r="E406" s="25" t="str">
        <f aca="true">IF(OR(C406="",D406=""),"",IFERROR(C406*INDEX(UnidadesFactor,MATCH(D406,Unidades,0)),""))</f>
        <v/>
      </c>
      <c r="F406" s="18" t="str">
        <f aca="true">IF(B406="","",IFERROR(INDEX(InsCosto,MATCH(B406,ListaInsumos,0)),""))</f>
        <v/>
      </c>
      <c r="G406" s="19" t="str">
        <f aca="false">IF(AND(A406="",B406=""),"",IF(H406="OK",E406*F406,0))</f>
        <v/>
      </c>
      <c r="H406" s="20" t="str">
        <f aca="true">IF(AND(A406="",B406=""),"",IF(ISNA(MATCH(B406,ListaInsumos,0)),"Insumo no está en Insumos",IF(C406="","Falta cantidad",IF(IFERROR(INDEX(UnidadesBase,MATCH(D406,Unidades,0)),"")&lt;&gt;INDEX(InsBase,MATCH(B406,ListaInsumos,0)),"Unidad incompatible",IF(F406="","Insumo sin compras","OK")))))</f>
        <v/>
      </c>
      <c r="I406" s="15"/>
    </row>
    <row r="407" customFormat="false" ht="15" hidden="false" customHeight="false" outlineLevel="0" collapsed="false">
      <c r="A407" s="15"/>
      <c r="B407" s="15"/>
      <c r="C407" s="27"/>
      <c r="D407" s="15"/>
      <c r="E407" s="25" t="str">
        <f aca="true">IF(OR(C407="",D407=""),"",IFERROR(C407*INDEX(UnidadesFactor,MATCH(D407,Unidades,0)),""))</f>
        <v/>
      </c>
      <c r="F407" s="18" t="str">
        <f aca="true">IF(B407="","",IFERROR(INDEX(InsCosto,MATCH(B407,ListaInsumos,0)),""))</f>
        <v/>
      </c>
      <c r="G407" s="19" t="str">
        <f aca="false">IF(AND(A407="",B407=""),"",IF(H407="OK",E407*F407,0))</f>
        <v/>
      </c>
      <c r="H407" s="20" t="str">
        <f aca="true">IF(AND(A407="",B407=""),"",IF(ISNA(MATCH(B407,ListaInsumos,0)),"Insumo no está en Insumos",IF(C407="","Falta cantidad",IF(IFERROR(INDEX(UnidadesBase,MATCH(D407,Unidades,0)),"")&lt;&gt;INDEX(InsBase,MATCH(B407,ListaInsumos,0)),"Unidad incompatible",IF(F407="","Insumo sin compras","OK")))))</f>
        <v/>
      </c>
      <c r="I407" s="15"/>
    </row>
    <row r="408" customFormat="false" ht="15" hidden="false" customHeight="false" outlineLevel="0" collapsed="false">
      <c r="A408" s="15"/>
      <c r="B408" s="15"/>
      <c r="C408" s="27"/>
      <c r="D408" s="15"/>
      <c r="E408" s="25" t="str">
        <f aca="true">IF(OR(C408="",D408=""),"",IFERROR(C408*INDEX(UnidadesFactor,MATCH(D408,Unidades,0)),""))</f>
        <v/>
      </c>
      <c r="F408" s="18" t="str">
        <f aca="true">IF(B408="","",IFERROR(INDEX(InsCosto,MATCH(B408,ListaInsumos,0)),""))</f>
        <v/>
      </c>
      <c r="G408" s="19" t="str">
        <f aca="false">IF(AND(A408="",B408=""),"",IF(H408="OK",E408*F408,0))</f>
        <v/>
      </c>
      <c r="H408" s="20" t="str">
        <f aca="true">IF(AND(A408="",B408=""),"",IF(ISNA(MATCH(B408,ListaInsumos,0)),"Insumo no está en Insumos",IF(C408="","Falta cantidad",IF(IFERROR(INDEX(UnidadesBase,MATCH(D408,Unidades,0)),"")&lt;&gt;INDEX(InsBase,MATCH(B408,ListaInsumos,0)),"Unidad incompatible",IF(F408="","Insumo sin compras","OK")))))</f>
        <v/>
      </c>
      <c r="I408" s="15"/>
    </row>
    <row r="409" customFormat="false" ht="15" hidden="false" customHeight="false" outlineLevel="0" collapsed="false">
      <c r="A409" s="15"/>
      <c r="B409" s="15"/>
      <c r="C409" s="27"/>
      <c r="D409" s="15"/>
      <c r="E409" s="25" t="str">
        <f aca="true">IF(OR(C409="",D409=""),"",IFERROR(C409*INDEX(UnidadesFactor,MATCH(D409,Unidades,0)),""))</f>
        <v/>
      </c>
      <c r="F409" s="18" t="str">
        <f aca="true">IF(B409="","",IFERROR(INDEX(InsCosto,MATCH(B409,ListaInsumos,0)),""))</f>
        <v/>
      </c>
      <c r="G409" s="19" t="str">
        <f aca="false">IF(AND(A409="",B409=""),"",IF(H409="OK",E409*F409,0))</f>
        <v/>
      </c>
      <c r="H409" s="20" t="str">
        <f aca="true">IF(AND(A409="",B409=""),"",IF(ISNA(MATCH(B409,ListaInsumos,0)),"Insumo no está en Insumos",IF(C409="","Falta cantidad",IF(IFERROR(INDEX(UnidadesBase,MATCH(D409,Unidades,0)),"")&lt;&gt;INDEX(InsBase,MATCH(B409,ListaInsumos,0)),"Unidad incompatible",IF(F409="","Insumo sin compras","OK")))))</f>
        <v/>
      </c>
      <c r="I409" s="15"/>
    </row>
    <row r="410" customFormat="false" ht="15" hidden="false" customHeight="false" outlineLevel="0" collapsed="false">
      <c r="A410" s="15"/>
      <c r="B410" s="15"/>
      <c r="C410" s="27"/>
      <c r="D410" s="15"/>
      <c r="E410" s="25" t="str">
        <f aca="true">IF(OR(C410="",D410=""),"",IFERROR(C410*INDEX(UnidadesFactor,MATCH(D410,Unidades,0)),""))</f>
        <v/>
      </c>
      <c r="F410" s="18" t="str">
        <f aca="true">IF(B410="","",IFERROR(INDEX(InsCosto,MATCH(B410,ListaInsumos,0)),""))</f>
        <v/>
      </c>
      <c r="G410" s="19" t="str">
        <f aca="false">IF(AND(A410="",B410=""),"",IF(H410="OK",E410*F410,0))</f>
        <v/>
      </c>
      <c r="H410" s="20" t="str">
        <f aca="true">IF(AND(A410="",B410=""),"",IF(ISNA(MATCH(B410,ListaInsumos,0)),"Insumo no está en Insumos",IF(C410="","Falta cantidad",IF(IFERROR(INDEX(UnidadesBase,MATCH(D410,Unidades,0)),"")&lt;&gt;INDEX(InsBase,MATCH(B410,ListaInsumos,0)),"Unidad incompatible",IF(F410="","Insumo sin compras","OK")))))</f>
        <v/>
      </c>
      <c r="I410" s="15"/>
    </row>
    <row r="411" customFormat="false" ht="15" hidden="false" customHeight="false" outlineLevel="0" collapsed="false">
      <c r="A411" s="15"/>
      <c r="B411" s="15"/>
      <c r="C411" s="27"/>
      <c r="D411" s="15"/>
      <c r="E411" s="25" t="str">
        <f aca="true">IF(OR(C411="",D411=""),"",IFERROR(C411*INDEX(UnidadesFactor,MATCH(D411,Unidades,0)),""))</f>
        <v/>
      </c>
      <c r="F411" s="18" t="str">
        <f aca="true">IF(B411="","",IFERROR(INDEX(InsCosto,MATCH(B411,ListaInsumos,0)),""))</f>
        <v/>
      </c>
      <c r="G411" s="19" t="str">
        <f aca="false">IF(AND(A411="",B411=""),"",IF(H411="OK",E411*F411,0))</f>
        <v/>
      </c>
      <c r="H411" s="20" t="str">
        <f aca="true">IF(AND(A411="",B411=""),"",IF(ISNA(MATCH(B411,ListaInsumos,0)),"Insumo no está en Insumos",IF(C411="","Falta cantidad",IF(IFERROR(INDEX(UnidadesBase,MATCH(D411,Unidades,0)),"")&lt;&gt;INDEX(InsBase,MATCH(B411,ListaInsumos,0)),"Unidad incompatible",IF(F411="","Insumo sin compras","OK")))))</f>
        <v/>
      </c>
      <c r="I411" s="15"/>
    </row>
    <row r="412" customFormat="false" ht="15" hidden="false" customHeight="false" outlineLevel="0" collapsed="false">
      <c r="A412" s="15"/>
      <c r="B412" s="15"/>
      <c r="C412" s="27"/>
      <c r="D412" s="15"/>
      <c r="E412" s="25" t="str">
        <f aca="true">IF(OR(C412="",D412=""),"",IFERROR(C412*INDEX(UnidadesFactor,MATCH(D412,Unidades,0)),""))</f>
        <v/>
      </c>
      <c r="F412" s="18" t="str">
        <f aca="true">IF(B412="","",IFERROR(INDEX(InsCosto,MATCH(B412,ListaInsumos,0)),""))</f>
        <v/>
      </c>
      <c r="G412" s="19" t="str">
        <f aca="false">IF(AND(A412="",B412=""),"",IF(H412="OK",E412*F412,0))</f>
        <v/>
      </c>
      <c r="H412" s="20" t="str">
        <f aca="true">IF(AND(A412="",B412=""),"",IF(ISNA(MATCH(B412,ListaInsumos,0)),"Insumo no está en Insumos",IF(C412="","Falta cantidad",IF(IFERROR(INDEX(UnidadesBase,MATCH(D412,Unidades,0)),"")&lt;&gt;INDEX(InsBase,MATCH(B412,ListaInsumos,0)),"Unidad incompatible",IF(F412="","Insumo sin compras","OK")))))</f>
        <v/>
      </c>
      <c r="I412" s="15"/>
    </row>
    <row r="413" customFormat="false" ht="15" hidden="false" customHeight="false" outlineLevel="0" collapsed="false">
      <c r="A413" s="15"/>
      <c r="B413" s="15"/>
      <c r="C413" s="27"/>
      <c r="D413" s="15"/>
      <c r="E413" s="25" t="str">
        <f aca="true">IF(OR(C413="",D413=""),"",IFERROR(C413*INDEX(UnidadesFactor,MATCH(D413,Unidades,0)),""))</f>
        <v/>
      </c>
      <c r="F413" s="18" t="str">
        <f aca="true">IF(B413="","",IFERROR(INDEX(InsCosto,MATCH(B413,ListaInsumos,0)),""))</f>
        <v/>
      </c>
      <c r="G413" s="19" t="str">
        <f aca="false">IF(AND(A413="",B413=""),"",IF(H413="OK",E413*F413,0))</f>
        <v/>
      </c>
      <c r="H413" s="20" t="str">
        <f aca="true">IF(AND(A413="",B413=""),"",IF(ISNA(MATCH(B413,ListaInsumos,0)),"Insumo no está en Insumos",IF(C413="","Falta cantidad",IF(IFERROR(INDEX(UnidadesBase,MATCH(D413,Unidades,0)),"")&lt;&gt;INDEX(InsBase,MATCH(B413,ListaInsumos,0)),"Unidad incompatible",IF(F413="","Insumo sin compras","OK")))))</f>
        <v/>
      </c>
      <c r="I413" s="15"/>
    </row>
    <row r="414" customFormat="false" ht="15" hidden="false" customHeight="false" outlineLevel="0" collapsed="false">
      <c r="A414" s="15"/>
      <c r="B414" s="15"/>
      <c r="C414" s="27"/>
      <c r="D414" s="15"/>
      <c r="E414" s="25" t="str">
        <f aca="true">IF(OR(C414="",D414=""),"",IFERROR(C414*INDEX(UnidadesFactor,MATCH(D414,Unidades,0)),""))</f>
        <v/>
      </c>
      <c r="F414" s="18" t="str">
        <f aca="true">IF(B414="","",IFERROR(INDEX(InsCosto,MATCH(B414,ListaInsumos,0)),""))</f>
        <v/>
      </c>
      <c r="G414" s="19" t="str">
        <f aca="false">IF(AND(A414="",B414=""),"",IF(H414="OK",E414*F414,0))</f>
        <v/>
      </c>
      <c r="H414" s="20" t="str">
        <f aca="true">IF(AND(A414="",B414=""),"",IF(ISNA(MATCH(B414,ListaInsumos,0)),"Insumo no está en Insumos",IF(C414="","Falta cantidad",IF(IFERROR(INDEX(UnidadesBase,MATCH(D414,Unidades,0)),"")&lt;&gt;INDEX(InsBase,MATCH(B414,ListaInsumos,0)),"Unidad incompatible",IF(F414="","Insumo sin compras","OK")))))</f>
        <v/>
      </c>
      <c r="I414" s="15"/>
    </row>
    <row r="415" customFormat="false" ht="15" hidden="false" customHeight="false" outlineLevel="0" collapsed="false">
      <c r="A415" s="15"/>
      <c r="B415" s="15"/>
      <c r="C415" s="27"/>
      <c r="D415" s="15"/>
      <c r="E415" s="25" t="str">
        <f aca="true">IF(OR(C415="",D415=""),"",IFERROR(C415*INDEX(UnidadesFactor,MATCH(D415,Unidades,0)),""))</f>
        <v/>
      </c>
      <c r="F415" s="18" t="str">
        <f aca="true">IF(B415="","",IFERROR(INDEX(InsCosto,MATCH(B415,ListaInsumos,0)),""))</f>
        <v/>
      </c>
      <c r="G415" s="19" t="str">
        <f aca="false">IF(AND(A415="",B415=""),"",IF(H415="OK",E415*F415,0))</f>
        <v/>
      </c>
      <c r="H415" s="20" t="str">
        <f aca="true">IF(AND(A415="",B415=""),"",IF(ISNA(MATCH(B415,ListaInsumos,0)),"Insumo no está en Insumos",IF(C415="","Falta cantidad",IF(IFERROR(INDEX(UnidadesBase,MATCH(D415,Unidades,0)),"")&lt;&gt;INDEX(InsBase,MATCH(B415,ListaInsumos,0)),"Unidad incompatible",IF(F415="","Insumo sin compras","OK")))))</f>
        <v/>
      </c>
      <c r="I415" s="15"/>
    </row>
    <row r="416" customFormat="false" ht="15" hidden="false" customHeight="false" outlineLevel="0" collapsed="false">
      <c r="A416" s="15"/>
      <c r="B416" s="15"/>
      <c r="C416" s="27"/>
      <c r="D416" s="15"/>
      <c r="E416" s="25" t="str">
        <f aca="true">IF(OR(C416="",D416=""),"",IFERROR(C416*INDEX(UnidadesFactor,MATCH(D416,Unidades,0)),""))</f>
        <v/>
      </c>
      <c r="F416" s="18" t="str">
        <f aca="true">IF(B416="","",IFERROR(INDEX(InsCosto,MATCH(B416,ListaInsumos,0)),""))</f>
        <v/>
      </c>
      <c r="G416" s="19" t="str">
        <f aca="false">IF(AND(A416="",B416=""),"",IF(H416="OK",E416*F416,0))</f>
        <v/>
      </c>
      <c r="H416" s="20" t="str">
        <f aca="true">IF(AND(A416="",B416=""),"",IF(ISNA(MATCH(B416,ListaInsumos,0)),"Insumo no está en Insumos",IF(C416="","Falta cantidad",IF(IFERROR(INDEX(UnidadesBase,MATCH(D416,Unidades,0)),"")&lt;&gt;INDEX(InsBase,MATCH(B416,ListaInsumos,0)),"Unidad incompatible",IF(F416="","Insumo sin compras","OK")))))</f>
        <v/>
      </c>
      <c r="I416" s="15"/>
    </row>
    <row r="417" customFormat="false" ht="15" hidden="false" customHeight="false" outlineLevel="0" collapsed="false">
      <c r="A417" s="15"/>
      <c r="B417" s="15"/>
      <c r="C417" s="27"/>
      <c r="D417" s="15"/>
      <c r="E417" s="25" t="str">
        <f aca="true">IF(OR(C417="",D417=""),"",IFERROR(C417*INDEX(UnidadesFactor,MATCH(D417,Unidades,0)),""))</f>
        <v/>
      </c>
      <c r="F417" s="18" t="str">
        <f aca="true">IF(B417="","",IFERROR(INDEX(InsCosto,MATCH(B417,ListaInsumos,0)),""))</f>
        <v/>
      </c>
      <c r="G417" s="19" t="str">
        <f aca="false">IF(AND(A417="",B417=""),"",IF(H417="OK",E417*F417,0))</f>
        <v/>
      </c>
      <c r="H417" s="20" t="str">
        <f aca="true">IF(AND(A417="",B417=""),"",IF(ISNA(MATCH(B417,ListaInsumos,0)),"Insumo no está en Insumos",IF(C417="","Falta cantidad",IF(IFERROR(INDEX(UnidadesBase,MATCH(D417,Unidades,0)),"")&lt;&gt;INDEX(InsBase,MATCH(B417,ListaInsumos,0)),"Unidad incompatible",IF(F417="","Insumo sin compras","OK")))))</f>
        <v/>
      </c>
      <c r="I417" s="15"/>
    </row>
    <row r="418" customFormat="false" ht="15" hidden="false" customHeight="false" outlineLevel="0" collapsed="false">
      <c r="A418" s="15"/>
      <c r="B418" s="15"/>
      <c r="C418" s="27"/>
      <c r="D418" s="15"/>
      <c r="E418" s="25" t="str">
        <f aca="true">IF(OR(C418="",D418=""),"",IFERROR(C418*INDEX(UnidadesFactor,MATCH(D418,Unidades,0)),""))</f>
        <v/>
      </c>
      <c r="F418" s="18" t="str">
        <f aca="true">IF(B418="","",IFERROR(INDEX(InsCosto,MATCH(B418,ListaInsumos,0)),""))</f>
        <v/>
      </c>
      <c r="G418" s="19" t="str">
        <f aca="false">IF(AND(A418="",B418=""),"",IF(H418="OK",E418*F418,0))</f>
        <v/>
      </c>
      <c r="H418" s="20" t="str">
        <f aca="true">IF(AND(A418="",B418=""),"",IF(ISNA(MATCH(B418,ListaInsumos,0)),"Insumo no está en Insumos",IF(C418="","Falta cantidad",IF(IFERROR(INDEX(UnidadesBase,MATCH(D418,Unidades,0)),"")&lt;&gt;INDEX(InsBase,MATCH(B418,ListaInsumos,0)),"Unidad incompatible",IF(F418="","Insumo sin compras","OK")))))</f>
        <v/>
      </c>
      <c r="I418" s="15"/>
    </row>
    <row r="419" customFormat="false" ht="15" hidden="false" customHeight="false" outlineLevel="0" collapsed="false">
      <c r="A419" s="15"/>
      <c r="B419" s="15"/>
      <c r="C419" s="27"/>
      <c r="D419" s="15"/>
      <c r="E419" s="25" t="str">
        <f aca="true">IF(OR(C419="",D419=""),"",IFERROR(C419*INDEX(UnidadesFactor,MATCH(D419,Unidades,0)),""))</f>
        <v/>
      </c>
      <c r="F419" s="18" t="str">
        <f aca="true">IF(B419="","",IFERROR(INDEX(InsCosto,MATCH(B419,ListaInsumos,0)),""))</f>
        <v/>
      </c>
      <c r="G419" s="19" t="str">
        <f aca="false">IF(AND(A419="",B419=""),"",IF(H419="OK",E419*F419,0))</f>
        <v/>
      </c>
      <c r="H419" s="20" t="str">
        <f aca="true">IF(AND(A419="",B419=""),"",IF(ISNA(MATCH(B419,ListaInsumos,0)),"Insumo no está en Insumos",IF(C419="","Falta cantidad",IF(IFERROR(INDEX(UnidadesBase,MATCH(D419,Unidades,0)),"")&lt;&gt;INDEX(InsBase,MATCH(B419,ListaInsumos,0)),"Unidad incompatible",IF(F419="","Insumo sin compras","OK")))))</f>
        <v/>
      </c>
      <c r="I419" s="15"/>
    </row>
    <row r="420" customFormat="false" ht="15" hidden="false" customHeight="false" outlineLevel="0" collapsed="false">
      <c r="A420" s="15"/>
      <c r="B420" s="15"/>
      <c r="C420" s="27"/>
      <c r="D420" s="15"/>
      <c r="E420" s="25" t="str">
        <f aca="true">IF(OR(C420="",D420=""),"",IFERROR(C420*INDEX(UnidadesFactor,MATCH(D420,Unidades,0)),""))</f>
        <v/>
      </c>
      <c r="F420" s="18" t="str">
        <f aca="true">IF(B420="","",IFERROR(INDEX(InsCosto,MATCH(B420,ListaInsumos,0)),""))</f>
        <v/>
      </c>
      <c r="G420" s="19" t="str">
        <f aca="false">IF(AND(A420="",B420=""),"",IF(H420="OK",E420*F420,0))</f>
        <v/>
      </c>
      <c r="H420" s="20" t="str">
        <f aca="true">IF(AND(A420="",B420=""),"",IF(ISNA(MATCH(B420,ListaInsumos,0)),"Insumo no está en Insumos",IF(C420="","Falta cantidad",IF(IFERROR(INDEX(UnidadesBase,MATCH(D420,Unidades,0)),"")&lt;&gt;INDEX(InsBase,MATCH(B420,ListaInsumos,0)),"Unidad incompatible",IF(F420="","Insumo sin compras","OK")))))</f>
        <v/>
      </c>
      <c r="I420" s="15"/>
    </row>
    <row r="421" customFormat="false" ht="15" hidden="false" customHeight="false" outlineLevel="0" collapsed="false">
      <c r="A421" s="15"/>
      <c r="B421" s="15"/>
      <c r="C421" s="27"/>
      <c r="D421" s="15"/>
      <c r="E421" s="25" t="str">
        <f aca="true">IF(OR(C421="",D421=""),"",IFERROR(C421*INDEX(UnidadesFactor,MATCH(D421,Unidades,0)),""))</f>
        <v/>
      </c>
      <c r="F421" s="18" t="str">
        <f aca="true">IF(B421="","",IFERROR(INDEX(InsCosto,MATCH(B421,ListaInsumos,0)),""))</f>
        <v/>
      </c>
      <c r="G421" s="19" t="str">
        <f aca="false">IF(AND(A421="",B421=""),"",IF(H421="OK",E421*F421,0))</f>
        <v/>
      </c>
      <c r="H421" s="20" t="str">
        <f aca="true">IF(AND(A421="",B421=""),"",IF(ISNA(MATCH(B421,ListaInsumos,0)),"Insumo no está en Insumos",IF(C421="","Falta cantidad",IF(IFERROR(INDEX(UnidadesBase,MATCH(D421,Unidades,0)),"")&lt;&gt;INDEX(InsBase,MATCH(B421,ListaInsumos,0)),"Unidad incompatible",IF(F421="","Insumo sin compras","OK")))))</f>
        <v/>
      </c>
      <c r="I421" s="15"/>
    </row>
    <row r="422" customFormat="false" ht="15" hidden="false" customHeight="false" outlineLevel="0" collapsed="false">
      <c r="A422" s="15"/>
      <c r="B422" s="15"/>
      <c r="C422" s="27"/>
      <c r="D422" s="15"/>
      <c r="E422" s="25" t="str">
        <f aca="true">IF(OR(C422="",D422=""),"",IFERROR(C422*INDEX(UnidadesFactor,MATCH(D422,Unidades,0)),""))</f>
        <v/>
      </c>
      <c r="F422" s="18" t="str">
        <f aca="true">IF(B422="","",IFERROR(INDEX(InsCosto,MATCH(B422,ListaInsumos,0)),""))</f>
        <v/>
      </c>
      <c r="G422" s="19" t="str">
        <f aca="false">IF(AND(A422="",B422=""),"",IF(H422="OK",E422*F422,0))</f>
        <v/>
      </c>
      <c r="H422" s="20" t="str">
        <f aca="true">IF(AND(A422="",B422=""),"",IF(ISNA(MATCH(B422,ListaInsumos,0)),"Insumo no está en Insumos",IF(C422="","Falta cantidad",IF(IFERROR(INDEX(UnidadesBase,MATCH(D422,Unidades,0)),"")&lt;&gt;INDEX(InsBase,MATCH(B422,ListaInsumos,0)),"Unidad incompatible",IF(F422="","Insumo sin compras","OK")))))</f>
        <v/>
      </c>
      <c r="I422" s="15"/>
    </row>
    <row r="423" customFormat="false" ht="15" hidden="false" customHeight="false" outlineLevel="0" collapsed="false">
      <c r="A423" s="15"/>
      <c r="B423" s="15"/>
      <c r="C423" s="27"/>
      <c r="D423" s="15"/>
      <c r="E423" s="25" t="str">
        <f aca="true">IF(OR(C423="",D423=""),"",IFERROR(C423*INDEX(UnidadesFactor,MATCH(D423,Unidades,0)),""))</f>
        <v/>
      </c>
      <c r="F423" s="18" t="str">
        <f aca="true">IF(B423="","",IFERROR(INDEX(InsCosto,MATCH(B423,ListaInsumos,0)),""))</f>
        <v/>
      </c>
      <c r="G423" s="19" t="str">
        <f aca="false">IF(AND(A423="",B423=""),"",IF(H423="OK",E423*F423,0))</f>
        <v/>
      </c>
      <c r="H423" s="20" t="str">
        <f aca="true">IF(AND(A423="",B423=""),"",IF(ISNA(MATCH(B423,ListaInsumos,0)),"Insumo no está en Insumos",IF(C423="","Falta cantidad",IF(IFERROR(INDEX(UnidadesBase,MATCH(D423,Unidades,0)),"")&lt;&gt;INDEX(InsBase,MATCH(B423,ListaInsumos,0)),"Unidad incompatible",IF(F423="","Insumo sin compras","OK")))))</f>
        <v/>
      </c>
      <c r="I423" s="15"/>
    </row>
    <row r="424" customFormat="false" ht="15" hidden="false" customHeight="false" outlineLevel="0" collapsed="false">
      <c r="A424" s="15"/>
      <c r="B424" s="15"/>
      <c r="C424" s="27"/>
      <c r="D424" s="15"/>
      <c r="E424" s="25" t="str">
        <f aca="true">IF(OR(C424="",D424=""),"",IFERROR(C424*INDEX(UnidadesFactor,MATCH(D424,Unidades,0)),""))</f>
        <v/>
      </c>
      <c r="F424" s="18" t="str">
        <f aca="true">IF(B424="","",IFERROR(INDEX(InsCosto,MATCH(B424,ListaInsumos,0)),""))</f>
        <v/>
      </c>
      <c r="G424" s="19" t="str">
        <f aca="false">IF(AND(A424="",B424=""),"",IF(H424="OK",E424*F424,0))</f>
        <v/>
      </c>
      <c r="H424" s="20" t="str">
        <f aca="true">IF(AND(A424="",B424=""),"",IF(ISNA(MATCH(B424,ListaInsumos,0)),"Insumo no está en Insumos",IF(C424="","Falta cantidad",IF(IFERROR(INDEX(UnidadesBase,MATCH(D424,Unidades,0)),"")&lt;&gt;INDEX(InsBase,MATCH(B424,ListaInsumos,0)),"Unidad incompatible",IF(F424="","Insumo sin compras","OK")))))</f>
        <v/>
      </c>
      <c r="I424" s="15"/>
    </row>
    <row r="425" customFormat="false" ht="15" hidden="false" customHeight="false" outlineLevel="0" collapsed="false">
      <c r="A425" s="15"/>
      <c r="B425" s="15"/>
      <c r="C425" s="27"/>
      <c r="D425" s="15"/>
      <c r="E425" s="25" t="str">
        <f aca="true">IF(OR(C425="",D425=""),"",IFERROR(C425*INDEX(UnidadesFactor,MATCH(D425,Unidades,0)),""))</f>
        <v/>
      </c>
      <c r="F425" s="18" t="str">
        <f aca="true">IF(B425="","",IFERROR(INDEX(InsCosto,MATCH(B425,ListaInsumos,0)),""))</f>
        <v/>
      </c>
      <c r="G425" s="19" t="str">
        <f aca="false">IF(AND(A425="",B425=""),"",IF(H425="OK",E425*F425,0))</f>
        <v/>
      </c>
      <c r="H425" s="20" t="str">
        <f aca="true">IF(AND(A425="",B425=""),"",IF(ISNA(MATCH(B425,ListaInsumos,0)),"Insumo no está en Insumos",IF(C425="","Falta cantidad",IF(IFERROR(INDEX(UnidadesBase,MATCH(D425,Unidades,0)),"")&lt;&gt;INDEX(InsBase,MATCH(B425,ListaInsumos,0)),"Unidad incompatible",IF(F425="","Insumo sin compras","OK")))))</f>
        <v/>
      </c>
      <c r="I425" s="15"/>
    </row>
    <row r="426" customFormat="false" ht="15" hidden="false" customHeight="false" outlineLevel="0" collapsed="false">
      <c r="A426" s="15"/>
      <c r="B426" s="15"/>
      <c r="C426" s="27"/>
      <c r="D426" s="15"/>
      <c r="E426" s="25" t="str">
        <f aca="true">IF(OR(C426="",D426=""),"",IFERROR(C426*INDEX(UnidadesFactor,MATCH(D426,Unidades,0)),""))</f>
        <v/>
      </c>
      <c r="F426" s="18" t="str">
        <f aca="true">IF(B426="","",IFERROR(INDEX(InsCosto,MATCH(B426,ListaInsumos,0)),""))</f>
        <v/>
      </c>
      <c r="G426" s="19" t="str">
        <f aca="false">IF(AND(A426="",B426=""),"",IF(H426="OK",E426*F426,0))</f>
        <v/>
      </c>
      <c r="H426" s="20" t="str">
        <f aca="true">IF(AND(A426="",B426=""),"",IF(ISNA(MATCH(B426,ListaInsumos,0)),"Insumo no está en Insumos",IF(C426="","Falta cantidad",IF(IFERROR(INDEX(UnidadesBase,MATCH(D426,Unidades,0)),"")&lt;&gt;INDEX(InsBase,MATCH(B426,ListaInsumos,0)),"Unidad incompatible",IF(F426="","Insumo sin compras","OK")))))</f>
        <v/>
      </c>
      <c r="I426" s="15"/>
    </row>
    <row r="427" customFormat="false" ht="15" hidden="false" customHeight="false" outlineLevel="0" collapsed="false">
      <c r="A427" s="15"/>
      <c r="B427" s="15"/>
      <c r="C427" s="27"/>
      <c r="D427" s="15"/>
      <c r="E427" s="25" t="str">
        <f aca="true">IF(OR(C427="",D427=""),"",IFERROR(C427*INDEX(UnidadesFactor,MATCH(D427,Unidades,0)),""))</f>
        <v/>
      </c>
      <c r="F427" s="18" t="str">
        <f aca="true">IF(B427="","",IFERROR(INDEX(InsCosto,MATCH(B427,ListaInsumos,0)),""))</f>
        <v/>
      </c>
      <c r="G427" s="19" t="str">
        <f aca="false">IF(AND(A427="",B427=""),"",IF(H427="OK",E427*F427,0))</f>
        <v/>
      </c>
      <c r="H427" s="20" t="str">
        <f aca="true">IF(AND(A427="",B427=""),"",IF(ISNA(MATCH(B427,ListaInsumos,0)),"Insumo no está en Insumos",IF(C427="","Falta cantidad",IF(IFERROR(INDEX(UnidadesBase,MATCH(D427,Unidades,0)),"")&lt;&gt;INDEX(InsBase,MATCH(B427,ListaInsumos,0)),"Unidad incompatible",IF(F427="","Insumo sin compras","OK")))))</f>
        <v/>
      </c>
      <c r="I427" s="15"/>
    </row>
    <row r="428" customFormat="false" ht="15" hidden="false" customHeight="false" outlineLevel="0" collapsed="false">
      <c r="A428" s="15"/>
      <c r="B428" s="15"/>
      <c r="C428" s="27"/>
      <c r="D428" s="15"/>
      <c r="E428" s="25" t="str">
        <f aca="true">IF(OR(C428="",D428=""),"",IFERROR(C428*INDEX(UnidadesFactor,MATCH(D428,Unidades,0)),""))</f>
        <v/>
      </c>
      <c r="F428" s="18" t="str">
        <f aca="true">IF(B428="","",IFERROR(INDEX(InsCosto,MATCH(B428,ListaInsumos,0)),""))</f>
        <v/>
      </c>
      <c r="G428" s="19" t="str">
        <f aca="false">IF(AND(A428="",B428=""),"",IF(H428="OK",E428*F428,0))</f>
        <v/>
      </c>
      <c r="H428" s="20" t="str">
        <f aca="true">IF(AND(A428="",B428=""),"",IF(ISNA(MATCH(B428,ListaInsumos,0)),"Insumo no está en Insumos",IF(C428="","Falta cantidad",IF(IFERROR(INDEX(UnidadesBase,MATCH(D428,Unidades,0)),"")&lt;&gt;INDEX(InsBase,MATCH(B428,ListaInsumos,0)),"Unidad incompatible",IF(F428="","Insumo sin compras","OK")))))</f>
        <v/>
      </c>
      <c r="I428" s="15"/>
    </row>
    <row r="429" customFormat="false" ht="15" hidden="false" customHeight="false" outlineLevel="0" collapsed="false">
      <c r="A429" s="15"/>
      <c r="B429" s="15"/>
      <c r="C429" s="27"/>
      <c r="D429" s="15"/>
      <c r="E429" s="25" t="str">
        <f aca="true">IF(OR(C429="",D429=""),"",IFERROR(C429*INDEX(UnidadesFactor,MATCH(D429,Unidades,0)),""))</f>
        <v/>
      </c>
      <c r="F429" s="18" t="str">
        <f aca="true">IF(B429="","",IFERROR(INDEX(InsCosto,MATCH(B429,ListaInsumos,0)),""))</f>
        <v/>
      </c>
      <c r="G429" s="19" t="str">
        <f aca="false">IF(AND(A429="",B429=""),"",IF(H429="OK",E429*F429,0))</f>
        <v/>
      </c>
      <c r="H429" s="20" t="str">
        <f aca="true">IF(AND(A429="",B429=""),"",IF(ISNA(MATCH(B429,ListaInsumos,0)),"Insumo no está en Insumos",IF(C429="","Falta cantidad",IF(IFERROR(INDEX(UnidadesBase,MATCH(D429,Unidades,0)),"")&lt;&gt;INDEX(InsBase,MATCH(B429,ListaInsumos,0)),"Unidad incompatible",IF(F429="","Insumo sin compras","OK")))))</f>
        <v/>
      </c>
      <c r="I429" s="15"/>
    </row>
    <row r="430" customFormat="false" ht="15" hidden="false" customHeight="false" outlineLevel="0" collapsed="false">
      <c r="A430" s="15"/>
      <c r="B430" s="15"/>
      <c r="C430" s="27"/>
      <c r="D430" s="15"/>
      <c r="E430" s="25" t="str">
        <f aca="true">IF(OR(C430="",D430=""),"",IFERROR(C430*INDEX(UnidadesFactor,MATCH(D430,Unidades,0)),""))</f>
        <v/>
      </c>
      <c r="F430" s="18" t="str">
        <f aca="true">IF(B430="","",IFERROR(INDEX(InsCosto,MATCH(B430,ListaInsumos,0)),""))</f>
        <v/>
      </c>
      <c r="G430" s="19" t="str">
        <f aca="false">IF(AND(A430="",B430=""),"",IF(H430="OK",E430*F430,0))</f>
        <v/>
      </c>
      <c r="H430" s="20" t="str">
        <f aca="true">IF(AND(A430="",B430=""),"",IF(ISNA(MATCH(B430,ListaInsumos,0)),"Insumo no está en Insumos",IF(C430="","Falta cantidad",IF(IFERROR(INDEX(UnidadesBase,MATCH(D430,Unidades,0)),"")&lt;&gt;INDEX(InsBase,MATCH(B430,ListaInsumos,0)),"Unidad incompatible",IF(F430="","Insumo sin compras","OK")))))</f>
        <v/>
      </c>
      <c r="I430" s="15"/>
    </row>
    <row r="431" customFormat="false" ht="15" hidden="false" customHeight="false" outlineLevel="0" collapsed="false">
      <c r="A431" s="15"/>
      <c r="B431" s="15"/>
      <c r="C431" s="27"/>
      <c r="D431" s="15"/>
      <c r="E431" s="25" t="str">
        <f aca="true">IF(OR(C431="",D431=""),"",IFERROR(C431*INDEX(UnidadesFactor,MATCH(D431,Unidades,0)),""))</f>
        <v/>
      </c>
      <c r="F431" s="18" t="str">
        <f aca="true">IF(B431="","",IFERROR(INDEX(InsCosto,MATCH(B431,ListaInsumos,0)),""))</f>
        <v/>
      </c>
      <c r="G431" s="19" t="str">
        <f aca="false">IF(AND(A431="",B431=""),"",IF(H431="OK",E431*F431,0))</f>
        <v/>
      </c>
      <c r="H431" s="20" t="str">
        <f aca="true">IF(AND(A431="",B431=""),"",IF(ISNA(MATCH(B431,ListaInsumos,0)),"Insumo no está en Insumos",IF(C431="","Falta cantidad",IF(IFERROR(INDEX(UnidadesBase,MATCH(D431,Unidades,0)),"")&lt;&gt;INDEX(InsBase,MATCH(B431,ListaInsumos,0)),"Unidad incompatible",IF(F431="","Insumo sin compras","OK")))))</f>
        <v/>
      </c>
      <c r="I431" s="15"/>
    </row>
    <row r="432" customFormat="false" ht="15" hidden="false" customHeight="false" outlineLevel="0" collapsed="false">
      <c r="A432" s="15"/>
      <c r="B432" s="15"/>
      <c r="C432" s="27"/>
      <c r="D432" s="15"/>
      <c r="E432" s="25" t="str">
        <f aca="true">IF(OR(C432="",D432=""),"",IFERROR(C432*INDEX(UnidadesFactor,MATCH(D432,Unidades,0)),""))</f>
        <v/>
      </c>
      <c r="F432" s="18" t="str">
        <f aca="true">IF(B432="","",IFERROR(INDEX(InsCosto,MATCH(B432,ListaInsumos,0)),""))</f>
        <v/>
      </c>
      <c r="G432" s="19" t="str">
        <f aca="false">IF(AND(A432="",B432=""),"",IF(H432="OK",E432*F432,0))</f>
        <v/>
      </c>
      <c r="H432" s="20" t="str">
        <f aca="true">IF(AND(A432="",B432=""),"",IF(ISNA(MATCH(B432,ListaInsumos,0)),"Insumo no está en Insumos",IF(C432="","Falta cantidad",IF(IFERROR(INDEX(UnidadesBase,MATCH(D432,Unidades,0)),"")&lt;&gt;INDEX(InsBase,MATCH(B432,ListaInsumos,0)),"Unidad incompatible",IF(F432="","Insumo sin compras","OK")))))</f>
        <v/>
      </c>
      <c r="I432" s="15"/>
    </row>
    <row r="433" customFormat="false" ht="15" hidden="false" customHeight="false" outlineLevel="0" collapsed="false">
      <c r="A433" s="15"/>
      <c r="B433" s="15"/>
      <c r="C433" s="27"/>
      <c r="D433" s="15"/>
      <c r="E433" s="25" t="str">
        <f aca="true">IF(OR(C433="",D433=""),"",IFERROR(C433*INDEX(UnidadesFactor,MATCH(D433,Unidades,0)),""))</f>
        <v/>
      </c>
      <c r="F433" s="18" t="str">
        <f aca="true">IF(B433="","",IFERROR(INDEX(InsCosto,MATCH(B433,ListaInsumos,0)),""))</f>
        <v/>
      </c>
      <c r="G433" s="19" t="str">
        <f aca="false">IF(AND(A433="",B433=""),"",IF(H433="OK",E433*F433,0))</f>
        <v/>
      </c>
      <c r="H433" s="20" t="str">
        <f aca="true">IF(AND(A433="",B433=""),"",IF(ISNA(MATCH(B433,ListaInsumos,0)),"Insumo no está en Insumos",IF(C433="","Falta cantidad",IF(IFERROR(INDEX(UnidadesBase,MATCH(D433,Unidades,0)),"")&lt;&gt;INDEX(InsBase,MATCH(B433,ListaInsumos,0)),"Unidad incompatible",IF(F433="","Insumo sin compras","OK")))))</f>
        <v/>
      </c>
      <c r="I433" s="15"/>
    </row>
    <row r="434" customFormat="false" ht="15" hidden="false" customHeight="false" outlineLevel="0" collapsed="false">
      <c r="A434" s="15"/>
      <c r="B434" s="15"/>
      <c r="C434" s="27"/>
      <c r="D434" s="15"/>
      <c r="E434" s="25" t="str">
        <f aca="true">IF(OR(C434="",D434=""),"",IFERROR(C434*INDEX(UnidadesFactor,MATCH(D434,Unidades,0)),""))</f>
        <v/>
      </c>
      <c r="F434" s="18" t="str">
        <f aca="true">IF(B434="","",IFERROR(INDEX(InsCosto,MATCH(B434,ListaInsumos,0)),""))</f>
        <v/>
      </c>
      <c r="G434" s="19" t="str">
        <f aca="false">IF(AND(A434="",B434=""),"",IF(H434="OK",E434*F434,0))</f>
        <v/>
      </c>
      <c r="H434" s="20" t="str">
        <f aca="true">IF(AND(A434="",B434=""),"",IF(ISNA(MATCH(B434,ListaInsumos,0)),"Insumo no está en Insumos",IF(C434="","Falta cantidad",IF(IFERROR(INDEX(UnidadesBase,MATCH(D434,Unidades,0)),"")&lt;&gt;INDEX(InsBase,MATCH(B434,ListaInsumos,0)),"Unidad incompatible",IF(F434="","Insumo sin compras","OK")))))</f>
        <v/>
      </c>
      <c r="I434" s="15"/>
    </row>
    <row r="435" customFormat="false" ht="15" hidden="false" customHeight="false" outlineLevel="0" collapsed="false">
      <c r="A435" s="15"/>
      <c r="B435" s="15"/>
      <c r="C435" s="27"/>
      <c r="D435" s="15"/>
      <c r="E435" s="25" t="str">
        <f aca="true">IF(OR(C435="",D435=""),"",IFERROR(C435*INDEX(UnidadesFactor,MATCH(D435,Unidades,0)),""))</f>
        <v/>
      </c>
      <c r="F435" s="18" t="str">
        <f aca="true">IF(B435="","",IFERROR(INDEX(InsCosto,MATCH(B435,ListaInsumos,0)),""))</f>
        <v/>
      </c>
      <c r="G435" s="19" t="str">
        <f aca="false">IF(AND(A435="",B435=""),"",IF(H435="OK",E435*F435,0))</f>
        <v/>
      </c>
      <c r="H435" s="20" t="str">
        <f aca="true">IF(AND(A435="",B435=""),"",IF(ISNA(MATCH(B435,ListaInsumos,0)),"Insumo no está en Insumos",IF(C435="","Falta cantidad",IF(IFERROR(INDEX(UnidadesBase,MATCH(D435,Unidades,0)),"")&lt;&gt;INDEX(InsBase,MATCH(B435,ListaInsumos,0)),"Unidad incompatible",IF(F435="","Insumo sin compras","OK")))))</f>
        <v/>
      </c>
      <c r="I435" s="15"/>
    </row>
    <row r="436" customFormat="false" ht="15" hidden="false" customHeight="false" outlineLevel="0" collapsed="false">
      <c r="A436" s="15"/>
      <c r="B436" s="15"/>
      <c r="C436" s="27"/>
      <c r="D436" s="15"/>
      <c r="E436" s="25" t="str">
        <f aca="true">IF(OR(C436="",D436=""),"",IFERROR(C436*INDEX(UnidadesFactor,MATCH(D436,Unidades,0)),""))</f>
        <v/>
      </c>
      <c r="F436" s="18" t="str">
        <f aca="true">IF(B436="","",IFERROR(INDEX(InsCosto,MATCH(B436,ListaInsumos,0)),""))</f>
        <v/>
      </c>
      <c r="G436" s="19" t="str">
        <f aca="false">IF(AND(A436="",B436=""),"",IF(H436="OK",E436*F436,0))</f>
        <v/>
      </c>
      <c r="H436" s="20" t="str">
        <f aca="true">IF(AND(A436="",B436=""),"",IF(ISNA(MATCH(B436,ListaInsumos,0)),"Insumo no está en Insumos",IF(C436="","Falta cantidad",IF(IFERROR(INDEX(UnidadesBase,MATCH(D436,Unidades,0)),"")&lt;&gt;INDEX(InsBase,MATCH(B436,ListaInsumos,0)),"Unidad incompatible",IF(F436="","Insumo sin compras","OK")))))</f>
        <v/>
      </c>
      <c r="I436" s="15"/>
    </row>
    <row r="437" customFormat="false" ht="15" hidden="false" customHeight="false" outlineLevel="0" collapsed="false">
      <c r="A437" s="15"/>
      <c r="B437" s="15"/>
      <c r="C437" s="27"/>
      <c r="D437" s="15"/>
      <c r="E437" s="25" t="str">
        <f aca="true">IF(OR(C437="",D437=""),"",IFERROR(C437*INDEX(UnidadesFactor,MATCH(D437,Unidades,0)),""))</f>
        <v/>
      </c>
      <c r="F437" s="18" t="str">
        <f aca="true">IF(B437="","",IFERROR(INDEX(InsCosto,MATCH(B437,ListaInsumos,0)),""))</f>
        <v/>
      </c>
      <c r="G437" s="19" t="str">
        <f aca="false">IF(AND(A437="",B437=""),"",IF(H437="OK",E437*F437,0))</f>
        <v/>
      </c>
      <c r="H437" s="20" t="str">
        <f aca="true">IF(AND(A437="",B437=""),"",IF(ISNA(MATCH(B437,ListaInsumos,0)),"Insumo no está en Insumos",IF(C437="","Falta cantidad",IF(IFERROR(INDEX(UnidadesBase,MATCH(D437,Unidades,0)),"")&lt;&gt;INDEX(InsBase,MATCH(B437,ListaInsumos,0)),"Unidad incompatible",IF(F437="","Insumo sin compras","OK")))))</f>
        <v/>
      </c>
      <c r="I437" s="15"/>
    </row>
    <row r="438" customFormat="false" ht="15" hidden="false" customHeight="false" outlineLevel="0" collapsed="false">
      <c r="A438" s="15"/>
      <c r="B438" s="15"/>
      <c r="C438" s="27"/>
      <c r="D438" s="15"/>
      <c r="E438" s="25" t="str">
        <f aca="true">IF(OR(C438="",D438=""),"",IFERROR(C438*INDEX(UnidadesFactor,MATCH(D438,Unidades,0)),""))</f>
        <v/>
      </c>
      <c r="F438" s="18" t="str">
        <f aca="true">IF(B438="","",IFERROR(INDEX(InsCosto,MATCH(B438,ListaInsumos,0)),""))</f>
        <v/>
      </c>
      <c r="G438" s="19" t="str">
        <f aca="false">IF(AND(A438="",B438=""),"",IF(H438="OK",E438*F438,0))</f>
        <v/>
      </c>
      <c r="H438" s="20" t="str">
        <f aca="true">IF(AND(A438="",B438=""),"",IF(ISNA(MATCH(B438,ListaInsumos,0)),"Insumo no está en Insumos",IF(C438="","Falta cantidad",IF(IFERROR(INDEX(UnidadesBase,MATCH(D438,Unidades,0)),"")&lt;&gt;INDEX(InsBase,MATCH(B438,ListaInsumos,0)),"Unidad incompatible",IF(F438="","Insumo sin compras","OK")))))</f>
        <v/>
      </c>
      <c r="I438" s="15"/>
    </row>
    <row r="439" customFormat="false" ht="15" hidden="false" customHeight="false" outlineLevel="0" collapsed="false">
      <c r="A439" s="15"/>
      <c r="B439" s="15"/>
      <c r="C439" s="27"/>
      <c r="D439" s="15"/>
      <c r="E439" s="25" t="str">
        <f aca="true">IF(OR(C439="",D439=""),"",IFERROR(C439*INDEX(UnidadesFactor,MATCH(D439,Unidades,0)),""))</f>
        <v/>
      </c>
      <c r="F439" s="18" t="str">
        <f aca="true">IF(B439="","",IFERROR(INDEX(InsCosto,MATCH(B439,ListaInsumos,0)),""))</f>
        <v/>
      </c>
      <c r="G439" s="19" t="str">
        <f aca="false">IF(AND(A439="",B439=""),"",IF(H439="OK",E439*F439,0))</f>
        <v/>
      </c>
      <c r="H439" s="20" t="str">
        <f aca="true">IF(AND(A439="",B439=""),"",IF(ISNA(MATCH(B439,ListaInsumos,0)),"Insumo no está en Insumos",IF(C439="","Falta cantidad",IF(IFERROR(INDEX(UnidadesBase,MATCH(D439,Unidades,0)),"")&lt;&gt;INDEX(InsBase,MATCH(B439,ListaInsumos,0)),"Unidad incompatible",IF(F439="","Insumo sin compras","OK")))))</f>
        <v/>
      </c>
      <c r="I439" s="15"/>
    </row>
    <row r="440" customFormat="false" ht="15" hidden="false" customHeight="false" outlineLevel="0" collapsed="false">
      <c r="A440" s="15"/>
      <c r="B440" s="15"/>
      <c r="C440" s="27"/>
      <c r="D440" s="15"/>
      <c r="E440" s="25" t="str">
        <f aca="true">IF(OR(C440="",D440=""),"",IFERROR(C440*INDEX(UnidadesFactor,MATCH(D440,Unidades,0)),""))</f>
        <v/>
      </c>
      <c r="F440" s="18" t="str">
        <f aca="true">IF(B440="","",IFERROR(INDEX(InsCosto,MATCH(B440,ListaInsumos,0)),""))</f>
        <v/>
      </c>
      <c r="G440" s="19" t="str">
        <f aca="false">IF(AND(A440="",B440=""),"",IF(H440="OK",E440*F440,0))</f>
        <v/>
      </c>
      <c r="H440" s="20" t="str">
        <f aca="true">IF(AND(A440="",B440=""),"",IF(ISNA(MATCH(B440,ListaInsumos,0)),"Insumo no está en Insumos",IF(C440="","Falta cantidad",IF(IFERROR(INDEX(UnidadesBase,MATCH(D440,Unidades,0)),"")&lt;&gt;INDEX(InsBase,MATCH(B440,ListaInsumos,0)),"Unidad incompatible",IF(F440="","Insumo sin compras","OK")))))</f>
        <v/>
      </c>
      <c r="I440" s="15"/>
    </row>
    <row r="441" customFormat="false" ht="15" hidden="false" customHeight="false" outlineLevel="0" collapsed="false">
      <c r="A441" s="15"/>
      <c r="B441" s="15"/>
      <c r="C441" s="27"/>
      <c r="D441" s="15"/>
      <c r="E441" s="25" t="str">
        <f aca="true">IF(OR(C441="",D441=""),"",IFERROR(C441*INDEX(UnidadesFactor,MATCH(D441,Unidades,0)),""))</f>
        <v/>
      </c>
      <c r="F441" s="18" t="str">
        <f aca="true">IF(B441="","",IFERROR(INDEX(InsCosto,MATCH(B441,ListaInsumos,0)),""))</f>
        <v/>
      </c>
      <c r="G441" s="19" t="str">
        <f aca="false">IF(AND(A441="",B441=""),"",IF(H441="OK",E441*F441,0))</f>
        <v/>
      </c>
      <c r="H441" s="20" t="str">
        <f aca="true">IF(AND(A441="",B441=""),"",IF(ISNA(MATCH(B441,ListaInsumos,0)),"Insumo no está en Insumos",IF(C441="","Falta cantidad",IF(IFERROR(INDEX(UnidadesBase,MATCH(D441,Unidades,0)),"")&lt;&gt;INDEX(InsBase,MATCH(B441,ListaInsumos,0)),"Unidad incompatible",IF(F441="","Insumo sin compras","OK")))))</f>
        <v/>
      </c>
      <c r="I441" s="15"/>
    </row>
    <row r="442" customFormat="false" ht="15" hidden="false" customHeight="false" outlineLevel="0" collapsed="false">
      <c r="A442" s="15"/>
      <c r="B442" s="15"/>
      <c r="C442" s="27"/>
      <c r="D442" s="15"/>
      <c r="E442" s="25" t="str">
        <f aca="true">IF(OR(C442="",D442=""),"",IFERROR(C442*INDEX(UnidadesFactor,MATCH(D442,Unidades,0)),""))</f>
        <v/>
      </c>
      <c r="F442" s="18" t="str">
        <f aca="true">IF(B442="","",IFERROR(INDEX(InsCosto,MATCH(B442,ListaInsumos,0)),""))</f>
        <v/>
      </c>
      <c r="G442" s="19" t="str">
        <f aca="false">IF(AND(A442="",B442=""),"",IF(H442="OK",E442*F442,0))</f>
        <v/>
      </c>
      <c r="H442" s="20" t="str">
        <f aca="true">IF(AND(A442="",B442=""),"",IF(ISNA(MATCH(B442,ListaInsumos,0)),"Insumo no está en Insumos",IF(C442="","Falta cantidad",IF(IFERROR(INDEX(UnidadesBase,MATCH(D442,Unidades,0)),"")&lt;&gt;INDEX(InsBase,MATCH(B442,ListaInsumos,0)),"Unidad incompatible",IF(F442="","Insumo sin compras","OK")))))</f>
        <v/>
      </c>
      <c r="I442" s="15"/>
    </row>
    <row r="443" customFormat="false" ht="15" hidden="false" customHeight="false" outlineLevel="0" collapsed="false">
      <c r="A443" s="15"/>
      <c r="B443" s="15"/>
      <c r="C443" s="27"/>
      <c r="D443" s="15"/>
      <c r="E443" s="25" t="str">
        <f aca="true">IF(OR(C443="",D443=""),"",IFERROR(C443*INDEX(UnidadesFactor,MATCH(D443,Unidades,0)),""))</f>
        <v/>
      </c>
      <c r="F443" s="18" t="str">
        <f aca="true">IF(B443="","",IFERROR(INDEX(InsCosto,MATCH(B443,ListaInsumos,0)),""))</f>
        <v/>
      </c>
      <c r="G443" s="19" t="str">
        <f aca="false">IF(AND(A443="",B443=""),"",IF(H443="OK",E443*F443,0))</f>
        <v/>
      </c>
      <c r="H443" s="20" t="str">
        <f aca="true">IF(AND(A443="",B443=""),"",IF(ISNA(MATCH(B443,ListaInsumos,0)),"Insumo no está en Insumos",IF(C443="","Falta cantidad",IF(IFERROR(INDEX(UnidadesBase,MATCH(D443,Unidades,0)),"")&lt;&gt;INDEX(InsBase,MATCH(B443,ListaInsumos,0)),"Unidad incompatible",IF(F443="","Insumo sin compras","OK")))))</f>
        <v/>
      </c>
      <c r="I443" s="15"/>
    </row>
    <row r="444" customFormat="false" ht="15" hidden="false" customHeight="false" outlineLevel="0" collapsed="false">
      <c r="A444" s="15"/>
      <c r="B444" s="15"/>
      <c r="C444" s="27"/>
      <c r="D444" s="15"/>
      <c r="E444" s="25" t="str">
        <f aca="true">IF(OR(C444="",D444=""),"",IFERROR(C444*INDEX(UnidadesFactor,MATCH(D444,Unidades,0)),""))</f>
        <v/>
      </c>
      <c r="F444" s="18" t="str">
        <f aca="true">IF(B444="","",IFERROR(INDEX(InsCosto,MATCH(B444,ListaInsumos,0)),""))</f>
        <v/>
      </c>
      <c r="G444" s="19" t="str">
        <f aca="false">IF(AND(A444="",B444=""),"",IF(H444="OK",E444*F444,0))</f>
        <v/>
      </c>
      <c r="H444" s="20" t="str">
        <f aca="true">IF(AND(A444="",B444=""),"",IF(ISNA(MATCH(B444,ListaInsumos,0)),"Insumo no está en Insumos",IF(C444="","Falta cantidad",IF(IFERROR(INDEX(UnidadesBase,MATCH(D444,Unidades,0)),"")&lt;&gt;INDEX(InsBase,MATCH(B444,ListaInsumos,0)),"Unidad incompatible",IF(F444="","Insumo sin compras","OK")))))</f>
        <v/>
      </c>
      <c r="I444" s="15"/>
    </row>
    <row r="445" customFormat="false" ht="15" hidden="false" customHeight="false" outlineLevel="0" collapsed="false">
      <c r="A445" s="15"/>
      <c r="B445" s="15"/>
      <c r="C445" s="27"/>
      <c r="D445" s="15"/>
      <c r="E445" s="25" t="str">
        <f aca="true">IF(OR(C445="",D445=""),"",IFERROR(C445*INDEX(UnidadesFactor,MATCH(D445,Unidades,0)),""))</f>
        <v/>
      </c>
      <c r="F445" s="18" t="str">
        <f aca="true">IF(B445="","",IFERROR(INDEX(InsCosto,MATCH(B445,ListaInsumos,0)),""))</f>
        <v/>
      </c>
      <c r="G445" s="19" t="str">
        <f aca="false">IF(AND(A445="",B445=""),"",IF(H445="OK",E445*F445,0))</f>
        <v/>
      </c>
      <c r="H445" s="20" t="str">
        <f aca="true">IF(AND(A445="",B445=""),"",IF(ISNA(MATCH(B445,ListaInsumos,0)),"Insumo no está en Insumos",IF(C445="","Falta cantidad",IF(IFERROR(INDEX(UnidadesBase,MATCH(D445,Unidades,0)),"")&lt;&gt;INDEX(InsBase,MATCH(B445,ListaInsumos,0)),"Unidad incompatible",IF(F445="","Insumo sin compras","OK")))))</f>
        <v/>
      </c>
      <c r="I445" s="15"/>
    </row>
    <row r="446" customFormat="false" ht="15" hidden="false" customHeight="false" outlineLevel="0" collapsed="false">
      <c r="A446" s="15"/>
      <c r="B446" s="15"/>
      <c r="C446" s="27"/>
      <c r="D446" s="15"/>
      <c r="E446" s="25" t="str">
        <f aca="true">IF(OR(C446="",D446=""),"",IFERROR(C446*INDEX(UnidadesFactor,MATCH(D446,Unidades,0)),""))</f>
        <v/>
      </c>
      <c r="F446" s="18" t="str">
        <f aca="true">IF(B446="","",IFERROR(INDEX(InsCosto,MATCH(B446,ListaInsumos,0)),""))</f>
        <v/>
      </c>
      <c r="G446" s="19" t="str">
        <f aca="false">IF(AND(A446="",B446=""),"",IF(H446="OK",E446*F446,0))</f>
        <v/>
      </c>
      <c r="H446" s="20" t="str">
        <f aca="true">IF(AND(A446="",B446=""),"",IF(ISNA(MATCH(B446,ListaInsumos,0)),"Insumo no está en Insumos",IF(C446="","Falta cantidad",IF(IFERROR(INDEX(UnidadesBase,MATCH(D446,Unidades,0)),"")&lt;&gt;INDEX(InsBase,MATCH(B446,ListaInsumos,0)),"Unidad incompatible",IF(F446="","Insumo sin compras","OK")))))</f>
        <v/>
      </c>
      <c r="I446" s="15"/>
    </row>
    <row r="447" customFormat="false" ht="15" hidden="false" customHeight="false" outlineLevel="0" collapsed="false">
      <c r="A447" s="15"/>
      <c r="B447" s="15"/>
      <c r="C447" s="27"/>
      <c r="D447" s="15"/>
      <c r="E447" s="25" t="str">
        <f aca="true">IF(OR(C447="",D447=""),"",IFERROR(C447*INDEX(UnidadesFactor,MATCH(D447,Unidades,0)),""))</f>
        <v/>
      </c>
      <c r="F447" s="18" t="str">
        <f aca="true">IF(B447="","",IFERROR(INDEX(InsCosto,MATCH(B447,ListaInsumos,0)),""))</f>
        <v/>
      </c>
      <c r="G447" s="19" t="str">
        <f aca="false">IF(AND(A447="",B447=""),"",IF(H447="OK",E447*F447,0))</f>
        <v/>
      </c>
      <c r="H447" s="20" t="str">
        <f aca="true">IF(AND(A447="",B447=""),"",IF(ISNA(MATCH(B447,ListaInsumos,0)),"Insumo no está en Insumos",IF(C447="","Falta cantidad",IF(IFERROR(INDEX(UnidadesBase,MATCH(D447,Unidades,0)),"")&lt;&gt;INDEX(InsBase,MATCH(B447,ListaInsumos,0)),"Unidad incompatible",IF(F447="","Insumo sin compras","OK")))))</f>
        <v/>
      </c>
      <c r="I447" s="15"/>
    </row>
    <row r="448" customFormat="false" ht="15" hidden="false" customHeight="false" outlineLevel="0" collapsed="false">
      <c r="A448" s="15"/>
      <c r="B448" s="15"/>
      <c r="C448" s="27"/>
      <c r="D448" s="15"/>
      <c r="E448" s="25" t="str">
        <f aca="true">IF(OR(C448="",D448=""),"",IFERROR(C448*INDEX(UnidadesFactor,MATCH(D448,Unidades,0)),""))</f>
        <v/>
      </c>
      <c r="F448" s="18" t="str">
        <f aca="true">IF(B448="","",IFERROR(INDEX(InsCosto,MATCH(B448,ListaInsumos,0)),""))</f>
        <v/>
      </c>
      <c r="G448" s="19" t="str">
        <f aca="false">IF(AND(A448="",B448=""),"",IF(H448="OK",E448*F448,0))</f>
        <v/>
      </c>
      <c r="H448" s="20" t="str">
        <f aca="true">IF(AND(A448="",B448=""),"",IF(ISNA(MATCH(B448,ListaInsumos,0)),"Insumo no está en Insumos",IF(C448="","Falta cantidad",IF(IFERROR(INDEX(UnidadesBase,MATCH(D448,Unidades,0)),"")&lt;&gt;INDEX(InsBase,MATCH(B448,ListaInsumos,0)),"Unidad incompatible",IF(F448="","Insumo sin compras","OK")))))</f>
        <v/>
      </c>
      <c r="I448" s="15"/>
    </row>
    <row r="449" customFormat="false" ht="15" hidden="false" customHeight="false" outlineLevel="0" collapsed="false">
      <c r="A449" s="15"/>
      <c r="B449" s="15"/>
      <c r="C449" s="27"/>
      <c r="D449" s="15"/>
      <c r="E449" s="25" t="str">
        <f aca="true">IF(OR(C449="",D449=""),"",IFERROR(C449*INDEX(UnidadesFactor,MATCH(D449,Unidades,0)),""))</f>
        <v/>
      </c>
      <c r="F449" s="18" t="str">
        <f aca="true">IF(B449="","",IFERROR(INDEX(InsCosto,MATCH(B449,ListaInsumos,0)),""))</f>
        <v/>
      </c>
      <c r="G449" s="19" t="str">
        <f aca="false">IF(AND(A449="",B449=""),"",IF(H449="OK",E449*F449,0))</f>
        <v/>
      </c>
      <c r="H449" s="20" t="str">
        <f aca="true">IF(AND(A449="",B449=""),"",IF(ISNA(MATCH(B449,ListaInsumos,0)),"Insumo no está en Insumos",IF(C449="","Falta cantidad",IF(IFERROR(INDEX(UnidadesBase,MATCH(D449,Unidades,0)),"")&lt;&gt;INDEX(InsBase,MATCH(B449,ListaInsumos,0)),"Unidad incompatible",IF(F449="","Insumo sin compras","OK")))))</f>
        <v/>
      </c>
      <c r="I449" s="15"/>
    </row>
    <row r="450" customFormat="false" ht="15" hidden="false" customHeight="false" outlineLevel="0" collapsed="false">
      <c r="A450" s="15"/>
      <c r="B450" s="15"/>
      <c r="C450" s="27"/>
      <c r="D450" s="15"/>
      <c r="E450" s="25" t="str">
        <f aca="true">IF(OR(C450="",D450=""),"",IFERROR(C450*INDEX(UnidadesFactor,MATCH(D450,Unidades,0)),""))</f>
        <v/>
      </c>
      <c r="F450" s="18" t="str">
        <f aca="true">IF(B450="","",IFERROR(INDEX(InsCosto,MATCH(B450,ListaInsumos,0)),""))</f>
        <v/>
      </c>
      <c r="G450" s="19" t="str">
        <f aca="false">IF(AND(A450="",B450=""),"",IF(H450="OK",E450*F450,0))</f>
        <v/>
      </c>
      <c r="H450" s="20" t="str">
        <f aca="true">IF(AND(A450="",B450=""),"",IF(ISNA(MATCH(B450,ListaInsumos,0)),"Insumo no está en Insumos",IF(C450="","Falta cantidad",IF(IFERROR(INDEX(UnidadesBase,MATCH(D450,Unidades,0)),"")&lt;&gt;INDEX(InsBase,MATCH(B450,ListaInsumos,0)),"Unidad incompatible",IF(F450="","Insumo sin compras","OK")))))</f>
        <v/>
      </c>
      <c r="I450" s="15"/>
    </row>
    <row r="451" customFormat="false" ht="15" hidden="false" customHeight="false" outlineLevel="0" collapsed="false">
      <c r="A451" s="15"/>
      <c r="B451" s="15"/>
      <c r="C451" s="27"/>
      <c r="D451" s="15"/>
      <c r="E451" s="25" t="str">
        <f aca="true">IF(OR(C451="",D451=""),"",IFERROR(C451*INDEX(UnidadesFactor,MATCH(D451,Unidades,0)),""))</f>
        <v/>
      </c>
      <c r="F451" s="18" t="str">
        <f aca="true">IF(B451="","",IFERROR(INDEX(InsCosto,MATCH(B451,ListaInsumos,0)),""))</f>
        <v/>
      </c>
      <c r="G451" s="19" t="str">
        <f aca="false">IF(AND(A451="",B451=""),"",IF(H451="OK",E451*F451,0))</f>
        <v/>
      </c>
      <c r="H451" s="20" t="str">
        <f aca="true">IF(AND(A451="",B451=""),"",IF(ISNA(MATCH(B451,ListaInsumos,0)),"Insumo no está en Insumos",IF(C451="","Falta cantidad",IF(IFERROR(INDEX(UnidadesBase,MATCH(D451,Unidades,0)),"")&lt;&gt;INDEX(InsBase,MATCH(B451,ListaInsumos,0)),"Unidad incompatible",IF(F451="","Insumo sin compras","OK")))))</f>
        <v/>
      </c>
      <c r="I451" s="15"/>
    </row>
    <row r="452" customFormat="false" ht="15" hidden="false" customHeight="false" outlineLevel="0" collapsed="false">
      <c r="A452" s="15"/>
      <c r="B452" s="15"/>
      <c r="C452" s="27"/>
      <c r="D452" s="15"/>
      <c r="E452" s="25" t="str">
        <f aca="true">IF(OR(C452="",D452=""),"",IFERROR(C452*INDEX(UnidadesFactor,MATCH(D452,Unidades,0)),""))</f>
        <v/>
      </c>
      <c r="F452" s="18" t="str">
        <f aca="true">IF(B452="","",IFERROR(INDEX(InsCosto,MATCH(B452,ListaInsumos,0)),""))</f>
        <v/>
      </c>
      <c r="G452" s="19" t="str">
        <f aca="false">IF(AND(A452="",B452=""),"",IF(H452="OK",E452*F452,0))</f>
        <v/>
      </c>
      <c r="H452" s="20" t="str">
        <f aca="true">IF(AND(A452="",B452=""),"",IF(ISNA(MATCH(B452,ListaInsumos,0)),"Insumo no está en Insumos",IF(C452="","Falta cantidad",IF(IFERROR(INDEX(UnidadesBase,MATCH(D452,Unidades,0)),"")&lt;&gt;INDEX(InsBase,MATCH(B452,ListaInsumos,0)),"Unidad incompatible",IF(F452="","Insumo sin compras","OK")))))</f>
        <v/>
      </c>
      <c r="I452" s="15"/>
    </row>
    <row r="453" customFormat="false" ht="15" hidden="false" customHeight="false" outlineLevel="0" collapsed="false">
      <c r="A453" s="15"/>
      <c r="B453" s="15"/>
      <c r="C453" s="27"/>
      <c r="D453" s="15"/>
      <c r="E453" s="25" t="str">
        <f aca="true">IF(OR(C453="",D453=""),"",IFERROR(C453*INDEX(UnidadesFactor,MATCH(D453,Unidades,0)),""))</f>
        <v/>
      </c>
      <c r="F453" s="18" t="str">
        <f aca="true">IF(B453="","",IFERROR(INDEX(InsCosto,MATCH(B453,ListaInsumos,0)),""))</f>
        <v/>
      </c>
      <c r="G453" s="19" t="str">
        <f aca="false">IF(AND(A453="",B453=""),"",IF(H453="OK",E453*F453,0))</f>
        <v/>
      </c>
      <c r="H453" s="20" t="str">
        <f aca="true">IF(AND(A453="",B453=""),"",IF(ISNA(MATCH(B453,ListaInsumos,0)),"Insumo no está en Insumos",IF(C453="","Falta cantidad",IF(IFERROR(INDEX(UnidadesBase,MATCH(D453,Unidades,0)),"")&lt;&gt;INDEX(InsBase,MATCH(B453,ListaInsumos,0)),"Unidad incompatible",IF(F453="","Insumo sin compras","OK")))))</f>
        <v/>
      </c>
      <c r="I453" s="15"/>
    </row>
    <row r="454" customFormat="false" ht="15" hidden="false" customHeight="false" outlineLevel="0" collapsed="false">
      <c r="A454" s="15"/>
      <c r="B454" s="15"/>
      <c r="C454" s="27"/>
      <c r="D454" s="15"/>
      <c r="E454" s="25" t="str">
        <f aca="true">IF(OR(C454="",D454=""),"",IFERROR(C454*INDEX(UnidadesFactor,MATCH(D454,Unidades,0)),""))</f>
        <v/>
      </c>
      <c r="F454" s="18" t="str">
        <f aca="true">IF(B454="","",IFERROR(INDEX(InsCosto,MATCH(B454,ListaInsumos,0)),""))</f>
        <v/>
      </c>
      <c r="G454" s="19" t="str">
        <f aca="false">IF(AND(A454="",B454=""),"",IF(H454="OK",E454*F454,0))</f>
        <v/>
      </c>
      <c r="H454" s="20" t="str">
        <f aca="true">IF(AND(A454="",B454=""),"",IF(ISNA(MATCH(B454,ListaInsumos,0)),"Insumo no está en Insumos",IF(C454="","Falta cantidad",IF(IFERROR(INDEX(UnidadesBase,MATCH(D454,Unidades,0)),"")&lt;&gt;INDEX(InsBase,MATCH(B454,ListaInsumos,0)),"Unidad incompatible",IF(F454="","Insumo sin compras","OK")))))</f>
        <v/>
      </c>
      <c r="I454" s="15"/>
    </row>
    <row r="455" customFormat="false" ht="15" hidden="false" customHeight="false" outlineLevel="0" collapsed="false">
      <c r="A455" s="15"/>
      <c r="B455" s="15"/>
      <c r="C455" s="27"/>
      <c r="D455" s="15"/>
      <c r="E455" s="25" t="str">
        <f aca="true">IF(OR(C455="",D455=""),"",IFERROR(C455*INDEX(UnidadesFactor,MATCH(D455,Unidades,0)),""))</f>
        <v/>
      </c>
      <c r="F455" s="18" t="str">
        <f aca="true">IF(B455="","",IFERROR(INDEX(InsCosto,MATCH(B455,ListaInsumos,0)),""))</f>
        <v/>
      </c>
      <c r="G455" s="19" t="str">
        <f aca="false">IF(AND(A455="",B455=""),"",IF(H455="OK",E455*F455,0))</f>
        <v/>
      </c>
      <c r="H455" s="20" t="str">
        <f aca="true">IF(AND(A455="",B455=""),"",IF(ISNA(MATCH(B455,ListaInsumos,0)),"Insumo no está en Insumos",IF(C455="","Falta cantidad",IF(IFERROR(INDEX(UnidadesBase,MATCH(D455,Unidades,0)),"")&lt;&gt;INDEX(InsBase,MATCH(B455,ListaInsumos,0)),"Unidad incompatible",IF(F455="","Insumo sin compras","OK")))))</f>
        <v/>
      </c>
      <c r="I455" s="15"/>
    </row>
    <row r="456" customFormat="false" ht="15" hidden="false" customHeight="false" outlineLevel="0" collapsed="false">
      <c r="A456" s="15"/>
      <c r="B456" s="15"/>
      <c r="C456" s="27"/>
      <c r="D456" s="15"/>
      <c r="E456" s="25" t="str">
        <f aca="true">IF(OR(C456="",D456=""),"",IFERROR(C456*INDEX(UnidadesFactor,MATCH(D456,Unidades,0)),""))</f>
        <v/>
      </c>
      <c r="F456" s="18" t="str">
        <f aca="true">IF(B456="","",IFERROR(INDEX(InsCosto,MATCH(B456,ListaInsumos,0)),""))</f>
        <v/>
      </c>
      <c r="G456" s="19" t="str">
        <f aca="false">IF(AND(A456="",B456=""),"",IF(H456="OK",E456*F456,0))</f>
        <v/>
      </c>
      <c r="H456" s="20" t="str">
        <f aca="true">IF(AND(A456="",B456=""),"",IF(ISNA(MATCH(B456,ListaInsumos,0)),"Insumo no está en Insumos",IF(C456="","Falta cantidad",IF(IFERROR(INDEX(UnidadesBase,MATCH(D456,Unidades,0)),"")&lt;&gt;INDEX(InsBase,MATCH(B456,ListaInsumos,0)),"Unidad incompatible",IF(F456="","Insumo sin compras","OK")))))</f>
        <v/>
      </c>
      <c r="I456" s="15"/>
    </row>
    <row r="457" customFormat="false" ht="15" hidden="false" customHeight="false" outlineLevel="0" collapsed="false">
      <c r="A457" s="15"/>
      <c r="B457" s="15"/>
      <c r="C457" s="27"/>
      <c r="D457" s="15"/>
      <c r="E457" s="25" t="str">
        <f aca="true">IF(OR(C457="",D457=""),"",IFERROR(C457*INDEX(UnidadesFactor,MATCH(D457,Unidades,0)),""))</f>
        <v/>
      </c>
      <c r="F457" s="18" t="str">
        <f aca="true">IF(B457="","",IFERROR(INDEX(InsCosto,MATCH(B457,ListaInsumos,0)),""))</f>
        <v/>
      </c>
      <c r="G457" s="19" t="str">
        <f aca="false">IF(AND(A457="",B457=""),"",IF(H457="OK",E457*F457,0))</f>
        <v/>
      </c>
      <c r="H457" s="20" t="str">
        <f aca="true">IF(AND(A457="",B457=""),"",IF(ISNA(MATCH(B457,ListaInsumos,0)),"Insumo no está en Insumos",IF(C457="","Falta cantidad",IF(IFERROR(INDEX(UnidadesBase,MATCH(D457,Unidades,0)),"")&lt;&gt;INDEX(InsBase,MATCH(B457,ListaInsumos,0)),"Unidad incompatible",IF(F457="","Insumo sin compras","OK")))))</f>
        <v/>
      </c>
      <c r="I457" s="15"/>
    </row>
    <row r="458" customFormat="false" ht="15" hidden="false" customHeight="false" outlineLevel="0" collapsed="false">
      <c r="A458" s="15"/>
      <c r="B458" s="15"/>
      <c r="C458" s="27"/>
      <c r="D458" s="15"/>
      <c r="E458" s="25" t="str">
        <f aca="true">IF(OR(C458="",D458=""),"",IFERROR(C458*INDEX(UnidadesFactor,MATCH(D458,Unidades,0)),""))</f>
        <v/>
      </c>
      <c r="F458" s="18" t="str">
        <f aca="true">IF(B458="","",IFERROR(INDEX(InsCosto,MATCH(B458,ListaInsumos,0)),""))</f>
        <v/>
      </c>
      <c r="G458" s="19" t="str">
        <f aca="false">IF(AND(A458="",B458=""),"",IF(H458="OK",E458*F458,0))</f>
        <v/>
      </c>
      <c r="H458" s="20" t="str">
        <f aca="true">IF(AND(A458="",B458=""),"",IF(ISNA(MATCH(B458,ListaInsumos,0)),"Insumo no está en Insumos",IF(C458="","Falta cantidad",IF(IFERROR(INDEX(UnidadesBase,MATCH(D458,Unidades,0)),"")&lt;&gt;INDEX(InsBase,MATCH(B458,ListaInsumos,0)),"Unidad incompatible",IF(F458="","Insumo sin compras","OK")))))</f>
        <v/>
      </c>
      <c r="I458" s="15"/>
    </row>
    <row r="459" customFormat="false" ht="15" hidden="false" customHeight="false" outlineLevel="0" collapsed="false">
      <c r="A459" s="15"/>
      <c r="B459" s="15"/>
      <c r="C459" s="27"/>
      <c r="D459" s="15"/>
      <c r="E459" s="25" t="str">
        <f aca="true">IF(OR(C459="",D459=""),"",IFERROR(C459*INDEX(UnidadesFactor,MATCH(D459,Unidades,0)),""))</f>
        <v/>
      </c>
      <c r="F459" s="18" t="str">
        <f aca="true">IF(B459="","",IFERROR(INDEX(InsCosto,MATCH(B459,ListaInsumos,0)),""))</f>
        <v/>
      </c>
      <c r="G459" s="19" t="str">
        <f aca="false">IF(AND(A459="",B459=""),"",IF(H459="OK",E459*F459,0))</f>
        <v/>
      </c>
      <c r="H459" s="20" t="str">
        <f aca="true">IF(AND(A459="",B459=""),"",IF(ISNA(MATCH(B459,ListaInsumos,0)),"Insumo no está en Insumos",IF(C459="","Falta cantidad",IF(IFERROR(INDEX(UnidadesBase,MATCH(D459,Unidades,0)),"")&lt;&gt;INDEX(InsBase,MATCH(B459,ListaInsumos,0)),"Unidad incompatible",IF(F459="","Insumo sin compras","OK")))))</f>
        <v/>
      </c>
      <c r="I459" s="15"/>
    </row>
    <row r="460" customFormat="false" ht="15" hidden="false" customHeight="false" outlineLevel="0" collapsed="false">
      <c r="A460" s="15"/>
      <c r="B460" s="15"/>
      <c r="C460" s="27"/>
      <c r="D460" s="15"/>
      <c r="E460" s="25" t="str">
        <f aca="true">IF(OR(C460="",D460=""),"",IFERROR(C460*INDEX(UnidadesFactor,MATCH(D460,Unidades,0)),""))</f>
        <v/>
      </c>
      <c r="F460" s="18" t="str">
        <f aca="true">IF(B460="","",IFERROR(INDEX(InsCosto,MATCH(B460,ListaInsumos,0)),""))</f>
        <v/>
      </c>
      <c r="G460" s="19" t="str">
        <f aca="false">IF(AND(A460="",B460=""),"",IF(H460="OK",E460*F460,0))</f>
        <v/>
      </c>
      <c r="H460" s="20" t="str">
        <f aca="true">IF(AND(A460="",B460=""),"",IF(ISNA(MATCH(B460,ListaInsumos,0)),"Insumo no está en Insumos",IF(C460="","Falta cantidad",IF(IFERROR(INDEX(UnidadesBase,MATCH(D460,Unidades,0)),"")&lt;&gt;INDEX(InsBase,MATCH(B460,ListaInsumos,0)),"Unidad incompatible",IF(F460="","Insumo sin compras","OK")))))</f>
        <v/>
      </c>
      <c r="I460" s="15"/>
    </row>
    <row r="461" customFormat="false" ht="15" hidden="false" customHeight="false" outlineLevel="0" collapsed="false">
      <c r="A461" s="15"/>
      <c r="B461" s="15"/>
      <c r="C461" s="27"/>
      <c r="D461" s="15"/>
      <c r="E461" s="25" t="str">
        <f aca="true">IF(OR(C461="",D461=""),"",IFERROR(C461*INDEX(UnidadesFactor,MATCH(D461,Unidades,0)),""))</f>
        <v/>
      </c>
      <c r="F461" s="18" t="str">
        <f aca="true">IF(B461="","",IFERROR(INDEX(InsCosto,MATCH(B461,ListaInsumos,0)),""))</f>
        <v/>
      </c>
      <c r="G461" s="19" t="str">
        <f aca="false">IF(AND(A461="",B461=""),"",IF(H461="OK",E461*F461,0))</f>
        <v/>
      </c>
      <c r="H461" s="20" t="str">
        <f aca="true">IF(AND(A461="",B461=""),"",IF(ISNA(MATCH(B461,ListaInsumos,0)),"Insumo no está en Insumos",IF(C461="","Falta cantidad",IF(IFERROR(INDEX(UnidadesBase,MATCH(D461,Unidades,0)),"")&lt;&gt;INDEX(InsBase,MATCH(B461,ListaInsumos,0)),"Unidad incompatible",IF(F461="","Insumo sin compras","OK")))))</f>
        <v/>
      </c>
      <c r="I461" s="15"/>
    </row>
    <row r="462" customFormat="false" ht="15" hidden="false" customHeight="false" outlineLevel="0" collapsed="false">
      <c r="A462" s="15"/>
      <c r="B462" s="15"/>
      <c r="C462" s="27"/>
      <c r="D462" s="15"/>
      <c r="E462" s="25" t="str">
        <f aca="true">IF(OR(C462="",D462=""),"",IFERROR(C462*INDEX(UnidadesFactor,MATCH(D462,Unidades,0)),""))</f>
        <v/>
      </c>
      <c r="F462" s="18" t="str">
        <f aca="true">IF(B462="","",IFERROR(INDEX(InsCosto,MATCH(B462,ListaInsumos,0)),""))</f>
        <v/>
      </c>
      <c r="G462" s="19" t="str">
        <f aca="false">IF(AND(A462="",B462=""),"",IF(H462="OK",E462*F462,0))</f>
        <v/>
      </c>
      <c r="H462" s="20" t="str">
        <f aca="true">IF(AND(A462="",B462=""),"",IF(ISNA(MATCH(B462,ListaInsumos,0)),"Insumo no está en Insumos",IF(C462="","Falta cantidad",IF(IFERROR(INDEX(UnidadesBase,MATCH(D462,Unidades,0)),"")&lt;&gt;INDEX(InsBase,MATCH(B462,ListaInsumos,0)),"Unidad incompatible",IF(F462="","Insumo sin compras","OK")))))</f>
        <v/>
      </c>
      <c r="I462" s="15"/>
    </row>
    <row r="463" customFormat="false" ht="15" hidden="false" customHeight="false" outlineLevel="0" collapsed="false">
      <c r="A463" s="15"/>
      <c r="B463" s="15"/>
      <c r="C463" s="27"/>
      <c r="D463" s="15"/>
      <c r="E463" s="25" t="str">
        <f aca="true">IF(OR(C463="",D463=""),"",IFERROR(C463*INDEX(UnidadesFactor,MATCH(D463,Unidades,0)),""))</f>
        <v/>
      </c>
      <c r="F463" s="18" t="str">
        <f aca="true">IF(B463="","",IFERROR(INDEX(InsCosto,MATCH(B463,ListaInsumos,0)),""))</f>
        <v/>
      </c>
      <c r="G463" s="19" t="str">
        <f aca="false">IF(AND(A463="",B463=""),"",IF(H463="OK",E463*F463,0))</f>
        <v/>
      </c>
      <c r="H463" s="20" t="str">
        <f aca="true">IF(AND(A463="",B463=""),"",IF(ISNA(MATCH(B463,ListaInsumos,0)),"Insumo no está en Insumos",IF(C463="","Falta cantidad",IF(IFERROR(INDEX(UnidadesBase,MATCH(D463,Unidades,0)),"")&lt;&gt;INDEX(InsBase,MATCH(B463,ListaInsumos,0)),"Unidad incompatible",IF(F463="","Insumo sin compras","OK")))))</f>
        <v/>
      </c>
      <c r="I463" s="15"/>
    </row>
    <row r="464" customFormat="false" ht="15" hidden="false" customHeight="false" outlineLevel="0" collapsed="false">
      <c r="A464" s="15"/>
      <c r="B464" s="15"/>
      <c r="C464" s="27"/>
      <c r="D464" s="15"/>
      <c r="E464" s="25" t="str">
        <f aca="true">IF(OR(C464="",D464=""),"",IFERROR(C464*INDEX(UnidadesFactor,MATCH(D464,Unidades,0)),""))</f>
        <v/>
      </c>
      <c r="F464" s="18" t="str">
        <f aca="true">IF(B464="","",IFERROR(INDEX(InsCosto,MATCH(B464,ListaInsumos,0)),""))</f>
        <v/>
      </c>
      <c r="G464" s="19" t="str">
        <f aca="false">IF(AND(A464="",B464=""),"",IF(H464="OK",E464*F464,0))</f>
        <v/>
      </c>
      <c r="H464" s="20" t="str">
        <f aca="true">IF(AND(A464="",B464=""),"",IF(ISNA(MATCH(B464,ListaInsumos,0)),"Insumo no está en Insumos",IF(C464="","Falta cantidad",IF(IFERROR(INDEX(UnidadesBase,MATCH(D464,Unidades,0)),"")&lt;&gt;INDEX(InsBase,MATCH(B464,ListaInsumos,0)),"Unidad incompatible",IF(F464="","Insumo sin compras","OK")))))</f>
        <v/>
      </c>
      <c r="I464" s="15"/>
    </row>
    <row r="465" customFormat="false" ht="15" hidden="false" customHeight="false" outlineLevel="0" collapsed="false">
      <c r="A465" s="15"/>
      <c r="B465" s="15"/>
      <c r="C465" s="27"/>
      <c r="D465" s="15"/>
      <c r="E465" s="25" t="str">
        <f aca="true">IF(OR(C465="",D465=""),"",IFERROR(C465*INDEX(UnidadesFactor,MATCH(D465,Unidades,0)),""))</f>
        <v/>
      </c>
      <c r="F465" s="18" t="str">
        <f aca="true">IF(B465="","",IFERROR(INDEX(InsCosto,MATCH(B465,ListaInsumos,0)),""))</f>
        <v/>
      </c>
      <c r="G465" s="19" t="str">
        <f aca="false">IF(AND(A465="",B465=""),"",IF(H465="OK",E465*F465,0))</f>
        <v/>
      </c>
      <c r="H465" s="20" t="str">
        <f aca="true">IF(AND(A465="",B465=""),"",IF(ISNA(MATCH(B465,ListaInsumos,0)),"Insumo no está en Insumos",IF(C465="","Falta cantidad",IF(IFERROR(INDEX(UnidadesBase,MATCH(D465,Unidades,0)),"")&lt;&gt;INDEX(InsBase,MATCH(B465,ListaInsumos,0)),"Unidad incompatible",IF(F465="","Insumo sin compras","OK")))))</f>
        <v/>
      </c>
      <c r="I465" s="15"/>
    </row>
    <row r="466" customFormat="false" ht="15" hidden="false" customHeight="false" outlineLevel="0" collapsed="false">
      <c r="A466" s="15"/>
      <c r="B466" s="15"/>
      <c r="C466" s="27"/>
      <c r="D466" s="15"/>
      <c r="E466" s="25" t="str">
        <f aca="true">IF(OR(C466="",D466=""),"",IFERROR(C466*INDEX(UnidadesFactor,MATCH(D466,Unidades,0)),""))</f>
        <v/>
      </c>
      <c r="F466" s="18" t="str">
        <f aca="true">IF(B466="","",IFERROR(INDEX(InsCosto,MATCH(B466,ListaInsumos,0)),""))</f>
        <v/>
      </c>
      <c r="G466" s="19" t="str">
        <f aca="false">IF(AND(A466="",B466=""),"",IF(H466="OK",E466*F466,0))</f>
        <v/>
      </c>
      <c r="H466" s="20" t="str">
        <f aca="true">IF(AND(A466="",B466=""),"",IF(ISNA(MATCH(B466,ListaInsumos,0)),"Insumo no está en Insumos",IF(C466="","Falta cantidad",IF(IFERROR(INDEX(UnidadesBase,MATCH(D466,Unidades,0)),"")&lt;&gt;INDEX(InsBase,MATCH(B466,ListaInsumos,0)),"Unidad incompatible",IF(F466="","Insumo sin compras","OK")))))</f>
        <v/>
      </c>
      <c r="I466" s="15"/>
    </row>
    <row r="467" customFormat="false" ht="15" hidden="false" customHeight="false" outlineLevel="0" collapsed="false">
      <c r="A467" s="15"/>
      <c r="B467" s="15"/>
      <c r="C467" s="27"/>
      <c r="D467" s="15"/>
      <c r="E467" s="25" t="str">
        <f aca="true">IF(OR(C467="",D467=""),"",IFERROR(C467*INDEX(UnidadesFactor,MATCH(D467,Unidades,0)),""))</f>
        <v/>
      </c>
      <c r="F467" s="18" t="str">
        <f aca="true">IF(B467="","",IFERROR(INDEX(InsCosto,MATCH(B467,ListaInsumos,0)),""))</f>
        <v/>
      </c>
      <c r="G467" s="19" t="str">
        <f aca="false">IF(AND(A467="",B467=""),"",IF(H467="OK",E467*F467,0))</f>
        <v/>
      </c>
      <c r="H467" s="20" t="str">
        <f aca="true">IF(AND(A467="",B467=""),"",IF(ISNA(MATCH(B467,ListaInsumos,0)),"Insumo no está en Insumos",IF(C467="","Falta cantidad",IF(IFERROR(INDEX(UnidadesBase,MATCH(D467,Unidades,0)),"")&lt;&gt;INDEX(InsBase,MATCH(B467,ListaInsumos,0)),"Unidad incompatible",IF(F467="","Insumo sin compras","OK")))))</f>
        <v/>
      </c>
      <c r="I467" s="15"/>
    </row>
    <row r="468" customFormat="false" ht="15" hidden="false" customHeight="false" outlineLevel="0" collapsed="false">
      <c r="A468" s="15"/>
      <c r="B468" s="15"/>
      <c r="C468" s="27"/>
      <c r="D468" s="15"/>
      <c r="E468" s="25" t="str">
        <f aca="true">IF(OR(C468="",D468=""),"",IFERROR(C468*INDEX(UnidadesFactor,MATCH(D468,Unidades,0)),""))</f>
        <v/>
      </c>
      <c r="F468" s="18" t="str">
        <f aca="true">IF(B468="","",IFERROR(INDEX(InsCosto,MATCH(B468,ListaInsumos,0)),""))</f>
        <v/>
      </c>
      <c r="G468" s="19" t="str">
        <f aca="false">IF(AND(A468="",B468=""),"",IF(H468="OK",E468*F468,0))</f>
        <v/>
      </c>
      <c r="H468" s="20" t="str">
        <f aca="true">IF(AND(A468="",B468=""),"",IF(ISNA(MATCH(B468,ListaInsumos,0)),"Insumo no está en Insumos",IF(C468="","Falta cantidad",IF(IFERROR(INDEX(UnidadesBase,MATCH(D468,Unidades,0)),"")&lt;&gt;INDEX(InsBase,MATCH(B468,ListaInsumos,0)),"Unidad incompatible",IF(F468="","Insumo sin compras","OK")))))</f>
        <v/>
      </c>
      <c r="I468" s="15"/>
    </row>
    <row r="469" customFormat="false" ht="15" hidden="false" customHeight="false" outlineLevel="0" collapsed="false">
      <c r="A469" s="15"/>
      <c r="B469" s="15"/>
      <c r="C469" s="27"/>
      <c r="D469" s="15"/>
      <c r="E469" s="25" t="str">
        <f aca="true">IF(OR(C469="",D469=""),"",IFERROR(C469*INDEX(UnidadesFactor,MATCH(D469,Unidades,0)),""))</f>
        <v/>
      </c>
      <c r="F469" s="18" t="str">
        <f aca="true">IF(B469="","",IFERROR(INDEX(InsCosto,MATCH(B469,ListaInsumos,0)),""))</f>
        <v/>
      </c>
      <c r="G469" s="19" t="str">
        <f aca="false">IF(AND(A469="",B469=""),"",IF(H469="OK",E469*F469,0))</f>
        <v/>
      </c>
      <c r="H469" s="20" t="str">
        <f aca="true">IF(AND(A469="",B469=""),"",IF(ISNA(MATCH(B469,ListaInsumos,0)),"Insumo no está en Insumos",IF(C469="","Falta cantidad",IF(IFERROR(INDEX(UnidadesBase,MATCH(D469,Unidades,0)),"")&lt;&gt;INDEX(InsBase,MATCH(B469,ListaInsumos,0)),"Unidad incompatible",IF(F469="","Insumo sin compras","OK")))))</f>
        <v/>
      </c>
      <c r="I469" s="15"/>
    </row>
    <row r="470" customFormat="false" ht="15" hidden="false" customHeight="false" outlineLevel="0" collapsed="false">
      <c r="A470" s="15"/>
      <c r="B470" s="15"/>
      <c r="C470" s="27"/>
      <c r="D470" s="15"/>
      <c r="E470" s="25" t="str">
        <f aca="true">IF(OR(C470="",D470=""),"",IFERROR(C470*INDEX(UnidadesFactor,MATCH(D470,Unidades,0)),""))</f>
        <v/>
      </c>
      <c r="F470" s="18" t="str">
        <f aca="true">IF(B470="","",IFERROR(INDEX(InsCosto,MATCH(B470,ListaInsumos,0)),""))</f>
        <v/>
      </c>
      <c r="G470" s="19" t="str">
        <f aca="false">IF(AND(A470="",B470=""),"",IF(H470="OK",E470*F470,0))</f>
        <v/>
      </c>
      <c r="H470" s="20" t="str">
        <f aca="true">IF(AND(A470="",B470=""),"",IF(ISNA(MATCH(B470,ListaInsumos,0)),"Insumo no está en Insumos",IF(C470="","Falta cantidad",IF(IFERROR(INDEX(UnidadesBase,MATCH(D470,Unidades,0)),"")&lt;&gt;INDEX(InsBase,MATCH(B470,ListaInsumos,0)),"Unidad incompatible",IF(F470="","Insumo sin compras","OK")))))</f>
        <v/>
      </c>
      <c r="I470" s="15"/>
    </row>
    <row r="471" customFormat="false" ht="15" hidden="false" customHeight="false" outlineLevel="0" collapsed="false">
      <c r="A471" s="15"/>
      <c r="B471" s="15"/>
      <c r="C471" s="27"/>
      <c r="D471" s="15"/>
      <c r="E471" s="25" t="str">
        <f aca="true">IF(OR(C471="",D471=""),"",IFERROR(C471*INDEX(UnidadesFactor,MATCH(D471,Unidades,0)),""))</f>
        <v/>
      </c>
      <c r="F471" s="18" t="str">
        <f aca="true">IF(B471="","",IFERROR(INDEX(InsCosto,MATCH(B471,ListaInsumos,0)),""))</f>
        <v/>
      </c>
      <c r="G471" s="19" t="str">
        <f aca="false">IF(AND(A471="",B471=""),"",IF(H471="OK",E471*F471,0))</f>
        <v/>
      </c>
      <c r="H471" s="20" t="str">
        <f aca="true">IF(AND(A471="",B471=""),"",IF(ISNA(MATCH(B471,ListaInsumos,0)),"Insumo no está en Insumos",IF(C471="","Falta cantidad",IF(IFERROR(INDEX(UnidadesBase,MATCH(D471,Unidades,0)),"")&lt;&gt;INDEX(InsBase,MATCH(B471,ListaInsumos,0)),"Unidad incompatible",IF(F471="","Insumo sin compras","OK")))))</f>
        <v/>
      </c>
      <c r="I471" s="15"/>
    </row>
    <row r="472" customFormat="false" ht="15" hidden="false" customHeight="false" outlineLevel="0" collapsed="false">
      <c r="A472" s="15"/>
      <c r="B472" s="15"/>
      <c r="C472" s="27"/>
      <c r="D472" s="15"/>
      <c r="E472" s="25" t="str">
        <f aca="true">IF(OR(C472="",D472=""),"",IFERROR(C472*INDEX(UnidadesFactor,MATCH(D472,Unidades,0)),""))</f>
        <v/>
      </c>
      <c r="F472" s="18" t="str">
        <f aca="true">IF(B472="","",IFERROR(INDEX(InsCosto,MATCH(B472,ListaInsumos,0)),""))</f>
        <v/>
      </c>
      <c r="G472" s="19" t="str">
        <f aca="false">IF(AND(A472="",B472=""),"",IF(H472="OK",E472*F472,0))</f>
        <v/>
      </c>
      <c r="H472" s="20" t="str">
        <f aca="true">IF(AND(A472="",B472=""),"",IF(ISNA(MATCH(B472,ListaInsumos,0)),"Insumo no está en Insumos",IF(C472="","Falta cantidad",IF(IFERROR(INDEX(UnidadesBase,MATCH(D472,Unidades,0)),"")&lt;&gt;INDEX(InsBase,MATCH(B472,ListaInsumos,0)),"Unidad incompatible",IF(F472="","Insumo sin compras","OK")))))</f>
        <v/>
      </c>
      <c r="I472" s="15"/>
    </row>
    <row r="473" customFormat="false" ht="15" hidden="false" customHeight="false" outlineLevel="0" collapsed="false">
      <c r="A473" s="15"/>
      <c r="B473" s="15"/>
      <c r="C473" s="27"/>
      <c r="D473" s="15"/>
      <c r="E473" s="25" t="str">
        <f aca="true">IF(OR(C473="",D473=""),"",IFERROR(C473*INDEX(UnidadesFactor,MATCH(D473,Unidades,0)),""))</f>
        <v/>
      </c>
      <c r="F473" s="18" t="str">
        <f aca="true">IF(B473="","",IFERROR(INDEX(InsCosto,MATCH(B473,ListaInsumos,0)),""))</f>
        <v/>
      </c>
      <c r="G473" s="19" t="str">
        <f aca="false">IF(AND(A473="",B473=""),"",IF(H473="OK",E473*F473,0))</f>
        <v/>
      </c>
      <c r="H473" s="20" t="str">
        <f aca="true">IF(AND(A473="",B473=""),"",IF(ISNA(MATCH(B473,ListaInsumos,0)),"Insumo no está en Insumos",IF(C473="","Falta cantidad",IF(IFERROR(INDEX(UnidadesBase,MATCH(D473,Unidades,0)),"")&lt;&gt;INDEX(InsBase,MATCH(B473,ListaInsumos,0)),"Unidad incompatible",IF(F473="","Insumo sin compras","OK")))))</f>
        <v/>
      </c>
      <c r="I473" s="15"/>
    </row>
    <row r="474" customFormat="false" ht="15" hidden="false" customHeight="false" outlineLevel="0" collapsed="false">
      <c r="A474" s="15"/>
      <c r="B474" s="15"/>
      <c r="C474" s="27"/>
      <c r="D474" s="15"/>
      <c r="E474" s="25" t="str">
        <f aca="true">IF(OR(C474="",D474=""),"",IFERROR(C474*INDEX(UnidadesFactor,MATCH(D474,Unidades,0)),""))</f>
        <v/>
      </c>
      <c r="F474" s="18" t="str">
        <f aca="true">IF(B474="","",IFERROR(INDEX(InsCosto,MATCH(B474,ListaInsumos,0)),""))</f>
        <v/>
      </c>
      <c r="G474" s="19" t="str">
        <f aca="false">IF(AND(A474="",B474=""),"",IF(H474="OK",E474*F474,0))</f>
        <v/>
      </c>
      <c r="H474" s="20" t="str">
        <f aca="true">IF(AND(A474="",B474=""),"",IF(ISNA(MATCH(B474,ListaInsumos,0)),"Insumo no está en Insumos",IF(C474="","Falta cantidad",IF(IFERROR(INDEX(UnidadesBase,MATCH(D474,Unidades,0)),"")&lt;&gt;INDEX(InsBase,MATCH(B474,ListaInsumos,0)),"Unidad incompatible",IF(F474="","Insumo sin compras","OK")))))</f>
        <v/>
      </c>
      <c r="I474" s="15"/>
    </row>
    <row r="475" customFormat="false" ht="15" hidden="false" customHeight="false" outlineLevel="0" collapsed="false">
      <c r="A475" s="15"/>
      <c r="B475" s="15"/>
      <c r="C475" s="27"/>
      <c r="D475" s="15"/>
      <c r="E475" s="25" t="str">
        <f aca="true">IF(OR(C475="",D475=""),"",IFERROR(C475*INDEX(UnidadesFactor,MATCH(D475,Unidades,0)),""))</f>
        <v/>
      </c>
      <c r="F475" s="18" t="str">
        <f aca="true">IF(B475="","",IFERROR(INDEX(InsCosto,MATCH(B475,ListaInsumos,0)),""))</f>
        <v/>
      </c>
      <c r="G475" s="19" t="str">
        <f aca="false">IF(AND(A475="",B475=""),"",IF(H475="OK",E475*F475,0))</f>
        <v/>
      </c>
      <c r="H475" s="20" t="str">
        <f aca="true">IF(AND(A475="",B475=""),"",IF(ISNA(MATCH(B475,ListaInsumos,0)),"Insumo no está en Insumos",IF(C475="","Falta cantidad",IF(IFERROR(INDEX(UnidadesBase,MATCH(D475,Unidades,0)),"")&lt;&gt;INDEX(InsBase,MATCH(B475,ListaInsumos,0)),"Unidad incompatible",IF(F475="","Insumo sin compras","OK")))))</f>
        <v/>
      </c>
      <c r="I475" s="15"/>
    </row>
    <row r="476" customFormat="false" ht="15" hidden="false" customHeight="false" outlineLevel="0" collapsed="false">
      <c r="A476" s="15"/>
      <c r="B476" s="15"/>
      <c r="C476" s="27"/>
      <c r="D476" s="15"/>
      <c r="E476" s="25" t="str">
        <f aca="true">IF(OR(C476="",D476=""),"",IFERROR(C476*INDEX(UnidadesFactor,MATCH(D476,Unidades,0)),""))</f>
        <v/>
      </c>
      <c r="F476" s="18" t="str">
        <f aca="true">IF(B476="","",IFERROR(INDEX(InsCosto,MATCH(B476,ListaInsumos,0)),""))</f>
        <v/>
      </c>
      <c r="G476" s="19" t="str">
        <f aca="false">IF(AND(A476="",B476=""),"",IF(H476="OK",E476*F476,0))</f>
        <v/>
      </c>
      <c r="H476" s="20" t="str">
        <f aca="true">IF(AND(A476="",B476=""),"",IF(ISNA(MATCH(B476,ListaInsumos,0)),"Insumo no está en Insumos",IF(C476="","Falta cantidad",IF(IFERROR(INDEX(UnidadesBase,MATCH(D476,Unidades,0)),"")&lt;&gt;INDEX(InsBase,MATCH(B476,ListaInsumos,0)),"Unidad incompatible",IF(F476="","Insumo sin compras","OK")))))</f>
        <v/>
      </c>
      <c r="I476" s="15"/>
    </row>
    <row r="477" customFormat="false" ht="15" hidden="false" customHeight="false" outlineLevel="0" collapsed="false">
      <c r="A477" s="15"/>
      <c r="B477" s="15"/>
      <c r="C477" s="27"/>
      <c r="D477" s="15"/>
      <c r="E477" s="25" t="str">
        <f aca="true">IF(OR(C477="",D477=""),"",IFERROR(C477*INDEX(UnidadesFactor,MATCH(D477,Unidades,0)),""))</f>
        <v/>
      </c>
      <c r="F477" s="18" t="str">
        <f aca="true">IF(B477="","",IFERROR(INDEX(InsCosto,MATCH(B477,ListaInsumos,0)),""))</f>
        <v/>
      </c>
      <c r="G477" s="19" t="str">
        <f aca="false">IF(AND(A477="",B477=""),"",IF(H477="OK",E477*F477,0))</f>
        <v/>
      </c>
      <c r="H477" s="20" t="str">
        <f aca="true">IF(AND(A477="",B477=""),"",IF(ISNA(MATCH(B477,ListaInsumos,0)),"Insumo no está en Insumos",IF(C477="","Falta cantidad",IF(IFERROR(INDEX(UnidadesBase,MATCH(D477,Unidades,0)),"")&lt;&gt;INDEX(InsBase,MATCH(B477,ListaInsumos,0)),"Unidad incompatible",IF(F477="","Insumo sin compras","OK")))))</f>
        <v/>
      </c>
      <c r="I477" s="15"/>
    </row>
    <row r="478" customFormat="false" ht="15" hidden="false" customHeight="false" outlineLevel="0" collapsed="false">
      <c r="A478" s="15"/>
      <c r="B478" s="15"/>
      <c r="C478" s="27"/>
      <c r="D478" s="15"/>
      <c r="E478" s="25" t="str">
        <f aca="true">IF(OR(C478="",D478=""),"",IFERROR(C478*INDEX(UnidadesFactor,MATCH(D478,Unidades,0)),""))</f>
        <v/>
      </c>
      <c r="F478" s="18" t="str">
        <f aca="true">IF(B478="","",IFERROR(INDEX(InsCosto,MATCH(B478,ListaInsumos,0)),""))</f>
        <v/>
      </c>
      <c r="G478" s="19" t="str">
        <f aca="false">IF(AND(A478="",B478=""),"",IF(H478="OK",E478*F478,0))</f>
        <v/>
      </c>
      <c r="H478" s="20" t="str">
        <f aca="true">IF(AND(A478="",B478=""),"",IF(ISNA(MATCH(B478,ListaInsumos,0)),"Insumo no está en Insumos",IF(C478="","Falta cantidad",IF(IFERROR(INDEX(UnidadesBase,MATCH(D478,Unidades,0)),"")&lt;&gt;INDEX(InsBase,MATCH(B478,ListaInsumos,0)),"Unidad incompatible",IF(F478="","Insumo sin compras","OK")))))</f>
        <v/>
      </c>
      <c r="I478" s="15"/>
    </row>
    <row r="479" customFormat="false" ht="15" hidden="false" customHeight="false" outlineLevel="0" collapsed="false">
      <c r="A479" s="15"/>
      <c r="B479" s="15"/>
      <c r="C479" s="27"/>
      <c r="D479" s="15"/>
      <c r="E479" s="25" t="str">
        <f aca="true">IF(OR(C479="",D479=""),"",IFERROR(C479*INDEX(UnidadesFactor,MATCH(D479,Unidades,0)),""))</f>
        <v/>
      </c>
      <c r="F479" s="18" t="str">
        <f aca="true">IF(B479="","",IFERROR(INDEX(InsCosto,MATCH(B479,ListaInsumos,0)),""))</f>
        <v/>
      </c>
      <c r="G479" s="19" t="str">
        <f aca="false">IF(AND(A479="",B479=""),"",IF(H479="OK",E479*F479,0))</f>
        <v/>
      </c>
      <c r="H479" s="20" t="str">
        <f aca="true">IF(AND(A479="",B479=""),"",IF(ISNA(MATCH(B479,ListaInsumos,0)),"Insumo no está en Insumos",IF(C479="","Falta cantidad",IF(IFERROR(INDEX(UnidadesBase,MATCH(D479,Unidades,0)),"")&lt;&gt;INDEX(InsBase,MATCH(B479,ListaInsumos,0)),"Unidad incompatible",IF(F479="","Insumo sin compras","OK")))))</f>
        <v/>
      </c>
      <c r="I479" s="15"/>
    </row>
    <row r="480" customFormat="false" ht="15" hidden="false" customHeight="false" outlineLevel="0" collapsed="false">
      <c r="A480" s="15"/>
      <c r="B480" s="15"/>
      <c r="C480" s="27"/>
      <c r="D480" s="15"/>
      <c r="E480" s="25" t="str">
        <f aca="true">IF(OR(C480="",D480=""),"",IFERROR(C480*INDEX(UnidadesFactor,MATCH(D480,Unidades,0)),""))</f>
        <v/>
      </c>
      <c r="F480" s="18" t="str">
        <f aca="true">IF(B480="","",IFERROR(INDEX(InsCosto,MATCH(B480,ListaInsumos,0)),""))</f>
        <v/>
      </c>
      <c r="G480" s="19" t="str">
        <f aca="false">IF(AND(A480="",B480=""),"",IF(H480="OK",E480*F480,0))</f>
        <v/>
      </c>
      <c r="H480" s="20" t="str">
        <f aca="true">IF(AND(A480="",B480=""),"",IF(ISNA(MATCH(B480,ListaInsumos,0)),"Insumo no está en Insumos",IF(C480="","Falta cantidad",IF(IFERROR(INDEX(UnidadesBase,MATCH(D480,Unidades,0)),"")&lt;&gt;INDEX(InsBase,MATCH(B480,ListaInsumos,0)),"Unidad incompatible",IF(F480="","Insumo sin compras","OK")))))</f>
        <v/>
      </c>
      <c r="I480" s="15"/>
    </row>
    <row r="481" customFormat="false" ht="15" hidden="false" customHeight="false" outlineLevel="0" collapsed="false">
      <c r="A481" s="15"/>
      <c r="B481" s="15"/>
      <c r="C481" s="27"/>
      <c r="D481" s="15"/>
      <c r="E481" s="25" t="str">
        <f aca="true">IF(OR(C481="",D481=""),"",IFERROR(C481*INDEX(UnidadesFactor,MATCH(D481,Unidades,0)),""))</f>
        <v/>
      </c>
      <c r="F481" s="18" t="str">
        <f aca="true">IF(B481="","",IFERROR(INDEX(InsCosto,MATCH(B481,ListaInsumos,0)),""))</f>
        <v/>
      </c>
      <c r="G481" s="19" t="str">
        <f aca="false">IF(AND(A481="",B481=""),"",IF(H481="OK",E481*F481,0))</f>
        <v/>
      </c>
      <c r="H481" s="20" t="str">
        <f aca="true">IF(AND(A481="",B481=""),"",IF(ISNA(MATCH(B481,ListaInsumos,0)),"Insumo no está en Insumos",IF(C481="","Falta cantidad",IF(IFERROR(INDEX(UnidadesBase,MATCH(D481,Unidades,0)),"")&lt;&gt;INDEX(InsBase,MATCH(B481,ListaInsumos,0)),"Unidad incompatible",IF(F481="","Insumo sin compras","OK")))))</f>
        <v/>
      </c>
      <c r="I481" s="15"/>
    </row>
    <row r="482" customFormat="false" ht="15" hidden="false" customHeight="false" outlineLevel="0" collapsed="false">
      <c r="A482" s="15"/>
      <c r="B482" s="15"/>
      <c r="C482" s="27"/>
      <c r="D482" s="15"/>
      <c r="E482" s="25" t="str">
        <f aca="true">IF(OR(C482="",D482=""),"",IFERROR(C482*INDEX(UnidadesFactor,MATCH(D482,Unidades,0)),""))</f>
        <v/>
      </c>
      <c r="F482" s="18" t="str">
        <f aca="true">IF(B482="","",IFERROR(INDEX(InsCosto,MATCH(B482,ListaInsumos,0)),""))</f>
        <v/>
      </c>
      <c r="G482" s="19" t="str">
        <f aca="false">IF(AND(A482="",B482=""),"",IF(H482="OK",E482*F482,0))</f>
        <v/>
      </c>
      <c r="H482" s="20" t="str">
        <f aca="true">IF(AND(A482="",B482=""),"",IF(ISNA(MATCH(B482,ListaInsumos,0)),"Insumo no está en Insumos",IF(C482="","Falta cantidad",IF(IFERROR(INDEX(UnidadesBase,MATCH(D482,Unidades,0)),"")&lt;&gt;INDEX(InsBase,MATCH(B482,ListaInsumos,0)),"Unidad incompatible",IF(F482="","Insumo sin compras","OK")))))</f>
        <v/>
      </c>
      <c r="I482" s="15"/>
    </row>
    <row r="483" customFormat="false" ht="15" hidden="false" customHeight="false" outlineLevel="0" collapsed="false">
      <c r="A483" s="15"/>
      <c r="B483" s="15"/>
      <c r="C483" s="27"/>
      <c r="D483" s="15"/>
      <c r="E483" s="25" t="str">
        <f aca="true">IF(OR(C483="",D483=""),"",IFERROR(C483*INDEX(UnidadesFactor,MATCH(D483,Unidades,0)),""))</f>
        <v/>
      </c>
      <c r="F483" s="18" t="str">
        <f aca="true">IF(B483="","",IFERROR(INDEX(InsCosto,MATCH(B483,ListaInsumos,0)),""))</f>
        <v/>
      </c>
      <c r="G483" s="19" t="str">
        <f aca="false">IF(AND(A483="",B483=""),"",IF(H483="OK",E483*F483,0))</f>
        <v/>
      </c>
      <c r="H483" s="20" t="str">
        <f aca="true">IF(AND(A483="",B483=""),"",IF(ISNA(MATCH(B483,ListaInsumos,0)),"Insumo no está en Insumos",IF(C483="","Falta cantidad",IF(IFERROR(INDEX(UnidadesBase,MATCH(D483,Unidades,0)),"")&lt;&gt;INDEX(InsBase,MATCH(B483,ListaInsumos,0)),"Unidad incompatible",IF(F483="","Insumo sin compras","OK")))))</f>
        <v/>
      </c>
      <c r="I483" s="15"/>
    </row>
    <row r="484" customFormat="false" ht="15" hidden="false" customHeight="false" outlineLevel="0" collapsed="false">
      <c r="A484" s="15"/>
      <c r="B484" s="15"/>
      <c r="C484" s="27"/>
      <c r="D484" s="15"/>
      <c r="E484" s="25" t="str">
        <f aca="true">IF(OR(C484="",D484=""),"",IFERROR(C484*INDEX(UnidadesFactor,MATCH(D484,Unidades,0)),""))</f>
        <v/>
      </c>
      <c r="F484" s="18" t="str">
        <f aca="true">IF(B484="","",IFERROR(INDEX(InsCosto,MATCH(B484,ListaInsumos,0)),""))</f>
        <v/>
      </c>
      <c r="G484" s="19" t="str">
        <f aca="false">IF(AND(A484="",B484=""),"",IF(H484="OK",E484*F484,0))</f>
        <v/>
      </c>
      <c r="H484" s="20" t="str">
        <f aca="true">IF(AND(A484="",B484=""),"",IF(ISNA(MATCH(B484,ListaInsumos,0)),"Insumo no está en Insumos",IF(C484="","Falta cantidad",IF(IFERROR(INDEX(UnidadesBase,MATCH(D484,Unidades,0)),"")&lt;&gt;INDEX(InsBase,MATCH(B484,ListaInsumos,0)),"Unidad incompatible",IF(F484="","Insumo sin compras","OK")))))</f>
        <v/>
      </c>
      <c r="I484" s="15"/>
    </row>
    <row r="485" customFormat="false" ht="15" hidden="false" customHeight="false" outlineLevel="0" collapsed="false">
      <c r="A485" s="15"/>
      <c r="B485" s="15"/>
      <c r="C485" s="27"/>
      <c r="D485" s="15"/>
      <c r="E485" s="25" t="str">
        <f aca="true">IF(OR(C485="",D485=""),"",IFERROR(C485*INDEX(UnidadesFactor,MATCH(D485,Unidades,0)),""))</f>
        <v/>
      </c>
      <c r="F485" s="18" t="str">
        <f aca="true">IF(B485="","",IFERROR(INDEX(InsCosto,MATCH(B485,ListaInsumos,0)),""))</f>
        <v/>
      </c>
      <c r="G485" s="19" t="str">
        <f aca="false">IF(AND(A485="",B485=""),"",IF(H485="OK",E485*F485,0))</f>
        <v/>
      </c>
      <c r="H485" s="20" t="str">
        <f aca="true">IF(AND(A485="",B485=""),"",IF(ISNA(MATCH(B485,ListaInsumos,0)),"Insumo no está en Insumos",IF(C485="","Falta cantidad",IF(IFERROR(INDEX(UnidadesBase,MATCH(D485,Unidades,0)),"")&lt;&gt;INDEX(InsBase,MATCH(B485,ListaInsumos,0)),"Unidad incompatible",IF(F485="","Insumo sin compras","OK")))))</f>
        <v/>
      </c>
      <c r="I485" s="15"/>
    </row>
    <row r="486" customFormat="false" ht="15" hidden="false" customHeight="false" outlineLevel="0" collapsed="false">
      <c r="A486" s="15"/>
      <c r="B486" s="15"/>
      <c r="C486" s="27"/>
      <c r="D486" s="15"/>
      <c r="E486" s="25" t="str">
        <f aca="true">IF(OR(C486="",D486=""),"",IFERROR(C486*INDEX(UnidadesFactor,MATCH(D486,Unidades,0)),""))</f>
        <v/>
      </c>
      <c r="F486" s="18" t="str">
        <f aca="true">IF(B486="","",IFERROR(INDEX(InsCosto,MATCH(B486,ListaInsumos,0)),""))</f>
        <v/>
      </c>
      <c r="G486" s="19" t="str">
        <f aca="false">IF(AND(A486="",B486=""),"",IF(H486="OK",E486*F486,0))</f>
        <v/>
      </c>
      <c r="H486" s="20" t="str">
        <f aca="true">IF(AND(A486="",B486=""),"",IF(ISNA(MATCH(B486,ListaInsumos,0)),"Insumo no está en Insumos",IF(C486="","Falta cantidad",IF(IFERROR(INDEX(UnidadesBase,MATCH(D486,Unidades,0)),"")&lt;&gt;INDEX(InsBase,MATCH(B486,ListaInsumos,0)),"Unidad incompatible",IF(F486="","Insumo sin compras","OK")))))</f>
        <v/>
      </c>
      <c r="I486" s="15"/>
    </row>
    <row r="487" customFormat="false" ht="15" hidden="false" customHeight="false" outlineLevel="0" collapsed="false">
      <c r="A487" s="15"/>
      <c r="B487" s="15"/>
      <c r="C487" s="27"/>
      <c r="D487" s="15"/>
      <c r="E487" s="25" t="str">
        <f aca="true">IF(OR(C487="",D487=""),"",IFERROR(C487*INDEX(UnidadesFactor,MATCH(D487,Unidades,0)),""))</f>
        <v/>
      </c>
      <c r="F487" s="18" t="str">
        <f aca="true">IF(B487="","",IFERROR(INDEX(InsCosto,MATCH(B487,ListaInsumos,0)),""))</f>
        <v/>
      </c>
      <c r="G487" s="19" t="str">
        <f aca="false">IF(AND(A487="",B487=""),"",IF(H487="OK",E487*F487,0))</f>
        <v/>
      </c>
      <c r="H487" s="20" t="str">
        <f aca="true">IF(AND(A487="",B487=""),"",IF(ISNA(MATCH(B487,ListaInsumos,0)),"Insumo no está en Insumos",IF(C487="","Falta cantidad",IF(IFERROR(INDEX(UnidadesBase,MATCH(D487,Unidades,0)),"")&lt;&gt;INDEX(InsBase,MATCH(B487,ListaInsumos,0)),"Unidad incompatible",IF(F487="","Insumo sin compras","OK")))))</f>
        <v/>
      </c>
      <c r="I487" s="15"/>
    </row>
    <row r="488" customFormat="false" ht="15" hidden="false" customHeight="false" outlineLevel="0" collapsed="false">
      <c r="A488" s="15"/>
      <c r="B488" s="15"/>
      <c r="C488" s="27"/>
      <c r="D488" s="15"/>
      <c r="E488" s="25" t="str">
        <f aca="true">IF(OR(C488="",D488=""),"",IFERROR(C488*INDEX(UnidadesFactor,MATCH(D488,Unidades,0)),""))</f>
        <v/>
      </c>
      <c r="F488" s="18" t="str">
        <f aca="true">IF(B488="","",IFERROR(INDEX(InsCosto,MATCH(B488,ListaInsumos,0)),""))</f>
        <v/>
      </c>
      <c r="G488" s="19" t="str">
        <f aca="false">IF(AND(A488="",B488=""),"",IF(H488="OK",E488*F488,0))</f>
        <v/>
      </c>
      <c r="H488" s="20" t="str">
        <f aca="true">IF(AND(A488="",B488=""),"",IF(ISNA(MATCH(B488,ListaInsumos,0)),"Insumo no está en Insumos",IF(C488="","Falta cantidad",IF(IFERROR(INDEX(UnidadesBase,MATCH(D488,Unidades,0)),"")&lt;&gt;INDEX(InsBase,MATCH(B488,ListaInsumos,0)),"Unidad incompatible",IF(F488="","Insumo sin compras","OK")))))</f>
        <v/>
      </c>
      <c r="I488" s="15"/>
    </row>
    <row r="489" customFormat="false" ht="15" hidden="false" customHeight="false" outlineLevel="0" collapsed="false">
      <c r="A489" s="15"/>
      <c r="B489" s="15"/>
      <c r="C489" s="27"/>
      <c r="D489" s="15"/>
      <c r="E489" s="25" t="str">
        <f aca="true">IF(OR(C489="",D489=""),"",IFERROR(C489*INDEX(UnidadesFactor,MATCH(D489,Unidades,0)),""))</f>
        <v/>
      </c>
      <c r="F489" s="18" t="str">
        <f aca="true">IF(B489="","",IFERROR(INDEX(InsCosto,MATCH(B489,ListaInsumos,0)),""))</f>
        <v/>
      </c>
      <c r="G489" s="19" t="str">
        <f aca="false">IF(AND(A489="",B489=""),"",IF(H489="OK",E489*F489,0))</f>
        <v/>
      </c>
      <c r="H489" s="20" t="str">
        <f aca="true">IF(AND(A489="",B489=""),"",IF(ISNA(MATCH(B489,ListaInsumos,0)),"Insumo no está en Insumos",IF(C489="","Falta cantidad",IF(IFERROR(INDEX(UnidadesBase,MATCH(D489,Unidades,0)),"")&lt;&gt;INDEX(InsBase,MATCH(B489,ListaInsumos,0)),"Unidad incompatible",IF(F489="","Insumo sin compras","OK")))))</f>
        <v/>
      </c>
      <c r="I489" s="15"/>
    </row>
    <row r="490" customFormat="false" ht="15" hidden="false" customHeight="false" outlineLevel="0" collapsed="false">
      <c r="A490" s="15"/>
      <c r="B490" s="15"/>
      <c r="C490" s="27"/>
      <c r="D490" s="15"/>
      <c r="E490" s="25" t="str">
        <f aca="true">IF(OR(C490="",D490=""),"",IFERROR(C490*INDEX(UnidadesFactor,MATCH(D490,Unidades,0)),""))</f>
        <v/>
      </c>
      <c r="F490" s="18" t="str">
        <f aca="true">IF(B490="","",IFERROR(INDEX(InsCosto,MATCH(B490,ListaInsumos,0)),""))</f>
        <v/>
      </c>
      <c r="G490" s="19" t="str">
        <f aca="false">IF(AND(A490="",B490=""),"",IF(H490="OK",E490*F490,0))</f>
        <v/>
      </c>
      <c r="H490" s="20" t="str">
        <f aca="true">IF(AND(A490="",B490=""),"",IF(ISNA(MATCH(B490,ListaInsumos,0)),"Insumo no está en Insumos",IF(C490="","Falta cantidad",IF(IFERROR(INDEX(UnidadesBase,MATCH(D490,Unidades,0)),"")&lt;&gt;INDEX(InsBase,MATCH(B490,ListaInsumos,0)),"Unidad incompatible",IF(F490="","Insumo sin compras","OK")))))</f>
        <v/>
      </c>
      <c r="I490" s="15"/>
    </row>
    <row r="491" customFormat="false" ht="15" hidden="false" customHeight="false" outlineLevel="0" collapsed="false">
      <c r="A491" s="15"/>
      <c r="B491" s="15"/>
      <c r="C491" s="27"/>
      <c r="D491" s="15"/>
      <c r="E491" s="25" t="str">
        <f aca="true">IF(OR(C491="",D491=""),"",IFERROR(C491*INDEX(UnidadesFactor,MATCH(D491,Unidades,0)),""))</f>
        <v/>
      </c>
      <c r="F491" s="18" t="str">
        <f aca="true">IF(B491="","",IFERROR(INDEX(InsCosto,MATCH(B491,ListaInsumos,0)),""))</f>
        <v/>
      </c>
      <c r="G491" s="19" t="str">
        <f aca="false">IF(AND(A491="",B491=""),"",IF(H491="OK",E491*F491,0))</f>
        <v/>
      </c>
      <c r="H491" s="20" t="str">
        <f aca="true">IF(AND(A491="",B491=""),"",IF(ISNA(MATCH(B491,ListaInsumos,0)),"Insumo no está en Insumos",IF(C491="","Falta cantidad",IF(IFERROR(INDEX(UnidadesBase,MATCH(D491,Unidades,0)),"")&lt;&gt;INDEX(InsBase,MATCH(B491,ListaInsumos,0)),"Unidad incompatible",IF(F491="","Insumo sin compras","OK")))))</f>
        <v/>
      </c>
      <c r="I491" s="15"/>
    </row>
    <row r="492" customFormat="false" ht="15" hidden="false" customHeight="false" outlineLevel="0" collapsed="false">
      <c r="A492" s="15"/>
      <c r="B492" s="15"/>
      <c r="C492" s="27"/>
      <c r="D492" s="15"/>
      <c r="E492" s="25" t="str">
        <f aca="true">IF(OR(C492="",D492=""),"",IFERROR(C492*INDEX(UnidadesFactor,MATCH(D492,Unidades,0)),""))</f>
        <v/>
      </c>
      <c r="F492" s="18" t="str">
        <f aca="true">IF(B492="","",IFERROR(INDEX(InsCosto,MATCH(B492,ListaInsumos,0)),""))</f>
        <v/>
      </c>
      <c r="G492" s="19" t="str">
        <f aca="false">IF(AND(A492="",B492=""),"",IF(H492="OK",E492*F492,0))</f>
        <v/>
      </c>
      <c r="H492" s="20" t="str">
        <f aca="true">IF(AND(A492="",B492=""),"",IF(ISNA(MATCH(B492,ListaInsumos,0)),"Insumo no está en Insumos",IF(C492="","Falta cantidad",IF(IFERROR(INDEX(UnidadesBase,MATCH(D492,Unidades,0)),"")&lt;&gt;INDEX(InsBase,MATCH(B492,ListaInsumos,0)),"Unidad incompatible",IF(F492="","Insumo sin compras","OK")))))</f>
        <v/>
      </c>
      <c r="I492" s="15"/>
    </row>
    <row r="493" customFormat="false" ht="15" hidden="false" customHeight="false" outlineLevel="0" collapsed="false">
      <c r="A493" s="15"/>
      <c r="B493" s="15"/>
      <c r="C493" s="27"/>
      <c r="D493" s="15"/>
      <c r="E493" s="25" t="str">
        <f aca="true">IF(OR(C493="",D493=""),"",IFERROR(C493*INDEX(UnidadesFactor,MATCH(D493,Unidades,0)),""))</f>
        <v/>
      </c>
      <c r="F493" s="18" t="str">
        <f aca="true">IF(B493="","",IFERROR(INDEX(InsCosto,MATCH(B493,ListaInsumos,0)),""))</f>
        <v/>
      </c>
      <c r="G493" s="19" t="str">
        <f aca="false">IF(AND(A493="",B493=""),"",IF(H493="OK",E493*F493,0))</f>
        <v/>
      </c>
      <c r="H493" s="20" t="str">
        <f aca="true">IF(AND(A493="",B493=""),"",IF(ISNA(MATCH(B493,ListaInsumos,0)),"Insumo no está en Insumos",IF(C493="","Falta cantidad",IF(IFERROR(INDEX(UnidadesBase,MATCH(D493,Unidades,0)),"")&lt;&gt;INDEX(InsBase,MATCH(B493,ListaInsumos,0)),"Unidad incompatible",IF(F493="","Insumo sin compras","OK")))))</f>
        <v/>
      </c>
      <c r="I493" s="15"/>
    </row>
    <row r="494" customFormat="false" ht="15" hidden="false" customHeight="false" outlineLevel="0" collapsed="false">
      <c r="A494" s="15"/>
      <c r="B494" s="15"/>
      <c r="C494" s="27"/>
      <c r="D494" s="15"/>
      <c r="E494" s="25" t="str">
        <f aca="true">IF(OR(C494="",D494=""),"",IFERROR(C494*INDEX(UnidadesFactor,MATCH(D494,Unidades,0)),""))</f>
        <v/>
      </c>
      <c r="F494" s="18" t="str">
        <f aca="true">IF(B494="","",IFERROR(INDEX(InsCosto,MATCH(B494,ListaInsumos,0)),""))</f>
        <v/>
      </c>
      <c r="G494" s="19" t="str">
        <f aca="false">IF(AND(A494="",B494=""),"",IF(H494="OK",E494*F494,0))</f>
        <v/>
      </c>
      <c r="H494" s="20" t="str">
        <f aca="true">IF(AND(A494="",B494=""),"",IF(ISNA(MATCH(B494,ListaInsumos,0)),"Insumo no está en Insumos",IF(C494="","Falta cantidad",IF(IFERROR(INDEX(UnidadesBase,MATCH(D494,Unidades,0)),"")&lt;&gt;INDEX(InsBase,MATCH(B494,ListaInsumos,0)),"Unidad incompatible",IF(F494="","Insumo sin compras","OK")))))</f>
        <v/>
      </c>
      <c r="I494" s="15"/>
    </row>
    <row r="495" customFormat="false" ht="15" hidden="false" customHeight="false" outlineLevel="0" collapsed="false">
      <c r="A495" s="15"/>
      <c r="B495" s="15"/>
      <c r="C495" s="27"/>
      <c r="D495" s="15"/>
      <c r="E495" s="25" t="str">
        <f aca="true">IF(OR(C495="",D495=""),"",IFERROR(C495*INDEX(UnidadesFactor,MATCH(D495,Unidades,0)),""))</f>
        <v/>
      </c>
      <c r="F495" s="18" t="str">
        <f aca="true">IF(B495="","",IFERROR(INDEX(InsCosto,MATCH(B495,ListaInsumos,0)),""))</f>
        <v/>
      </c>
      <c r="G495" s="19" t="str">
        <f aca="false">IF(AND(A495="",B495=""),"",IF(H495="OK",E495*F495,0))</f>
        <v/>
      </c>
      <c r="H495" s="20" t="str">
        <f aca="true">IF(AND(A495="",B495=""),"",IF(ISNA(MATCH(B495,ListaInsumos,0)),"Insumo no está en Insumos",IF(C495="","Falta cantidad",IF(IFERROR(INDEX(UnidadesBase,MATCH(D495,Unidades,0)),"")&lt;&gt;INDEX(InsBase,MATCH(B495,ListaInsumos,0)),"Unidad incompatible",IF(F495="","Insumo sin compras","OK")))))</f>
        <v/>
      </c>
      <c r="I495" s="15"/>
    </row>
    <row r="496" customFormat="false" ht="15" hidden="false" customHeight="false" outlineLevel="0" collapsed="false">
      <c r="A496" s="15"/>
      <c r="B496" s="15"/>
      <c r="C496" s="27"/>
      <c r="D496" s="15"/>
      <c r="E496" s="25" t="str">
        <f aca="true">IF(OR(C496="",D496=""),"",IFERROR(C496*INDEX(UnidadesFactor,MATCH(D496,Unidades,0)),""))</f>
        <v/>
      </c>
      <c r="F496" s="18" t="str">
        <f aca="true">IF(B496="","",IFERROR(INDEX(InsCosto,MATCH(B496,ListaInsumos,0)),""))</f>
        <v/>
      </c>
      <c r="G496" s="19" t="str">
        <f aca="false">IF(AND(A496="",B496=""),"",IF(H496="OK",E496*F496,0))</f>
        <v/>
      </c>
      <c r="H496" s="20" t="str">
        <f aca="true">IF(AND(A496="",B496=""),"",IF(ISNA(MATCH(B496,ListaInsumos,0)),"Insumo no está en Insumos",IF(C496="","Falta cantidad",IF(IFERROR(INDEX(UnidadesBase,MATCH(D496,Unidades,0)),"")&lt;&gt;INDEX(InsBase,MATCH(B496,ListaInsumos,0)),"Unidad incompatible",IF(F496="","Insumo sin compras","OK")))))</f>
        <v/>
      </c>
      <c r="I496" s="15"/>
    </row>
    <row r="497" customFormat="false" ht="15" hidden="false" customHeight="false" outlineLevel="0" collapsed="false">
      <c r="A497" s="15"/>
      <c r="B497" s="15"/>
      <c r="C497" s="27"/>
      <c r="D497" s="15"/>
      <c r="E497" s="25" t="str">
        <f aca="true">IF(OR(C497="",D497=""),"",IFERROR(C497*INDEX(UnidadesFactor,MATCH(D497,Unidades,0)),""))</f>
        <v/>
      </c>
      <c r="F497" s="18" t="str">
        <f aca="true">IF(B497="","",IFERROR(INDEX(InsCosto,MATCH(B497,ListaInsumos,0)),""))</f>
        <v/>
      </c>
      <c r="G497" s="19" t="str">
        <f aca="false">IF(AND(A497="",B497=""),"",IF(H497="OK",E497*F497,0))</f>
        <v/>
      </c>
      <c r="H497" s="20" t="str">
        <f aca="true">IF(AND(A497="",B497=""),"",IF(ISNA(MATCH(B497,ListaInsumos,0)),"Insumo no está en Insumos",IF(C497="","Falta cantidad",IF(IFERROR(INDEX(UnidadesBase,MATCH(D497,Unidades,0)),"")&lt;&gt;INDEX(InsBase,MATCH(B497,ListaInsumos,0)),"Unidad incompatible",IF(F497="","Insumo sin compras","OK")))))</f>
        <v/>
      </c>
      <c r="I497" s="15"/>
    </row>
    <row r="498" customFormat="false" ht="15" hidden="false" customHeight="false" outlineLevel="0" collapsed="false">
      <c r="A498" s="15"/>
      <c r="B498" s="15"/>
      <c r="C498" s="27"/>
      <c r="D498" s="15"/>
      <c r="E498" s="25" t="str">
        <f aca="true">IF(OR(C498="",D498=""),"",IFERROR(C498*INDEX(UnidadesFactor,MATCH(D498,Unidades,0)),""))</f>
        <v/>
      </c>
      <c r="F498" s="18" t="str">
        <f aca="true">IF(B498="","",IFERROR(INDEX(InsCosto,MATCH(B498,ListaInsumos,0)),""))</f>
        <v/>
      </c>
      <c r="G498" s="19" t="str">
        <f aca="false">IF(AND(A498="",B498=""),"",IF(H498="OK",E498*F498,0))</f>
        <v/>
      </c>
      <c r="H498" s="20" t="str">
        <f aca="true">IF(AND(A498="",B498=""),"",IF(ISNA(MATCH(B498,ListaInsumos,0)),"Insumo no está en Insumos",IF(C498="","Falta cantidad",IF(IFERROR(INDEX(UnidadesBase,MATCH(D498,Unidades,0)),"")&lt;&gt;INDEX(InsBase,MATCH(B498,ListaInsumos,0)),"Unidad incompatible",IF(F498="","Insumo sin compras","OK")))))</f>
        <v/>
      </c>
      <c r="I498" s="15"/>
    </row>
    <row r="499" customFormat="false" ht="15" hidden="false" customHeight="false" outlineLevel="0" collapsed="false">
      <c r="A499" s="15"/>
      <c r="B499" s="15"/>
      <c r="C499" s="27"/>
      <c r="D499" s="15"/>
      <c r="E499" s="25" t="str">
        <f aca="true">IF(OR(C499="",D499=""),"",IFERROR(C499*INDEX(UnidadesFactor,MATCH(D499,Unidades,0)),""))</f>
        <v/>
      </c>
      <c r="F499" s="18" t="str">
        <f aca="true">IF(B499="","",IFERROR(INDEX(InsCosto,MATCH(B499,ListaInsumos,0)),""))</f>
        <v/>
      </c>
      <c r="G499" s="19" t="str">
        <f aca="false">IF(AND(A499="",B499=""),"",IF(H499="OK",E499*F499,0))</f>
        <v/>
      </c>
      <c r="H499" s="20" t="str">
        <f aca="true">IF(AND(A499="",B499=""),"",IF(ISNA(MATCH(B499,ListaInsumos,0)),"Insumo no está en Insumos",IF(C499="","Falta cantidad",IF(IFERROR(INDEX(UnidadesBase,MATCH(D499,Unidades,0)),"")&lt;&gt;INDEX(InsBase,MATCH(B499,ListaInsumos,0)),"Unidad incompatible",IF(F499="","Insumo sin compras","OK")))))</f>
        <v/>
      </c>
      <c r="I499" s="15"/>
    </row>
    <row r="500" customFormat="false" ht="15" hidden="false" customHeight="false" outlineLevel="0" collapsed="false">
      <c r="A500" s="15"/>
      <c r="B500" s="15"/>
      <c r="C500" s="27"/>
      <c r="D500" s="15"/>
      <c r="E500" s="25" t="str">
        <f aca="true">IF(OR(C500="",D500=""),"",IFERROR(C500*INDEX(UnidadesFactor,MATCH(D500,Unidades,0)),""))</f>
        <v/>
      </c>
      <c r="F500" s="18" t="str">
        <f aca="true">IF(B500="","",IFERROR(INDEX(InsCosto,MATCH(B500,ListaInsumos,0)),""))</f>
        <v/>
      </c>
      <c r="G500" s="19" t="str">
        <f aca="false">IF(AND(A500="",B500=""),"",IF(H500="OK",E500*F500,0))</f>
        <v/>
      </c>
      <c r="H500" s="20" t="str">
        <f aca="true">IF(AND(A500="",B500=""),"",IF(ISNA(MATCH(B500,ListaInsumos,0)),"Insumo no está en Insumos",IF(C500="","Falta cantidad",IF(IFERROR(INDEX(UnidadesBase,MATCH(D500,Unidades,0)),"")&lt;&gt;INDEX(InsBase,MATCH(B500,ListaInsumos,0)),"Unidad incompatible",IF(F500="","Insumo sin compras","OK")))))</f>
        <v/>
      </c>
      <c r="I500" s="15"/>
    </row>
    <row r="501" customFormat="false" ht="15" hidden="false" customHeight="false" outlineLevel="0" collapsed="false">
      <c r="A501" s="15"/>
      <c r="B501" s="15"/>
      <c r="C501" s="27"/>
      <c r="D501" s="15"/>
      <c r="E501" s="25" t="str">
        <f aca="true">IF(OR(C501="",D501=""),"",IFERROR(C501*INDEX(UnidadesFactor,MATCH(D501,Unidades,0)),""))</f>
        <v/>
      </c>
      <c r="F501" s="18" t="str">
        <f aca="true">IF(B501="","",IFERROR(INDEX(InsCosto,MATCH(B501,ListaInsumos,0)),""))</f>
        <v/>
      </c>
      <c r="G501" s="19" t="str">
        <f aca="false">IF(AND(A501="",B501=""),"",IF(H501="OK",E501*F501,0))</f>
        <v/>
      </c>
      <c r="H501" s="20" t="str">
        <f aca="true">IF(AND(A501="",B501=""),"",IF(ISNA(MATCH(B501,ListaInsumos,0)),"Insumo no está en Insumos",IF(C501="","Falta cantidad",IF(IFERROR(INDEX(UnidadesBase,MATCH(D501,Unidades,0)),"")&lt;&gt;INDEX(InsBase,MATCH(B501,ListaInsumos,0)),"Unidad incompatible",IF(F501="","Insumo sin compras","OK")))))</f>
        <v/>
      </c>
      <c r="I501" s="15"/>
    </row>
    <row r="502" customFormat="false" ht="15" hidden="false" customHeight="false" outlineLevel="0" collapsed="false">
      <c r="A502" s="15"/>
      <c r="B502" s="15"/>
      <c r="C502" s="27"/>
      <c r="D502" s="15"/>
      <c r="E502" s="25" t="str">
        <f aca="true">IF(OR(C502="",D502=""),"",IFERROR(C502*INDEX(UnidadesFactor,MATCH(D502,Unidades,0)),""))</f>
        <v/>
      </c>
      <c r="F502" s="18" t="str">
        <f aca="true">IF(B502="","",IFERROR(INDEX(InsCosto,MATCH(B502,ListaInsumos,0)),""))</f>
        <v/>
      </c>
      <c r="G502" s="19" t="str">
        <f aca="false">IF(AND(A502="",B502=""),"",IF(H502="OK",E502*F502,0))</f>
        <v/>
      </c>
      <c r="H502" s="20" t="str">
        <f aca="true">IF(AND(A502="",B502=""),"",IF(ISNA(MATCH(B502,ListaInsumos,0)),"Insumo no está en Insumos",IF(C502="","Falta cantidad",IF(IFERROR(INDEX(UnidadesBase,MATCH(D502,Unidades,0)),"")&lt;&gt;INDEX(InsBase,MATCH(B502,ListaInsumos,0)),"Unidad incompatible",IF(F502="","Insumo sin compras","OK")))))</f>
        <v/>
      </c>
      <c r="I502" s="15"/>
    </row>
    <row r="503" customFormat="false" ht="15" hidden="false" customHeight="false" outlineLevel="0" collapsed="false">
      <c r="A503" s="15"/>
      <c r="B503" s="15"/>
      <c r="C503" s="27"/>
      <c r="D503" s="15"/>
      <c r="E503" s="25" t="str">
        <f aca="true">IF(OR(C503="",D503=""),"",IFERROR(C503*INDEX(UnidadesFactor,MATCH(D503,Unidades,0)),""))</f>
        <v/>
      </c>
      <c r="F503" s="18" t="str">
        <f aca="true">IF(B503="","",IFERROR(INDEX(InsCosto,MATCH(B503,ListaInsumos,0)),""))</f>
        <v/>
      </c>
      <c r="G503" s="19" t="str">
        <f aca="false">IF(AND(A503="",B503=""),"",IF(H503="OK",E503*F503,0))</f>
        <v/>
      </c>
      <c r="H503" s="20" t="str">
        <f aca="true">IF(AND(A503="",B503=""),"",IF(ISNA(MATCH(B503,ListaInsumos,0)),"Insumo no está en Insumos",IF(C503="","Falta cantidad",IF(IFERROR(INDEX(UnidadesBase,MATCH(D503,Unidades,0)),"")&lt;&gt;INDEX(InsBase,MATCH(B503,ListaInsumos,0)),"Unidad incompatible",IF(F503="","Insumo sin compras","OK")))))</f>
        <v/>
      </c>
      <c r="I503" s="15"/>
    </row>
    <row r="504" customFormat="false" ht="15" hidden="false" customHeight="false" outlineLevel="0" collapsed="false">
      <c r="A504" s="15"/>
      <c r="B504" s="15"/>
      <c r="C504" s="27"/>
      <c r="D504" s="15"/>
      <c r="E504" s="25" t="str">
        <f aca="true">IF(OR(C504="",D504=""),"",IFERROR(C504*INDEX(UnidadesFactor,MATCH(D504,Unidades,0)),""))</f>
        <v/>
      </c>
      <c r="F504" s="18" t="str">
        <f aca="true">IF(B504="","",IFERROR(INDEX(InsCosto,MATCH(B504,ListaInsumos,0)),""))</f>
        <v/>
      </c>
      <c r="G504" s="19" t="str">
        <f aca="false">IF(AND(A504="",B504=""),"",IF(H504="OK",E504*F504,0))</f>
        <v/>
      </c>
      <c r="H504" s="20" t="str">
        <f aca="true">IF(AND(A504="",B504=""),"",IF(ISNA(MATCH(B504,ListaInsumos,0)),"Insumo no está en Insumos",IF(C504="","Falta cantidad",IF(IFERROR(INDEX(UnidadesBase,MATCH(D504,Unidades,0)),"")&lt;&gt;INDEX(InsBase,MATCH(B504,ListaInsumos,0)),"Unidad incompatible",IF(F504="","Insumo sin compras","OK")))))</f>
        <v/>
      </c>
      <c r="I504" s="15"/>
    </row>
    <row r="505" customFormat="false" ht="15" hidden="false" customHeight="false" outlineLevel="0" collapsed="false">
      <c r="A505" s="15"/>
      <c r="B505" s="15"/>
      <c r="C505" s="27"/>
      <c r="D505" s="15"/>
      <c r="E505" s="25" t="str">
        <f aca="true">IF(OR(C505="",D505=""),"",IFERROR(C505*INDEX(UnidadesFactor,MATCH(D505,Unidades,0)),""))</f>
        <v/>
      </c>
      <c r="F505" s="18" t="str">
        <f aca="true">IF(B505="","",IFERROR(INDEX(InsCosto,MATCH(B505,ListaInsumos,0)),""))</f>
        <v/>
      </c>
      <c r="G505" s="19" t="str">
        <f aca="false">IF(AND(A505="",B505=""),"",IF(H505="OK",E505*F505,0))</f>
        <v/>
      </c>
      <c r="H505" s="20" t="str">
        <f aca="true">IF(AND(A505="",B505=""),"",IF(ISNA(MATCH(B505,ListaInsumos,0)),"Insumo no está en Insumos",IF(C505="","Falta cantidad",IF(IFERROR(INDEX(UnidadesBase,MATCH(D505,Unidades,0)),"")&lt;&gt;INDEX(InsBase,MATCH(B505,ListaInsumos,0)),"Unidad incompatible",IF(F505="","Insumo sin compras","OK")))))</f>
        <v/>
      </c>
      <c r="I505" s="15"/>
    </row>
    <row r="506" customFormat="false" ht="15" hidden="false" customHeight="false" outlineLevel="0" collapsed="false">
      <c r="A506" s="15"/>
      <c r="B506" s="15"/>
      <c r="C506" s="27"/>
      <c r="D506" s="15"/>
      <c r="E506" s="25" t="str">
        <f aca="true">IF(OR(C506="",D506=""),"",IFERROR(C506*INDEX(UnidadesFactor,MATCH(D506,Unidades,0)),""))</f>
        <v/>
      </c>
      <c r="F506" s="18" t="str">
        <f aca="true">IF(B506="","",IFERROR(INDEX(InsCosto,MATCH(B506,ListaInsumos,0)),""))</f>
        <v/>
      </c>
      <c r="G506" s="19" t="str">
        <f aca="false">IF(AND(A506="",B506=""),"",IF(H506="OK",E506*F506,0))</f>
        <v/>
      </c>
      <c r="H506" s="20" t="str">
        <f aca="true">IF(AND(A506="",B506=""),"",IF(ISNA(MATCH(B506,ListaInsumos,0)),"Insumo no está en Insumos",IF(C506="","Falta cantidad",IF(IFERROR(INDEX(UnidadesBase,MATCH(D506,Unidades,0)),"")&lt;&gt;INDEX(InsBase,MATCH(B506,ListaInsumos,0)),"Unidad incompatible",IF(F506="","Insumo sin compras","OK")))))</f>
        <v/>
      </c>
      <c r="I506" s="15"/>
    </row>
    <row r="507" customFormat="false" ht="15" hidden="false" customHeight="false" outlineLevel="0" collapsed="false">
      <c r="A507" s="15"/>
      <c r="B507" s="15"/>
      <c r="C507" s="27"/>
      <c r="D507" s="15"/>
      <c r="E507" s="25" t="str">
        <f aca="true">IF(OR(C507="",D507=""),"",IFERROR(C507*INDEX(UnidadesFactor,MATCH(D507,Unidades,0)),""))</f>
        <v/>
      </c>
      <c r="F507" s="18" t="str">
        <f aca="true">IF(B507="","",IFERROR(INDEX(InsCosto,MATCH(B507,ListaInsumos,0)),""))</f>
        <v/>
      </c>
      <c r="G507" s="19" t="str">
        <f aca="false">IF(AND(A507="",B507=""),"",IF(H507="OK",E507*F507,0))</f>
        <v/>
      </c>
      <c r="H507" s="20" t="str">
        <f aca="true">IF(AND(A507="",B507=""),"",IF(ISNA(MATCH(B507,ListaInsumos,0)),"Insumo no está en Insumos",IF(C507="","Falta cantidad",IF(IFERROR(INDEX(UnidadesBase,MATCH(D507,Unidades,0)),"")&lt;&gt;INDEX(InsBase,MATCH(B507,ListaInsumos,0)),"Unidad incompatible",IF(F507="","Insumo sin compras","OK")))))</f>
        <v/>
      </c>
      <c r="I507" s="15"/>
    </row>
    <row r="508" customFormat="false" ht="15" hidden="false" customHeight="false" outlineLevel="0" collapsed="false">
      <c r="A508" s="15"/>
      <c r="B508" s="15"/>
      <c r="C508" s="27"/>
      <c r="D508" s="15"/>
      <c r="E508" s="25" t="str">
        <f aca="true">IF(OR(C508="",D508=""),"",IFERROR(C508*INDEX(UnidadesFactor,MATCH(D508,Unidades,0)),""))</f>
        <v/>
      </c>
      <c r="F508" s="18" t="str">
        <f aca="true">IF(B508="","",IFERROR(INDEX(InsCosto,MATCH(B508,ListaInsumos,0)),""))</f>
        <v/>
      </c>
      <c r="G508" s="19" t="str">
        <f aca="false">IF(AND(A508="",B508=""),"",IF(H508="OK",E508*F508,0))</f>
        <v/>
      </c>
      <c r="H508" s="20" t="str">
        <f aca="true">IF(AND(A508="",B508=""),"",IF(ISNA(MATCH(B508,ListaInsumos,0)),"Insumo no está en Insumos",IF(C508="","Falta cantidad",IF(IFERROR(INDEX(UnidadesBase,MATCH(D508,Unidades,0)),"")&lt;&gt;INDEX(InsBase,MATCH(B508,ListaInsumos,0)),"Unidad incompatible",IF(F508="","Insumo sin compras","OK")))))</f>
        <v/>
      </c>
      <c r="I508" s="15"/>
    </row>
    <row r="509" customFormat="false" ht="15" hidden="false" customHeight="false" outlineLevel="0" collapsed="false">
      <c r="A509" s="15"/>
      <c r="B509" s="15"/>
      <c r="C509" s="27"/>
      <c r="D509" s="15"/>
      <c r="E509" s="25" t="str">
        <f aca="true">IF(OR(C509="",D509=""),"",IFERROR(C509*INDEX(UnidadesFactor,MATCH(D509,Unidades,0)),""))</f>
        <v/>
      </c>
      <c r="F509" s="18" t="str">
        <f aca="true">IF(B509="","",IFERROR(INDEX(InsCosto,MATCH(B509,ListaInsumos,0)),""))</f>
        <v/>
      </c>
      <c r="G509" s="19" t="str">
        <f aca="false">IF(AND(A509="",B509=""),"",IF(H509="OK",E509*F509,0))</f>
        <v/>
      </c>
      <c r="H509" s="20" t="str">
        <f aca="true">IF(AND(A509="",B509=""),"",IF(ISNA(MATCH(B509,ListaInsumos,0)),"Insumo no está en Insumos",IF(C509="","Falta cantidad",IF(IFERROR(INDEX(UnidadesBase,MATCH(D509,Unidades,0)),"")&lt;&gt;INDEX(InsBase,MATCH(B509,ListaInsumos,0)),"Unidad incompatible",IF(F509="","Insumo sin compras","OK")))))</f>
        <v/>
      </c>
      <c r="I509" s="15"/>
    </row>
    <row r="510" customFormat="false" ht="15" hidden="false" customHeight="false" outlineLevel="0" collapsed="false">
      <c r="A510" s="15"/>
      <c r="B510" s="15"/>
      <c r="C510" s="27"/>
      <c r="D510" s="15"/>
      <c r="E510" s="25" t="str">
        <f aca="true">IF(OR(C510="",D510=""),"",IFERROR(C510*INDEX(UnidadesFactor,MATCH(D510,Unidades,0)),""))</f>
        <v/>
      </c>
      <c r="F510" s="18" t="str">
        <f aca="true">IF(B510="","",IFERROR(INDEX(InsCosto,MATCH(B510,ListaInsumos,0)),""))</f>
        <v/>
      </c>
      <c r="G510" s="19" t="str">
        <f aca="false">IF(AND(A510="",B510=""),"",IF(H510="OK",E510*F510,0))</f>
        <v/>
      </c>
      <c r="H510" s="20" t="str">
        <f aca="true">IF(AND(A510="",B510=""),"",IF(ISNA(MATCH(B510,ListaInsumos,0)),"Insumo no está en Insumos",IF(C510="","Falta cantidad",IF(IFERROR(INDEX(UnidadesBase,MATCH(D510,Unidades,0)),"")&lt;&gt;INDEX(InsBase,MATCH(B510,ListaInsumos,0)),"Unidad incompatible",IF(F510="","Insumo sin compras","OK")))))</f>
        <v/>
      </c>
      <c r="I510" s="15"/>
    </row>
    <row r="511" customFormat="false" ht="15" hidden="false" customHeight="false" outlineLevel="0" collapsed="false">
      <c r="A511" s="15"/>
      <c r="B511" s="15"/>
      <c r="C511" s="27"/>
      <c r="D511" s="15"/>
      <c r="E511" s="25" t="str">
        <f aca="true">IF(OR(C511="",D511=""),"",IFERROR(C511*INDEX(UnidadesFactor,MATCH(D511,Unidades,0)),""))</f>
        <v/>
      </c>
      <c r="F511" s="18" t="str">
        <f aca="true">IF(B511="","",IFERROR(INDEX(InsCosto,MATCH(B511,ListaInsumos,0)),""))</f>
        <v/>
      </c>
      <c r="G511" s="19" t="str">
        <f aca="false">IF(AND(A511="",B511=""),"",IF(H511="OK",E511*F511,0))</f>
        <v/>
      </c>
      <c r="H511" s="20" t="str">
        <f aca="true">IF(AND(A511="",B511=""),"",IF(ISNA(MATCH(B511,ListaInsumos,0)),"Insumo no está en Insumos",IF(C511="","Falta cantidad",IF(IFERROR(INDEX(UnidadesBase,MATCH(D511,Unidades,0)),"")&lt;&gt;INDEX(InsBase,MATCH(B511,ListaInsumos,0)),"Unidad incompatible",IF(F511="","Insumo sin compras","OK")))))</f>
        <v/>
      </c>
      <c r="I511" s="15"/>
    </row>
    <row r="512" customFormat="false" ht="15" hidden="false" customHeight="false" outlineLevel="0" collapsed="false">
      <c r="A512" s="15"/>
      <c r="B512" s="15"/>
      <c r="C512" s="27"/>
      <c r="D512" s="15"/>
      <c r="E512" s="25" t="str">
        <f aca="true">IF(OR(C512="",D512=""),"",IFERROR(C512*INDEX(UnidadesFactor,MATCH(D512,Unidades,0)),""))</f>
        <v/>
      </c>
      <c r="F512" s="18" t="str">
        <f aca="true">IF(B512="","",IFERROR(INDEX(InsCosto,MATCH(B512,ListaInsumos,0)),""))</f>
        <v/>
      </c>
      <c r="G512" s="19" t="str">
        <f aca="false">IF(AND(A512="",B512=""),"",IF(H512="OK",E512*F512,0))</f>
        <v/>
      </c>
      <c r="H512" s="20" t="str">
        <f aca="true">IF(AND(A512="",B512=""),"",IF(ISNA(MATCH(B512,ListaInsumos,0)),"Insumo no está en Insumos",IF(C512="","Falta cantidad",IF(IFERROR(INDEX(UnidadesBase,MATCH(D512,Unidades,0)),"")&lt;&gt;INDEX(InsBase,MATCH(B512,ListaInsumos,0)),"Unidad incompatible",IF(F512="","Insumo sin compras","OK")))))</f>
        <v/>
      </c>
      <c r="I512" s="15"/>
    </row>
    <row r="513" customFormat="false" ht="15" hidden="false" customHeight="false" outlineLevel="0" collapsed="false">
      <c r="A513" s="15"/>
      <c r="B513" s="15"/>
      <c r="C513" s="27"/>
      <c r="D513" s="15"/>
      <c r="E513" s="25" t="str">
        <f aca="true">IF(OR(C513="",D513=""),"",IFERROR(C513*INDEX(UnidadesFactor,MATCH(D513,Unidades,0)),""))</f>
        <v/>
      </c>
      <c r="F513" s="18" t="str">
        <f aca="true">IF(B513="","",IFERROR(INDEX(InsCosto,MATCH(B513,ListaInsumos,0)),""))</f>
        <v/>
      </c>
      <c r="G513" s="19" t="str">
        <f aca="false">IF(AND(A513="",B513=""),"",IF(H513="OK",E513*F513,0))</f>
        <v/>
      </c>
      <c r="H513" s="20" t="str">
        <f aca="true">IF(AND(A513="",B513=""),"",IF(ISNA(MATCH(B513,ListaInsumos,0)),"Insumo no está en Insumos",IF(C513="","Falta cantidad",IF(IFERROR(INDEX(UnidadesBase,MATCH(D513,Unidades,0)),"")&lt;&gt;INDEX(InsBase,MATCH(B513,ListaInsumos,0)),"Unidad incompatible",IF(F513="","Insumo sin compras","OK")))))</f>
        <v/>
      </c>
      <c r="I513" s="15"/>
    </row>
    <row r="514" customFormat="false" ht="15" hidden="false" customHeight="false" outlineLevel="0" collapsed="false">
      <c r="A514" s="15"/>
      <c r="B514" s="15"/>
      <c r="C514" s="27"/>
      <c r="D514" s="15"/>
      <c r="E514" s="25" t="str">
        <f aca="true">IF(OR(C514="",D514=""),"",IFERROR(C514*INDEX(UnidadesFactor,MATCH(D514,Unidades,0)),""))</f>
        <v/>
      </c>
      <c r="F514" s="18" t="str">
        <f aca="true">IF(B514="","",IFERROR(INDEX(InsCosto,MATCH(B514,ListaInsumos,0)),""))</f>
        <v/>
      </c>
      <c r="G514" s="19" t="str">
        <f aca="false">IF(AND(A514="",B514=""),"",IF(H514="OK",E514*F514,0))</f>
        <v/>
      </c>
      <c r="H514" s="20" t="str">
        <f aca="true">IF(AND(A514="",B514=""),"",IF(ISNA(MATCH(B514,ListaInsumos,0)),"Insumo no está en Insumos",IF(C514="","Falta cantidad",IF(IFERROR(INDEX(UnidadesBase,MATCH(D514,Unidades,0)),"")&lt;&gt;INDEX(InsBase,MATCH(B514,ListaInsumos,0)),"Unidad incompatible",IF(F514="","Insumo sin compras","OK")))))</f>
        <v/>
      </c>
      <c r="I514" s="15"/>
    </row>
    <row r="515" customFormat="false" ht="15" hidden="false" customHeight="false" outlineLevel="0" collapsed="false">
      <c r="A515" s="15"/>
      <c r="B515" s="15"/>
      <c r="C515" s="27"/>
      <c r="D515" s="15"/>
      <c r="E515" s="25" t="str">
        <f aca="true">IF(OR(C515="",D515=""),"",IFERROR(C515*INDEX(UnidadesFactor,MATCH(D515,Unidades,0)),""))</f>
        <v/>
      </c>
      <c r="F515" s="18" t="str">
        <f aca="true">IF(B515="","",IFERROR(INDEX(InsCosto,MATCH(B515,ListaInsumos,0)),""))</f>
        <v/>
      </c>
      <c r="G515" s="19" t="str">
        <f aca="false">IF(AND(A515="",B515=""),"",IF(H515="OK",E515*F515,0))</f>
        <v/>
      </c>
      <c r="H515" s="20" t="str">
        <f aca="true">IF(AND(A515="",B515=""),"",IF(ISNA(MATCH(B515,ListaInsumos,0)),"Insumo no está en Insumos",IF(C515="","Falta cantidad",IF(IFERROR(INDEX(UnidadesBase,MATCH(D515,Unidades,0)),"")&lt;&gt;INDEX(InsBase,MATCH(B515,ListaInsumos,0)),"Unidad incompatible",IF(F515="","Insumo sin compras","OK")))))</f>
        <v/>
      </c>
      <c r="I515" s="15"/>
    </row>
    <row r="516" customFormat="false" ht="15" hidden="false" customHeight="false" outlineLevel="0" collapsed="false">
      <c r="A516" s="15"/>
      <c r="B516" s="15"/>
      <c r="C516" s="27"/>
      <c r="D516" s="15"/>
      <c r="E516" s="25" t="str">
        <f aca="true">IF(OR(C516="",D516=""),"",IFERROR(C516*INDEX(UnidadesFactor,MATCH(D516,Unidades,0)),""))</f>
        <v/>
      </c>
      <c r="F516" s="18" t="str">
        <f aca="true">IF(B516="","",IFERROR(INDEX(InsCosto,MATCH(B516,ListaInsumos,0)),""))</f>
        <v/>
      </c>
      <c r="G516" s="19" t="str">
        <f aca="false">IF(AND(A516="",B516=""),"",IF(H516="OK",E516*F516,0))</f>
        <v/>
      </c>
      <c r="H516" s="20" t="str">
        <f aca="true">IF(AND(A516="",B516=""),"",IF(ISNA(MATCH(B516,ListaInsumos,0)),"Insumo no está en Insumos",IF(C516="","Falta cantidad",IF(IFERROR(INDEX(UnidadesBase,MATCH(D516,Unidades,0)),"")&lt;&gt;INDEX(InsBase,MATCH(B516,ListaInsumos,0)),"Unidad incompatible",IF(F516="","Insumo sin compras","OK")))))</f>
        <v/>
      </c>
      <c r="I516" s="15"/>
    </row>
    <row r="517" customFormat="false" ht="15" hidden="false" customHeight="false" outlineLevel="0" collapsed="false">
      <c r="A517" s="15"/>
      <c r="B517" s="15"/>
      <c r="C517" s="27"/>
      <c r="D517" s="15"/>
      <c r="E517" s="25" t="str">
        <f aca="true">IF(OR(C517="",D517=""),"",IFERROR(C517*INDEX(UnidadesFactor,MATCH(D517,Unidades,0)),""))</f>
        <v/>
      </c>
      <c r="F517" s="18" t="str">
        <f aca="true">IF(B517="","",IFERROR(INDEX(InsCosto,MATCH(B517,ListaInsumos,0)),""))</f>
        <v/>
      </c>
      <c r="G517" s="19" t="str">
        <f aca="false">IF(AND(A517="",B517=""),"",IF(H517="OK",E517*F517,0))</f>
        <v/>
      </c>
      <c r="H517" s="20" t="str">
        <f aca="true">IF(AND(A517="",B517=""),"",IF(ISNA(MATCH(B517,ListaInsumos,0)),"Insumo no está en Insumos",IF(C517="","Falta cantidad",IF(IFERROR(INDEX(UnidadesBase,MATCH(D517,Unidades,0)),"")&lt;&gt;INDEX(InsBase,MATCH(B517,ListaInsumos,0)),"Unidad incompatible",IF(F517="","Insumo sin compras","OK")))))</f>
        <v/>
      </c>
      <c r="I517" s="15"/>
    </row>
    <row r="518" customFormat="false" ht="15" hidden="false" customHeight="false" outlineLevel="0" collapsed="false">
      <c r="A518" s="15"/>
      <c r="B518" s="15"/>
      <c r="C518" s="27"/>
      <c r="D518" s="15"/>
      <c r="E518" s="25" t="str">
        <f aca="true">IF(OR(C518="",D518=""),"",IFERROR(C518*INDEX(UnidadesFactor,MATCH(D518,Unidades,0)),""))</f>
        <v/>
      </c>
      <c r="F518" s="18" t="str">
        <f aca="true">IF(B518="","",IFERROR(INDEX(InsCosto,MATCH(B518,ListaInsumos,0)),""))</f>
        <v/>
      </c>
      <c r="G518" s="19" t="str">
        <f aca="false">IF(AND(A518="",B518=""),"",IF(H518="OK",E518*F518,0))</f>
        <v/>
      </c>
      <c r="H518" s="20" t="str">
        <f aca="true">IF(AND(A518="",B518=""),"",IF(ISNA(MATCH(B518,ListaInsumos,0)),"Insumo no está en Insumos",IF(C518="","Falta cantidad",IF(IFERROR(INDEX(UnidadesBase,MATCH(D518,Unidades,0)),"")&lt;&gt;INDEX(InsBase,MATCH(B518,ListaInsumos,0)),"Unidad incompatible",IF(F518="","Insumo sin compras","OK")))))</f>
        <v/>
      </c>
      <c r="I518" s="15"/>
    </row>
    <row r="519" customFormat="false" ht="15" hidden="false" customHeight="false" outlineLevel="0" collapsed="false">
      <c r="A519" s="15"/>
      <c r="B519" s="15"/>
      <c r="C519" s="27"/>
      <c r="D519" s="15"/>
      <c r="E519" s="25" t="str">
        <f aca="true">IF(OR(C519="",D519=""),"",IFERROR(C519*INDEX(UnidadesFactor,MATCH(D519,Unidades,0)),""))</f>
        <v/>
      </c>
      <c r="F519" s="18" t="str">
        <f aca="true">IF(B519="","",IFERROR(INDEX(InsCosto,MATCH(B519,ListaInsumos,0)),""))</f>
        <v/>
      </c>
      <c r="G519" s="19" t="str">
        <f aca="false">IF(AND(A519="",B519=""),"",IF(H519="OK",E519*F519,0))</f>
        <v/>
      </c>
      <c r="H519" s="20" t="str">
        <f aca="true">IF(AND(A519="",B519=""),"",IF(ISNA(MATCH(B519,ListaInsumos,0)),"Insumo no está en Insumos",IF(C519="","Falta cantidad",IF(IFERROR(INDEX(UnidadesBase,MATCH(D519,Unidades,0)),"")&lt;&gt;INDEX(InsBase,MATCH(B519,ListaInsumos,0)),"Unidad incompatible",IF(F519="","Insumo sin compras","OK")))))</f>
        <v/>
      </c>
      <c r="I519" s="15"/>
    </row>
    <row r="520" customFormat="false" ht="15" hidden="false" customHeight="false" outlineLevel="0" collapsed="false">
      <c r="A520" s="15"/>
      <c r="B520" s="15"/>
      <c r="C520" s="27"/>
      <c r="D520" s="15"/>
      <c r="E520" s="25" t="str">
        <f aca="true">IF(OR(C520="",D520=""),"",IFERROR(C520*INDEX(UnidadesFactor,MATCH(D520,Unidades,0)),""))</f>
        <v/>
      </c>
      <c r="F520" s="18" t="str">
        <f aca="true">IF(B520="","",IFERROR(INDEX(InsCosto,MATCH(B520,ListaInsumos,0)),""))</f>
        <v/>
      </c>
      <c r="G520" s="19" t="str">
        <f aca="false">IF(AND(A520="",B520=""),"",IF(H520="OK",E520*F520,0))</f>
        <v/>
      </c>
      <c r="H520" s="20" t="str">
        <f aca="true">IF(AND(A520="",B520=""),"",IF(ISNA(MATCH(B520,ListaInsumos,0)),"Insumo no está en Insumos",IF(C520="","Falta cantidad",IF(IFERROR(INDEX(UnidadesBase,MATCH(D520,Unidades,0)),"")&lt;&gt;INDEX(InsBase,MATCH(B520,ListaInsumos,0)),"Unidad incompatible",IF(F520="","Insumo sin compras","OK")))))</f>
        <v/>
      </c>
      <c r="I520" s="15"/>
    </row>
    <row r="521" customFormat="false" ht="15" hidden="false" customHeight="false" outlineLevel="0" collapsed="false">
      <c r="A521" s="15"/>
      <c r="B521" s="15"/>
      <c r="C521" s="27"/>
      <c r="D521" s="15"/>
      <c r="E521" s="25" t="str">
        <f aca="true">IF(OR(C521="",D521=""),"",IFERROR(C521*INDEX(UnidadesFactor,MATCH(D521,Unidades,0)),""))</f>
        <v/>
      </c>
      <c r="F521" s="18" t="str">
        <f aca="true">IF(B521="","",IFERROR(INDEX(InsCosto,MATCH(B521,ListaInsumos,0)),""))</f>
        <v/>
      </c>
      <c r="G521" s="19" t="str">
        <f aca="false">IF(AND(A521="",B521=""),"",IF(H521="OK",E521*F521,0))</f>
        <v/>
      </c>
      <c r="H521" s="20" t="str">
        <f aca="true">IF(AND(A521="",B521=""),"",IF(ISNA(MATCH(B521,ListaInsumos,0)),"Insumo no está en Insumos",IF(C521="","Falta cantidad",IF(IFERROR(INDEX(UnidadesBase,MATCH(D521,Unidades,0)),"")&lt;&gt;INDEX(InsBase,MATCH(B521,ListaInsumos,0)),"Unidad incompatible",IF(F521="","Insumo sin compras","OK")))))</f>
        <v/>
      </c>
      <c r="I521" s="15"/>
    </row>
    <row r="522" customFormat="false" ht="15" hidden="false" customHeight="false" outlineLevel="0" collapsed="false">
      <c r="A522" s="15"/>
      <c r="B522" s="15"/>
      <c r="C522" s="27"/>
      <c r="D522" s="15"/>
      <c r="E522" s="25" t="str">
        <f aca="true">IF(OR(C522="",D522=""),"",IFERROR(C522*INDEX(UnidadesFactor,MATCH(D522,Unidades,0)),""))</f>
        <v/>
      </c>
      <c r="F522" s="18" t="str">
        <f aca="true">IF(B522="","",IFERROR(INDEX(InsCosto,MATCH(B522,ListaInsumos,0)),""))</f>
        <v/>
      </c>
      <c r="G522" s="19" t="str">
        <f aca="false">IF(AND(A522="",B522=""),"",IF(H522="OK",E522*F522,0))</f>
        <v/>
      </c>
      <c r="H522" s="20" t="str">
        <f aca="true">IF(AND(A522="",B522=""),"",IF(ISNA(MATCH(B522,ListaInsumos,0)),"Insumo no está en Insumos",IF(C522="","Falta cantidad",IF(IFERROR(INDEX(UnidadesBase,MATCH(D522,Unidades,0)),"")&lt;&gt;INDEX(InsBase,MATCH(B522,ListaInsumos,0)),"Unidad incompatible",IF(F522="","Insumo sin compras","OK")))))</f>
        <v/>
      </c>
      <c r="I522" s="15"/>
    </row>
    <row r="523" customFormat="false" ht="15" hidden="false" customHeight="false" outlineLevel="0" collapsed="false">
      <c r="A523" s="15"/>
      <c r="B523" s="15"/>
      <c r="C523" s="27"/>
      <c r="D523" s="15"/>
      <c r="E523" s="25" t="str">
        <f aca="true">IF(OR(C523="",D523=""),"",IFERROR(C523*INDEX(UnidadesFactor,MATCH(D523,Unidades,0)),""))</f>
        <v/>
      </c>
      <c r="F523" s="18" t="str">
        <f aca="true">IF(B523="","",IFERROR(INDEX(InsCosto,MATCH(B523,ListaInsumos,0)),""))</f>
        <v/>
      </c>
      <c r="G523" s="19" t="str">
        <f aca="false">IF(AND(A523="",B523=""),"",IF(H523="OK",E523*F523,0))</f>
        <v/>
      </c>
      <c r="H523" s="20" t="str">
        <f aca="true">IF(AND(A523="",B523=""),"",IF(ISNA(MATCH(B523,ListaInsumos,0)),"Insumo no está en Insumos",IF(C523="","Falta cantidad",IF(IFERROR(INDEX(UnidadesBase,MATCH(D523,Unidades,0)),"")&lt;&gt;INDEX(InsBase,MATCH(B523,ListaInsumos,0)),"Unidad incompatible",IF(F523="","Insumo sin compras","OK")))))</f>
        <v/>
      </c>
      <c r="I523" s="15"/>
    </row>
    <row r="524" customFormat="false" ht="15" hidden="false" customHeight="false" outlineLevel="0" collapsed="false">
      <c r="A524" s="15"/>
      <c r="B524" s="15"/>
      <c r="C524" s="27"/>
      <c r="D524" s="15"/>
      <c r="E524" s="25" t="str">
        <f aca="true">IF(OR(C524="",D524=""),"",IFERROR(C524*INDEX(UnidadesFactor,MATCH(D524,Unidades,0)),""))</f>
        <v/>
      </c>
      <c r="F524" s="18" t="str">
        <f aca="true">IF(B524="","",IFERROR(INDEX(InsCosto,MATCH(B524,ListaInsumos,0)),""))</f>
        <v/>
      </c>
      <c r="G524" s="19" t="str">
        <f aca="false">IF(AND(A524="",B524=""),"",IF(H524="OK",E524*F524,0))</f>
        <v/>
      </c>
      <c r="H524" s="20" t="str">
        <f aca="true">IF(AND(A524="",B524=""),"",IF(ISNA(MATCH(B524,ListaInsumos,0)),"Insumo no está en Insumos",IF(C524="","Falta cantidad",IF(IFERROR(INDEX(UnidadesBase,MATCH(D524,Unidades,0)),"")&lt;&gt;INDEX(InsBase,MATCH(B524,ListaInsumos,0)),"Unidad incompatible",IF(F524="","Insumo sin compras","OK")))))</f>
        <v/>
      </c>
      <c r="I524" s="15"/>
    </row>
    <row r="525" customFormat="false" ht="15" hidden="false" customHeight="false" outlineLevel="0" collapsed="false">
      <c r="A525" s="15"/>
      <c r="B525" s="15"/>
      <c r="C525" s="27"/>
      <c r="D525" s="15"/>
      <c r="E525" s="25" t="str">
        <f aca="true">IF(OR(C525="",D525=""),"",IFERROR(C525*INDEX(UnidadesFactor,MATCH(D525,Unidades,0)),""))</f>
        <v/>
      </c>
      <c r="F525" s="18" t="str">
        <f aca="true">IF(B525="","",IFERROR(INDEX(InsCosto,MATCH(B525,ListaInsumos,0)),""))</f>
        <v/>
      </c>
      <c r="G525" s="19" t="str">
        <f aca="false">IF(AND(A525="",B525=""),"",IF(H525="OK",E525*F525,0))</f>
        <v/>
      </c>
      <c r="H525" s="20" t="str">
        <f aca="true">IF(AND(A525="",B525=""),"",IF(ISNA(MATCH(B525,ListaInsumos,0)),"Insumo no está en Insumos",IF(C525="","Falta cantidad",IF(IFERROR(INDEX(UnidadesBase,MATCH(D525,Unidades,0)),"")&lt;&gt;INDEX(InsBase,MATCH(B525,ListaInsumos,0)),"Unidad incompatible",IF(F525="","Insumo sin compras","OK")))))</f>
        <v/>
      </c>
      <c r="I525" s="15"/>
    </row>
    <row r="526" customFormat="false" ht="15" hidden="false" customHeight="false" outlineLevel="0" collapsed="false">
      <c r="A526" s="15"/>
      <c r="B526" s="15"/>
      <c r="C526" s="27"/>
      <c r="D526" s="15"/>
      <c r="E526" s="25" t="str">
        <f aca="true">IF(OR(C526="",D526=""),"",IFERROR(C526*INDEX(UnidadesFactor,MATCH(D526,Unidades,0)),""))</f>
        <v/>
      </c>
      <c r="F526" s="18" t="str">
        <f aca="true">IF(B526="","",IFERROR(INDEX(InsCosto,MATCH(B526,ListaInsumos,0)),""))</f>
        <v/>
      </c>
      <c r="G526" s="19" t="str">
        <f aca="false">IF(AND(A526="",B526=""),"",IF(H526="OK",E526*F526,0))</f>
        <v/>
      </c>
      <c r="H526" s="20" t="str">
        <f aca="true">IF(AND(A526="",B526=""),"",IF(ISNA(MATCH(B526,ListaInsumos,0)),"Insumo no está en Insumos",IF(C526="","Falta cantidad",IF(IFERROR(INDEX(UnidadesBase,MATCH(D526,Unidades,0)),"")&lt;&gt;INDEX(InsBase,MATCH(B526,ListaInsumos,0)),"Unidad incompatible",IF(F526="","Insumo sin compras","OK")))))</f>
        <v/>
      </c>
      <c r="I526" s="15"/>
    </row>
    <row r="527" customFormat="false" ht="15" hidden="false" customHeight="false" outlineLevel="0" collapsed="false">
      <c r="A527" s="15"/>
      <c r="B527" s="15"/>
      <c r="C527" s="27"/>
      <c r="D527" s="15"/>
      <c r="E527" s="25" t="str">
        <f aca="true">IF(OR(C527="",D527=""),"",IFERROR(C527*INDEX(UnidadesFactor,MATCH(D527,Unidades,0)),""))</f>
        <v/>
      </c>
      <c r="F527" s="18" t="str">
        <f aca="true">IF(B527="","",IFERROR(INDEX(InsCosto,MATCH(B527,ListaInsumos,0)),""))</f>
        <v/>
      </c>
      <c r="G527" s="19" t="str">
        <f aca="false">IF(AND(A527="",B527=""),"",IF(H527="OK",E527*F527,0))</f>
        <v/>
      </c>
      <c r="H527" s="20" t="str">
        <f aca="true">IF(AND(A527="",B527=""),"",IF(ISNA(MATCH(B527,ListaInsumos,0)),"Insumo no está en Insumos",IF(C527="","Falta cantidad",IF(IFERROR(INDEX(UnidadesBase,MATCH(D527,Unidades,0)),"")&lt;&gt;INDEX(InsBase,MATCH(B527,ListaInsumos,0)),"Unidad incompatible",IF(F527="","Insumo sin compras","OK")))))</f>
        <v/>
      </c>
      <c r="I527" s="15"/>
    </row>
    <row r="528" customFormat="false" ht="15" hidden="false" customHeight="false" outlineLevel="0" collapsed="false">
      <c r="A528" s="15"/>
      <c r="B528" s="15"/>
      <c r="C528" s="27"/>
      <c r="D528" s="15"/>
      <c r="E528" s="25" t="str">
        <f aca="true">IF(OR(C528="",D528=""),"",IFERROR(C528*INDEX(UnidadesFactor,MATCH(D528,Unidades,0)),""))</f>
        <v/>
      </c>
      <c r="F528" s="18" t="str">
        <f aca="true">IF(B528="","",IFERROR(INDEX(InsCosto,MATCH(B528,ListaInsumos,0)),""))</f>
        <v/>
      </c>
      <c r="G528" s="19" t="str">
        <f aca="false">IF(AND(A528="",B528=""),"",IF(H528="OK",E528*F528,0))</f>
        <v/>
      </c>
      <c r="H528" s="20" t="str">
        <f aca="true">IF(AND(A528="",B528=""),"",IF(ISNA(MATCH(B528,ListaInsumos,0)),"Insumo no está en Insumos",IF(C528="","Falta cantidad",IF(IFERROR(INDEX(UnidadesBase,MATCH(D528,Unidades,0)),"")&lt;&gt;INDEX(InsBase,MATCH(B528,ListaInsumos,0)),"Unidad incompatible",IF(F528="","Insumo sin compras","OK")))))</f>
        <v/>
      </c>
      <c r="I528" s="15"/>
    </row>
    <row r="529" customFormat="false" ht="15" hidden="false" customHeight="false" outlineLevel="0" collapsed="false">
      <c r="A529" s="15"/>
      <c r="B529" s="15"/>
      <c r="C529" s="27"/>
      <c r="D529" s="15"/>
      <c r="E529" s="25" t="str">
        <f aca="true">IF(OR(C529="",D529=""),"",IFERROR(C529*INDEX(UnidadesFactor,MATCH(D529,Unidades,0)),""))</f>
        <v/>
      </c>
      <c r="F529" s="18" t="str">
        <f aca="true">IF(B529="","",IFERROR(INDEX(InsCosto,MATCH(B529,ListaInsumos,0)),""))</f>
        <v/>
      </c>
      <c r="G529" s="19" t="str">
        <f aca="false">IF(AND(A529="",B529=""),"",IF(H529="OK",E529*F529,0))</f>
        <v/>
      </c>
      <c r="H529" s="20" t="str">
        <f aca="true">IF(AND(A529="",B529=""),"",IF(ISNA(MATCH(B529,ListaInsumos,0)),"Insumo no está en Insumos",IF(C529="","Falta cantidad",IF(IFERROR(INDEX(UnidadesBase,MATCH(D529,Unidades,0)),"")&lt;&gt;INDEX(InsBase,MATCH(B529,ListaInsumos,0)),"Unidad incompatible",IF(F529="","Insumo sin compras","OK")))))</f>
        <v/>
      </c>
      <c r="I529" s="15"/>
    </row>
    <row r="530" customFormat="false" ht="15" hidden="false" customHeight="false" outlineLevel="0" collapsed="false">
      <c r="A530" s="15"/>
      <c r="B530" s="15"/>
      <c r="C530" s="27"/>
      <c r="D530" s="15"/>
      <c r="E530" s="25" t="str">
        <f aca="true">IF(OR(C530="",D530=""),"",IFERROR(C530*INDEX(UnidadesFactor,MATCH(D530,Unidades,0)),""))</f>
        <v/>
      </c>
      <c r="F530" s="18" t="str">
        <f aca="true">IF(B530="","",IFERROR(INDEX(InsCosto,MATCH(B530,ListaInsumos,0)),""))</f>
        <v/>
      </c>
      <c r="G530" s="19" t="str">
        <f aca="false">IF(AND(A530="",B530=""),"",IF(H530="OK",E530*F530,0))</f>
        <v/>
      </c>
      <c r="H530" s="20" t="str">
        <f aca="true">IF(AND(A530="",B530=""),"",IF(ISNA(MATCH(B530,ListaInsumos,0)),"Insumo no está en Insumos",IF(C530="","Falta cantidad",IF(IFERROR(INDEX(UnidadesBase,MATCH(D530,Unidades,0)),"")&lt;&gt;INDEX(InsBase,MATCH(B530,ListaInsumos,0)),"Unidad incompatible",IF(F530="","Insumo sin compras","OK")))))</f>
        <v/>
      </c>
      <c r="I530" s="15"/>
    </row>
    <row r="531" customFormat="false" ht="15" hidden="false" customHeight="false" outlineLevel="0" collapsed="false">
      <c r="A531" s="15"/>
      <c r="B531" s="15"/>
      <c r="C531" s="27"/>
      <c r="D531" s="15"/>
      <c r="E531" s="25" t="str">
        <f aca="true">IF(OR(C531="",D531=""),"",IFERROR(C531*INDEX(UnidadesFactor,MATCH(D531,Unidades,0)),""))</f>
        <v/>
      </c>
      <c r="F531" s="18" t="str">
        <f aca="true">IF(B531="","",IFERROR(INDEX(InsCosto,MATCH(B531,ListaInsumos,0)),""))</f>
        <v/>
      </c>
      <c r="G531" s="19" t="str">
        <f aca="false">IF(AND(A531="",B531=""),"",IF(H531="OK",E531*F531,0))</f>
        <v/>
      </c>
      <c r="H531" s="20" t="str">
        <f aca="true">IF(AND(A531="",B531=""),"",IF(ISNA(MATCH(B531,ListaInsumos,0)),"Insumo no está en Insumos",IF(C531="","Falta cantidad",IF(IFERROR(INDEX(UnidadesBase,MATCH(D531,Unidades,0)),"")&lt;&gt;INDEX(InsBase,MATCH(B531,ListaInsumos,0)),"Unidad incompatible",IF(F531="","Insumo sin compras","OK")))))</f>
        <v/>
      </c>
      <c r="I531" s="15"/>
    </row>
    <row r="532" customFormat="false" ht="15" hidden="false" customHeight="false" outlineLevel="0" collapsed="false">
      <c r="A532" s="15"/>
      <c r="B532" s="15"/>
      <c r="C532" s="27"/>
      <c r="D532" s="15"/>
      <c r="E532" s="25" t="str">
        <f aca="true">IF(OR(C532="",D532=""),"",IFERROR(C532*INDEX(UnidadesFactor,MATCH(D532,Unidades,0)),""))</f>
        <v/>
      </c>
      <c r="F532" s="18" t="str">
        <f aca="true">IF(B532="","",IFERROR(INDEX(InsCosto,MATCH(B532,ListaInsumos,0)),""))</f>
        <v/>
      </c>
      <c r="G532" s="19" t="str">
        <f aca="false">IF(AND(A532="",B532=""),"",IF(H532="OK",E532*F532,0))</f>
        <v/>
      </c>
      <c r="H532" s="20" t="str">
        <f aca="true">IF(AND(A532="",B532=""),"",IF(ISNA(MATCH(B532,ListaInsumos,0)),"Insumo no está en Insumos",IF(C532="","Falta cantidad",IF(IFERROR(INDEX(UnidadesBase,MATCH(D532,Unidades,0)),"")&lt;&gt;INDEX(InsBase,MATCH(B532,ListaInsumos,0)),"Unidad incompatible",IF(F532="","Insumo sin compras","OK")))))</f>
        <v/>
      </c>
      <c r="I532" s="15"/>
    </row>
    <row r="533" customFormat="false" ht="15" hidden="false" customHeight="false" outlineLevel="0" collapsed="false">
      <c r="A533" s="15"/>
      <c r="B533" s="15"/>
      <c r="C533" s="27"/>
      <c r="D533" s="15"/>
      <c r="E533" s="25" t="str">
        <f aca="true">IF(OR(C533="",D533=""),"",IFERROR(C533*INDEX(UnidadesFactor,MATCH(D533,Unidades,0)),""))</f>
        <v/>
      </c>
      <c r="F533" s="18" t="str">
        <f aca="true">IF(B533="","",IFERROR(INDEX(InsCosto,MATCH(B533,ListaInsumos,0)),""))</f>
        <v/>
      </c>
      <c r="G533" s="19" t="str">
        <f aca="false">IF(AND(A533="",B533=""),"",IF(H533="OK",E533*F533,0))</f>
        <v/>
      </c>
      <c r="H533" s="20" t="str">
        <f aca="true">IF(AND(A533="",B533=""),"",IF(ISNA(MATCH(B533,ListaInsumos,0)),"Insumo no está en Insumos",IF(C533="","Falta cantidad",IF(IFERROR(INDEX(UnidadesBase,MATCH(D533,Unidades,0)),"")&lt;&gt;INDEX(InsBase,MATCH(B533,ListaInsumos,0)),"Unidad incompatible",IF(F533="","Insumo sin compras","OK")))))</f>
        <v/>
      </c>
      <c r="I533" s="15"/>
    </row>
    <row r="534" customFormat="false" ht="15" hidden="false" customHeight="false" outlineLevel="0" collapsed="false">
      <c r="A534" s="15"/>
      <c r="B534" s="15"/>
      <c r="C534" s="27"/>
      <c r="D534" s="15"/>
      <c r="E534" s="25" t="str">
        <f aca="true">IF(OR(C534="",D534=""),"",IFERROR(C534*INDEX(UnidadesFactor,MATCH(D534,Unidades,0)),""))</f>
        <v/>
      </c>
      <c r="F534" s="18" t="str">
        <f aca="true">IF(B534="","",IFERROR(INDEX(InsCosto,MATCH(B534,ListaInsumos,0)),""))</f>
        <v/>
      </c>
      <c r="G534" s="19" t="str">
        <f aca="false">IF(AND(A534="",B534=""),"",IF(H534="OK",E534*F534,0))</f>
        <v/>
      </c>
      <c r="H534" s="20" t="str">
        <f aca="true">IF(AND(A534="",B534=""),"",IF(ISNA(MATCH(B534,ListaInsumos,0)),"Insumo no está en Insumos",IF(C534="","Falta cantidad",IF(IFERROR(INDEX(UnidadesBase,MATCH(D534,Unidades,0)),"")&lt;&gt;INDEX(InsBase,MATCH(B534,ListaInsumos,0)),"Unidad incompatible",IF(F534="","Insumo sin compras","OK")))))</f>
        <v/>
      </c>
      <c r="I534" s="15"/>
    </row>
    <row r="535" customFormat="false" ht="15" hidden="false" customHeight="false" outlineLevel="0" collapsed="false">
      <c r="A535" s="15"/>
      <c r="B535" s="15"/>
      <c r="C535" s="27"/>
      <c r="D535" s="15"/>
      <c r="E535" s="25" t="str">
        <f aca="true">IF(OR(C535="",D535=""),"",IFERROR(C535*INDEX(UnidadesFactor,MATCH(D535,Unidades,0)),""))</f>
        <v/>
      </c>
      <c r="F535" s="18" t="str">
        <f aca="true">IF(B535="","",IFERROR(INDEX(InsCosto,MATCH(B535,ListaInsumos,0)),""))</f>
        <v/>
      </c>
      <c r="G535" s="19" t="str">
        <f aca="false">IF(AND(A535="",B535=""),"",IF(H535="OK",E535*F535,0))</f>
        <v/>
      </c>
      <c r="H535" s="20" t="str">
        <f aca="true">IF(AND(A535="",B535=""),"",IF(ISNA(MATCH(B535,ListaInsumos,0)),"Insumo no está en Insumos",IF(C535="","Falta cantidad",IF(IFERROR(INDEX(UnidadesBase,MATCH(D535,Unidades,0)),"")&lt;&gt;INDEX(InsBase,MATCH(B535,ListaInsumos,0)),"Unidad incompatible",IF(F535="","Insumo sin compras","OK")))))</f>
        <v/>
      </c>
      <c r="I535" s="15"/>
    </row>
    <row r="536" customFormat="false" ht="15" hidden="false" customHeight="false" outlineLevel="0" collapsed="false">
      <c r="A536" s="15"/>
      <c r="B536" s="15"/>
      <c r="C536" s="27"/>
      <c r="D536" s="15"/>
      <c r="E536" s="25" t="str">
        <f aca="true">IF(OR(C536="",D536=""),"",IFERROR(C536*INDEX(UnidadesFactor,MATCH(D536,Unidades,0)),""))</f>
        <v/>
      </c>
      <c r="F536" s="18" t="str">
        <f aca="true">IF(B536="","",IFERROR(INDEX(InsCosto,MATCH(B536,ListaInsumos,0)),""))</f>
        <v/>
      </c>
      <c r="G536" s="19" t="str">
        <f aca="false">IF(AND(A536="",B536=""),"",IF(H536="OK",E536*F536,0))</f>
        <v/>
      </c>
      <c r="H536" s="20" t="str">
        <f aca="true">IF(AND(A536="",B536=""),"",IF(ISNA(MATCH(B536,ListaInsumos,0)),"Insumo no está en Insumos",IF(C536="","Falta cantidad",IF(IFERROR(INDEX(UnidadesBase,MATCH(D536,Unidades,0)),"")&lt;&gt;INDEX(InsBase,MATCH(B536,ListaInsumos,0)),"Unidad incompatible",IF(F536="","Insumo sin compras","OK")))))</f>
        <v/>
      </c>
      <c r="I536" s="15"/>
    </row>
    <row r="537" customFormat="false" ht="15" hidden="false" customHeight="false" outlineLevel="0" collapsed="false">
      <c r="A537" s="15"/>
      <c r="B537" s="15"/>
      <c r="C537" s="27"/>
      <c r="D537" s="15"/>
      <c r="E537" s="25" t="str">
        <f aca="true">IF(OR(C537="",D537=""),"",IFERROR(C537*INDEX(UnidadesFactor,MATCH(D537,Unidades,0)),""))</f>
        <v/>
      </c>
      <c r="F537" s="18" t="str">
        <f aca="true">IF(B537="","",IFERROR(INDEX(InsCosto,MATCH(B537,ListaInsumos,0)),""))</f>
        <v/>
      </c>
      <c r="G537" s="19" t="str">
        <f aca="false">IF(AND(A537="",B537=""),"",IF(H537="OK",E537*F537,0))</f>
        <v/>
      </c>
      <c r="H537" s="20" t="str">
        <f aca="true">IF(AND(A537="",B537=""),"",IF(ISNA(MATCH(B537,ListaInsumos,0)),"Insumo no está en Insumos",IF(C537="","Falta cantidad",IF(IFERROR(INDEX(UnidadesBase,MATCH(D537,Unidades,0)),"")&lt;&gt;INDEX(InsBase,MATCH(B537,ListaInsumos,0)),"Unidad incompatible",IF(F537="","Insumo sin compras","OK")))))</f>
        <v/>
      </c>
      <c r="I537" s="15"/>
    </row>
    <row r="538" customFormat="false" ht="15" hidden="false" customHeight="false" outlineLevel="0" collapsed="false">
      <c r="A538" s="15"/>
      <c r="B538" s="15"/>
      <c r="C538" s="27"/>
      <c r="D538" s="15"/>
      <c r="E538" s="25" t="str">
        <f aca="true">IF(OR(C538="",D538=""),"",IFERROR(C538*INDEX(UnidadesFactor,MATCH(D538,Unidades,0)),""))</f>
        <v/>
      </c>
      <c r="F538" s="18" t="str">
        <f aca="true">IF(B538="","",IFERROR(INDEX(InsCosto,MATCH(B538,ListaInsumos,0)),""))</f>
        <v/>
      </c>
      <c r="G538" s="19" t="str">
        <f aca="false">IF(AND(A538="",B538=""),"",IF(H538="OK",E538*F538,0))</f>
        <v/>
      </c>
      <c r="H538" s="20" t="str">
        <f aca="true">IF(AND(A538="",B538=""),"",IF(ISNA(MATCH(B538,ListaInsumos,0)),"Insumo no está en Insumos",IF(C538="","Falta cantidad",IF(IFERROR(INDEX(UnidadesBase,MATCH(D538,Unidades,0)),"")&lt;&gt;INDEX(InsBase,MATCH(B538,ListaInsumos,0)),"Unidad incompatible",IF(F538="","Insumo sin compras","OK")))))</f>
        <v/>
      </c>
      <c r="I538" s="15"/>
    </row>
    <row r="539" customFormat="false" ht="15" hidden="false" customHeight="false" outlineLevel="0" collapsed="false">
      <c r="A539" s="15"/>
      <c r="B539" s="15"/>
      <c r="C539" s="27"/>
      <c r="D539" s="15"/>
      <c r="E539" s="25" t="str">
        <f aca="true">IF(OR(C539="",D539=""),"",IFERROR(C539*INDEX(UnidadesFactor,MATCH(D539,Unidades,0)),""))</f>
        <v/>
      </c>
      <c r="F539" s="18" t="str">
        <f aca="true">IF(B539="","",IFERROR(INDEX(InsCosto,MATCH(B539,ListaInsumos,0)),""))</f>
        <v/>
      </c>
      <c r="G539" s="19" t="str">
        <f aca="false">IF(AND(A539="",B539=""),"",IF(H539="OK",E539*F539,0))</f>
        <v/>
      </c>
      <c r="H539" s="20" t="str">
        <f aca="true">IF(AND(A539="",B539=""),"",IF(ISNA(MATCH(B539,ListaInsumos,0)),"Insumo no está en Insumos",IF(C539="","Falta cantidad",IF(IFERROR(INDEX(UnidadesBase,MATCH(D539,Unidades,0)),"")&lt;&gt;INDEX(InsBase,MATCH(B539,ListaInsumos,0)),"Unidad incompatible",IF(F539="","Insumo sin compras","OK")))))</f>
        <v/>
      </c>
      <c r="I539" s="15"/>
    </row>
    <row r="540" customFormat="false" ht="15" hidden="false" customHeight="false" outlineLevel="0" collapsed="false">
      <c r="A540" s="15"/>
      <c r="B540" s="15"/>
      <c r="C540" s="27"/>
      <c r="D540" s="15"/>
      <c r="E540" s="25" t="str">
        <f aca="true">IF(OR(C540="",D540=""),"",IFERROR(C540*INDEX(UnidadesFactor,MATCH(D540,Unidades,0)),""))</f>
        <v/>
      </c>
      <c r="F540" s="18" t="str">
        <f aca="true">IF(B540="","",IFERROR(INDEX(InsCosto,MATCH(B540,ListaInsumos,0)),""))</f>
        <v/>
      </c>
      <c r="G540" s="19" t="str">
        <f aca="false">IF(AND(A540="",B540=""),"",IF(H540="OK",E540*F540,0))</f>
        <v/>
      </c>
      <c r="H540" s="20" t="str">
        <f aca="true">IF(AND(A540="",B540=""),"",IF(ISNA(MATCH(B540,ListaInsumos,0)),"Insumo no está en Insumos",IF(C540="","Falta cantidad",IF(IFERROR(INDEX(UnidadesBase,MATCH(D540,Unidades,0)),"")&lt;&gt;INDEX(InsBase,MATCH(B540,ListaInsumos,0)),"Unidad incompatible",IF(F540="","Insumo sin compras","OK")))))</f>
        <v/>
      </c>
      <c r="I540" s="15"/>
    </row>
    <row r="541" customFormat="false" ht="15" hidden="false" customHeight="false" outlineLevel="0" collapsed="false">
      <c r="A541" s="15"/>
      <c r="B541" s="15"/>
      <c r="C541" s="27"/>
      <c r="D541" s="15"/>
      <c r="E541" s="25" t="str">
        <f aca="true">IF(OR(C541="",D541=""),"",IFERROR(C541*INDEX(UnidadesFactor,MATCH(D541,Unidades,0)),""))</f>
        <v/>
      </c>
      <c r="F541" s="18" t="str">
        <f aca="true">IF(B541="","",IFERROR(INDEX(InsCosto,MATCH(B541,ListaInsumos,0)),""))</f>
        <v/>
      </c>
      <c r="G541" s="19" t="str">
        <f aca="false">IF(AND(A541="",B541=""),"",IF(H541="OK",E541*F541,0))</f>
        <v/>
      </c>
      <c r="H541" s="20" t="str">
        <f aca="true">IF(AND(A541="",B541=""),"",IF(ISNA(MATCH(B541,ListaInsumos,0)),"Insumo no está en Insumos",IF(C541="","Falta cantidad",IF(IFERROR(INDEX(UnidadesBase,MATCH(D541,Unidades,0)),"")&lt;&gt;INDEX(InsBase,MATCH(B541,ListaInsumos,0)),"Unidad incompatible",IF(F541="","Insumo sin compras","OK")))))</f>
        <v/>
      </c>
      <c r="I541" s="15"/>
    </row>
    <row r="542" customFormat="false" ht="15" hidden="false" customHeight="false" outlineLevel="0" collapsed="false">
      <c r="A542" s="15"/>
      <c r="B542" s="15"/>
      <c r="C542" s="27"/>
      <c r="D542" s="15"/>
      <c r="E542" s="25" t="str">
        <f aca="true">IF(OR(C542="",D542=""),"",IFERROR(C542*INDEX(UnidadesFactor,MATCH(D542,Unidades,0)),""))</f>
        <v/>
      </c>
      <c r="F542" s="18" t="str">
        <f aca="true">IF(B542="","",IFERROR(INDEX(InsCosto,MATCH(B542,ListaInsumos,0)),""))</f>
        <v/>
      </c>
      <c r="G542" s="19" t="str">
        <f aca="false">IF(AND(A542="",B542=""),"",IF(H542="OK",E542*F542,0))</f>
        <v/>
      </c>
      <c r="H542" s="20" t="str">
        <f aca="true">IF(AND(A542="",B542=""),"",IF(ISNA(MATCH(B542,ListaInsumos,0)),"Insumo no está en Insumos",IF(C542="","Falta cantidad",IF(IFERROR(INDEX(UnidadesBase,MATCH(D542,Unidades,0)),"")&lt;&gt;INDEX(InsBase,MATCH(B542,ListaInsumos,0)),"Unidad incompatible",IF(F542="","Insumo sin compras","OK")))))</f>
        <v/>
      </c>
      <c r="I542" s="15"/>
    </row>
    <row r="543" customFormat="false" ht="15" hidden="false" customHeight="false" outlineLevel="0" collapsed="false">
      <c r="A543" s="15"/>
      <c r="B543" s="15"/>
      <c r="C543" s="27"/>
      <c r="D543" s="15"/>
      <c r="E543" s="25" t="str">
        <f aca="true">IF(OR(C543="",D543=""),"",IFERROR(C543*INDEX(UnidadesFactor,MATCH(D543,Unidades,0)),""))</f>
        <v/>
      </c>
      <c r="F543" s="18" t="str">
        <f aca="true">IF(B543="","",IFERROR(INDEX(InsCosto,MATCH(B543,ListaInsumos,0)),""))</f>
        <v/>
      </c>
      <c r="G543" s="19" t="str">
        <f aca="false">IF(AND(A543="",B543=""),"",IF(H543="OK",E543*F543,0))</f>
        <v/>
      </c>
      <c r="H543" s="20" t="str">
        <f aca="true">IF(AND(A543="",B543=""),"",IF(ISNA(MATCH(B543,ListaInsumos,0)),"Insumo no está en Insumos",IF(C543="","Falta cantidad",IF(IFERROR(INDEX(UnidadesBase,MATCH(D543,Unidades,0)),"")&lt;&gt;INDEX(InsBase,MATCH(B543,ListaInsumos,0)),"Unidad incompatible",IF(F543="","Insumo sin compras","OK")))))</f>
        <v/>
      </c>
      <c r="I543" s="15"/>
    </row>
    <row r="544" customFormat="false" ht="15" hidden="false" customHeight="false" outlineLevel="0" collapsed="false">
      <c r="A544" s="15"/>
      <c r="B544" s="15"/>
      <c r="C544" s="27"/>
      <c r="D544" s="15"/>
      <c r="E544" s="25" t="str">
        <f aca="true">IF(OR(C544="",D544=""),"",IFERROR(C544*INDEX(UnidadesFactor,MATCH(D544,Unidades,0)),""))</f>
        <v/>
      </c>
      <c r="F544" s="18" t="str">
        <f aca="true">IF(B544="","",IFERROR(INDEX(InsCosto,MATCH(B544,ListaInsumos,0)),""))</f>
        <v/>
      </c>
      <c r="G544" s="19" t="str">
        <f aca="false">IF(AND(A544="",B544=""),"",IF(H544="OK",E544*F544,0))</f>
        <v/>
      </c>
      <c r="H544" s="20" t="str">
        <f aca="true">IF(AND(A544="",B544=""),"",IF(ISNA(MATCH(B544,ListaInsumos,0)),"Insumo no está en Insumos",IF(C544="","Falta cantidad",IF(IFERROR(INDEX(UnidadesBase,MATCH(D544,Unidades,0)),"")&lt;&gt;INDEX(InsBase,MATCH(B544,ListaInsumos,0)),"Unidad incompatible",IF(F544="","Insumo sin compras","OK")))))</f>
        <v/>
      </c>
      <c r="I544" s="15"/>
    </row>
    <row r="545" customFormat="false" ht="15" hidden="false" customHeight="false" outlineLevel="0" collapsed="false">
      <c r="A545" s="15"/>
      <c r="B545" s="15"/>
      <c r="C545" s="27"/>
      <c r="D545" s="15"/>
      <c r="E545" s="25" t="str">
        <f aca="true">IF(OR(C545="",D545=""),"",IFERROR(C545*INDEX(UnidadesFactor,MATCH(D545,Unidades,0)),""))</f>
        <v/>
      </c>
      <c r="F545" s="18" t="str">
        <f aca="true">IF(B545="","",IFERROR(INDEX(InsCosto,MATCH(B545,ListaInsumos,0)),""))</f>
        <v/>
      </c>
      <c r="G545" s="19" t="str">
        <f aca="false">IF(AND(A545="",B545=""),"",IF(H545="OK",E545*F545,0))</f>
        <v/>
      </c>
      <c r="H545" s="20" t="str">
        <f aca="true">IF(AND(A545="",B545=""),"",IF(ISNA(MATCH(B545,ListaInsumos,0)),"Insumo no está en Insumos",IF(C545="","Falta cantidad",IF(IFERROR(INDEX(UnidadesBase,MATCH(D545,Unidades,0)),"")&lt;&gt;INDEX(InsBase,MATCH(B545,ListaInsumos,0)),"Unidad incompatible",IF(F545="","Insumo sin compras","OK")))))</f>
        <v/>
      </c>
      <c r="I545" s="15"/>
    </row>
    <row r="546" customFormat="false" ht="15" hidden="false" customHeight="false" outlineLevel="0" collapsed="false">
      <c r="A546" s="15"/>
      <c r="B546" s="15"/>
      <c r="C546" s="27"/>
      <c r="D546" s="15"/>
      <c r="E546" s="25" t="str">
        <f aca="true">IF(OR(C546="",D546=""),"",IFERROR(C546*INDEX(UnidadesFactor,MATCH(D546,Unidades,0)),""))</f>
        <v/>
      </c>
      <c r="F546" s="18" t="str">
        <f aca="true">IF(B546="","",IFERROR(INDEX(InsCosto,MATCH(B546,ListaInsumos,0)),""))</f>
        <v/>
      </c>
      <c r="G546" s="19" t="str">
        <f aca="false">IF(AND(A546="",B546=""),"",IF(H546="OK",E546*F546,0))</f>
        <v/>
      </c>
      <c r="H546" s="20" t="str">
        <f aca="true">IF(AND(A546="",B546=""),"",IF(ISNA(MATCH(B546,ListaInsumos,0)),"Insumo no está en Insumos",IF(C546="","Falta cantidad",IF(IFERROR(INDEX(UnidadesBase,MATCH(D546,Unidades,0)),"")&lt;&gt;INDEX(InsBase,MATCH(B546,ListaInsumos,0)),"Unidad incompatible",IF(F546="","Insumo sin compras","OK")))))</f>
        <v/>
      </c>
      <c r="I546" s="15"/>
    </row>
    <row r="547" customFormat="false" ht="15" hidden="false" customHeight="false" outlineLevel="0" collapsed="false">
      <c r="A547" s="15"/>
      <c r="B547" s="15"/>
      <c r="C547" s="27"/>
      <c r="D547" s="15"/>
      <c r="E547" s="25" t="str">
        <f aca="true">IF(OR(C547="",D547=""),"",IFERROR(C547*INDEX(UnidadesFactor,MATCH(D547,Unidades,0)),""))</f>
        <v/>
      </c>
      <c r="F547" s="18" t="str">
        <f aca="true">IF(B547="","",IFERROR(INDEX(InsCosto,MATCH(B547,ListaInsumos,0)),""))</f>
        <v/>
      </c>
      <c r="G547" s="19" t="str">
        <f aca="false">IF(AND(A547="",B547=""),"",IF(H547="OK",E547*F547,0))</f>
        <v/>
      </c>
      <c r="H547" s="20" t="str">
        <f aca="true">IF(AND(A547="",B547=""),"",IF(ISNA(MATCH(B547,ListaInsumos,0)),"Insumo no está en Insumos",IF(C547="","Falta cantidad",IF(IFERROR(INDEX(UnidadesBase,MATCH(D547,Unidades,0)),"")&lt;&gt;INDEX(InsBase,MATCH(B547,ListaInsumos,0)),"Unidad incompatible",IF(F547="","Insumo sin compras","OK")))))</f>
        <v/>
      </c>
      <c r="I547" s="15"/>
    </row>
    <row r="548" customFormat="false" ht="15" hidden="false" customHeight="false" outlineLevel="0" collapsed="false">
      <c r="A548" s="15"/>
      <c r="B548" s="15"/>
      <c r="C548" s="27"/>
      <c r="D548" s="15"/>
      <c r="E548" s="25" t="str">
        <f aca="true">IF(OR(C548="",D548=""),"",IFERROR(C548*INDEX(UnidadesFactor,MATCH(D548,Unidades,0)),""))</f>
        <v/>
      </c>
      <c r="F548" s="18" t="str">
        <f aca="true">IF(B548="","",IFERROR(INDEX(InsCosto,MATCH(B548,ListaInsumos,0)),""))</f>
        <v/>
      </c>
      <c r="G548" s="19" t="str">
        <f aca="false">IF(AND(A548="",B548=""),"",IF(H548="OK",E548*F548,0))</f>
        <v/>
      </c>
      <c r="H548" s="20" t="str">
        <f aca="true">IF(AND(A548="",B548=""),"",IF(ISNA(MATCH(B548,ListaInsumos,0)),"Insumo no está en Insumos",IF(C548="","Falta cantidad",IF(IFERROR(INDEX(UnidadesBase,MATCH(D548,Unidades,0)),"")&lt;&gt;INDEX(InsBase,MATCH(B548,ListaInsumos,0)),"Unidad incompatible",IF(F548="","Insumo sin compras","OK")))))</f>
        <v/>
      </c>
      <c r="I548" s="15"/>
    </row>
    <row r="549" customFormat="false" ht="15" hidden="false" customHeight="false" outlineLevel="0" collapsed="false">
      <c r="A549" s="15"/>
      <c r="B549" s="15"/>
      <c r="C549" s="27"/>
      <c r="D549" s="15"/>
      <c r="E549" s="25" t="str">
        <f aca="true">IF(OR(C549="",D549=""),"",IFERROR(C549*INDEX(UnidadesFactor,MATCH(D549,Unidades,0)),""))</f>
        <v/>
      </c>
      <c r="F549" s="18" t="str">
        <f aca="true">IF(B549="","",IFERROR(INDEX(InsCosto,MATCH(B549,ListaInsumos,0)),""))</f>
        <v/>
      </c>
      <c r="G549" s="19" t="str">
        <f aca="false">IF(AND(A549="",B549=""),"",IF(H549="OK",E549*F549,0))</f>
        <v/>
      </c>
      <c r="H549" s="20" t="str">
        <f aca="true">IF(AND(A549="",B549=""),"",IF(ISNA(MATCH(B549,ListaInsumos,0)),"Insumo no está en Insumos",IF(C549="","Falta cantidad",IF(IFERROR(INDEX(UnidadesBase,MATCH(D549,Unidades,0)),"")&lt;&gt;INDEX(InsBase,MATCH(B549,ListaInsumos,0)),"Unidad incompatible",IF(F549="","Insumo sin compras","OK")))))</f>
        <v/>
      </c>
      <c r="I549" s="15"/>
    </row>
    <row r="550" customFormat="false" ht="15" hidden="false" customHeight="false" outlineLevel="0" collapsed="false">
      <c r="A550" s="15"/>
      <c r="B550" s="15"/>
      <c r="C550" s="27"/>
      <c r="D550" s="15"/>
      <c r="E550" s="25" t="str">
        <f aca="true">IF(OR(C550="",D550=""),"",IFERROR(C550*INDEX(UnidadesFactor,MATCH(D550,Unidades,0)),""))</f>
        <v/>
      </c>
      <c r="F550" s="18" t="str">
        <f aca="true">IF(B550="","",IFERROR(INDEX(InsCosto,MATCH(B550,ListaInsumos,0)),""))</f>
        <v/>
      </c>
      <c r="G550" s="19" t="str">
        <f aca="false">IF(AND(A550="",B550=""),"",IF(H550="OK",E550*F550,0))</f>
        <v/>
      </c>
      <c r="H550" s="20" t="str">
        <f aca="true">IF(AND(A550="",B550=""),"",IF(ISNA(MATCH(B550,ListaInsumos,0)),"Insumo no está en Insumos",IF(C550="","Falta cantidad",IF(IFERROR(INDEX(UnidadesBase,MATCH(D550,Unidades,0)),"")&lt;&gt;INDEX(InsBase,MATCH(B550,ListaInsumos,0)),"Unidad incompatible",IF(F550="","Insumo sin compras","OK")))))</f>
        <v/>
      </c>
      <c r="I550" s="15"/>
    </row>
    <row r="551" customFormat="false" ht="15" hidden="false" customHeight="false" outlineLevel="0" collapsed="false">
      <c r="A551" s="15"/>
      <c r="B551" s="15"/>
      <c r="C551" s="27"/>
      <c r="D551" s="15"/>
      <c r="E551" s="25" t="str">
        <f aca="true">IF(OR(C551="",D551=""),"",IFERROR(C551*INDEX(UnidadesFactor,MATCH(D551,Unidades,0)),""))</f>
        <v/>
      </c>
      <c r="F551" s="18" t="str">
        <f aca="true">IF(B551="","",IFERROR(INDEX(InsCosto,MATCH(B551,ListaInsumos,0)),""))</f>
        <v/>
      </c>
      <c r="G551" s="19" t="str">
        <f aca="false">IF(AND(A551="",B551=""),"",IF(H551="OK",E551*F551,0))</f>
        <v/>
      </c>
      <c r="H551" s="20" t="str">
        <f aca="true">IF(AND(A551="",B551=""),"",IF(ISNA(MATCH(B551,ListaInsumos,0)),"Insumo no está en Insumos",IF(C551="","Falta cantidad",IF(IFERROR(INDEX(UnidadesBase,MATCH(D551,Unidades,0)),"")&lt;&gt;INDEX(InsBase,MATCH(B551,ListaInsumos,0)),"Unidad incompatible",IF(F551="","Insumo sin compras","OK")))))</f>
        <v/>
      </c>
      <c r="I551" s="15"/>
    </row>
    <row r="552" customFormat="false" ht="15" hidden="false" customHeight="false" outlineLevel="0" collapsed="false">
      <c r="A552" s="15"/>
      <c r="B552" s="15"/>
      <c r="C552" s="27"/>
      <c r="D552" s="15"/>
      <c r="E552" s="25" t="str">
        <f aca="true">IF(OR(C552="",D552=""),"",IFERROR(C552*INDEX(UnidadesFactor,MATCH(D552,Unidades,0)),""))</f>
        <v/>
      </c>
      <c r="F552" s="18" t="str">
        <f aca="true">IF(B552="","",IFERROR(INDEX(InsCosto,MATCH(B552,ListaInsumos,0)),""))</f>
        <v/>
      </c>
      <c r="G552" s="19" t="str">
        <f aca="false">IF(AND(A552="",B552=""),"",IF(H552="OK",E552*F552,0))</f>
        <v/>
      </c>
      <c r="H552" s="20" t="str">
        <f aca="true">IF(AND(A552="",B552=""),"",IF(ISNA(MATCH(B552,ListaInsumos,0)),"Insumo no está en Insumos",IF(C552="","Falta cantidad",IF(IFERROR(INDEX(UnidadesBase,MATCH(D552,Unidades,0)),"")&lt;&gt;INDEX(InsBase,MATCH(B552,ListaInsumos,0)),"Unidad incompatible",IF(F552="","Insumo sin compras","OK")))))</f>
        <v/>
      </c>
      <c r="I552" s="15"/>
    </row>
    <row r="553" customFormat="false" ht="15" hidden="false" customHeight="false" outlineLevel="0" collapsed="false">
      <c r="A553" s="15"/>
      <c r="B553" s="15"/>
      <c r="C553" s="27"/>
      <c r="D553" s="15"/>
      <c r="E553" s="25" t="str">
        <f aca="true">IF(OR(C553="",D553=""),"",IFERROR(C553*INDEX(UnidadesFactor,MATCH(D553,Unidades,0)),""))</f>
        <v/>
      </c>
      <c r="F553" s="18" t="str">
        <f aca="true">IF(B553="","",IFERROR(INDEX(InsCosto,MATCH(B553,ListaInsumos,0)),""))</f>
        <v/>
      </c>
      <c r="G553" s="19" t="str">
        <f aca="false">IF(AND(A553="",B553=""),"",IF(H553="OK",E553*F553,0))</f>
        <v/>
      </c>
      <c r="H553" s="20" t="str">
        <f aca="true">IF(AND(A553="",B553=""),"",IF(ISNA(MATCH(B553,ListaInsumos,0)),"Insumo no está en Insumos",IF(C553="","Falta cantidad",IF(IFERROR(INDEX(UnidadesBase,MATCH(D553,Unidades,0)),"")&lt;&gt;INDEX(InsBase,MATCH(B553,ListaInsumos,0)),"Unidad incompatible",IF(F553="","Insumo sin compras","OK")))))</f>
        <v/>
      </c>
      <c r="I553" s="15"/>
    </row>
    <row r="554" customFormat="false" ht="15" hidden="false" customHeight="false" outlineLevel="0" collapsed="false">
      <c r="A554" s="15"/>
      <c r="B554" s="15"/>
      <c r="C554" s="27"/>
      <c r="D554" s="15"/>
      <c r="E554" s="25" t="str">
        <f aca="true">IF(OR(C554="",D554=""),"",IFERROR(C554*INDEX(UnidadesFactor,MATCH(D554,Unidades,0)),""))</f>
        <v/>
      </c>
      <c r="F554" s="18" t="str">
        <f aca="true">IF(B554="","",IFERROR(INDEX(InsCosto,MATCH(B554,ListaInsumos,0)),""))</f>
        <v/>
      </c>
      <c r="G554" s="19" t="str">
        <f aca="false">IF(AND(A554="",B554=""),"",IF(H554="OK",E554*F554,0))</f>
        <v/>
      </c>
      <c r="H554" s="20" t="str">
        <f aca="true">IF(AND(A554="",B554=""),"",IF(ISNA(MATCH(B554,ListaInsumos,0)),"Insumo no está en Insumos",IF(C554="","Falta cantidad",IF(IFERROR(INDEX(UnidadesBase,MATCH(D554,Unidades,0)),"")&lt;&gt;INDEX(InsBase,MATCH(B554,ListaInsumos,0)),"Unidad incompatible",IF(F554="","Insumo sin compras","OK")))))</f>
        <v/>
      </c>
      <c r="I554" s="15"/>
    </row>
    <row r="555" customFormat="false" ht="15" hidden="false" customHeight="false" outlineLevel="0" collapsed="false">
      <c r="A555" s="15"/>
      <c r="B555" s="15"/>
      <c r="C555" s="27"/>
      <c r="D555" s="15"/>
      <c r="E555" s="25" t="str">
        <f aca="true">IF(OR(C555="",D555=""),"",IFERROR(C555*INDEX(UnidadesFactor,MATCH(D555,Unidades,0)),""))</f>
        <v/>
      </c>
      <c r="F555" s="18" t="str">
        <f aca="true">IF(B555="","",IFERROR(INDEX(InsCosto,MATCH(B555,ListaInsumos,0)),""))</f>
        <v/>
      </c>
      <c r="G555" s="19" t="str">
        <f aca="false">IF(AND(A555="",B555=""),"",IF(H555="OK",E555*F555,0))</f>
        <v/>
      </c>
      <c r="H555" s="20" t="str">
        <f aca="true">IF(AND(A555="",B555=""),"",IF(ISNA(MATCH(B555,ListaInsumos,0)),"Insumo no está en Insumos",IF(C555="","Falta cantidad",IF(IFERROR(INDEX(UnidadesBase,MATCH(D555,Unidades,0)),"")&lt;&gt;INDEX(InsBase,MATCH(B555,ListaInsumos,0)),"Unidad incompatible",IF(F555="","Insumo sin compras","OK")))))</f>
        <v/>
      </c>
      <c r="I555" s="15"/>
    </row>
    <row r="556" customFormat="false" ht="15" hidden="false" customHeight="false" outlineLevel="0" collapsed="false">
      <c r="A556" s="15"/>
      <c r="B556" s="15"/>
      <c r="C556" s="27"/>
      <c r="D556" s="15"/>
      <c r="E556" s="25" t="str">
        <f aca="true">IF(OR(C556="",D556=""),"",IFERROR(C556*INDEX(UnidadesFactor,MATCH(D556,Unidades,0)),""))</f>
        <v/>
      </c>
      <c r="F556" s="18" t="str">
        <f aca="true">IF(B556="","",IFERROR(INDEX(InsCosto,MATCH(B556,ListaInsumos,0)),""))</f>
        <v/>
      </c>
      <c r="G556" s="19" t="str">
        <f aca="false">IF(AND(A556="",B556=""),"",IF(H556="OK",E556*F556,0))</f>
        <v/>
      </c>
      <c r="H556" s="20" t="str">
        <f aca="true">IF(AND(A556="",B556=""),"",IF(ISNA(MATCH(B556,ListaInsumos,0)),"Insumo no está en Insumos",IF(C556="","Falta cantidad",IF(IFERROR(INDEX(UnidadesBase,MATCH(D556,Unidades,0)),"")&lt;&gt;INDEX(InsBase,MATCH(B556,ListaInsumos,0)),"Unidad incompatible",IF(F556="","Insumo sin compras","OK")))))</f>
        <v/>
      </c>
      <c r="I556" s="15"/>
    </row>
    <row r="557" customFormat="false" ht="15" hidden="false" customHeight="false" outlineLevel="0" collapsed="false">
      <c r="A557" s="15"/>
      <c r="B557" s="15"/>
      <c r="C557" s="27"/>
      <c r="D557" s="15"/>
      <c r="E557" s="25" t="str">
        <f aca="true">IF(OR(C557="",D557=""),"",IFERROR(C557*INDEX(UnidadesFactor,MATCH(D557,Unidades,0)),""))</f>
        <v/>
      </c>
      <c r="F557" s="18" t="str">
        <f aca="true">IF(B557="","",IFERROR(INDEX(InsCosto,MATCH(B557,ListaInsumos,0)),""))</f>
        <v/>
      </c>
      <c r="G557" s="19" t="str">
        <f aca="false">IF(AND(A557="",B557=""),"",IF(H557="OK",E557*F557,0))</f>
        <v/>
      </c>
      <c r="H557" s="20" t="str">
        <f aca="true">IF(AND(A557="",B557=""),"",IF(ISNA(MATCH(B557,ListaInsumos,0)),"Insumo no está en Insumos",IF(C557="","Falta cantidad",IF(IFERROR(INDEX(UnidadesBase,MATCH(D557,Unidades,0)),"")&lt;&gt;INDEX(InsBase,MATCH(B557,ListaInsumos,0)),"Unidad incompatible",IF(F557="","Insumo sin compras","OK")))))</f>
        <v/>
      </c>
      <c r="I557" s="15"/>
    </row>
    <row r="558" customFormat="false" ht="15" hidden="false" customHeight="false" outlineLevel="0" collapsed="false">
      <c r="A558" s="15"/>
      <c r="B558" s="15"/>
      <c r="C558" s="27"/>
      <c r="D558" s="15"/>
      <c r="E558" s="25" t="str">
        <f aca="true">IF(OR(C558="",D558=""),"",IFERROR(C558*INDEX(UnidadesFactor,MATCH(D558,Unidades,0)),""))</f>
        <v/>
      </c>
      <c r="F558" s="18" t="str">
        <f aca="true">IF(B558="","",IFERROR(INDEX(InsCosto,MATCH(B558,ListaInsumos,0)),""))</f>
        <v/>
      </c>
      <c r="G558" s="19" t="str">
        <f aca="false">IF(AND(A558="",B558=""),"",IF(H558="OK",E558*F558,0))</f>
        <v/>
      </c>
      <c r="H558" s="20" t="str">
        <f aca="true">IF(AND(A558="",B558=""),"",IF(ISNA(MATCH(B558,ListaInsumos,0)),"Insumo no está en Insumos",IF(C558="","Falta cantidad",IF(IFERROR(INDEX(UnidadesBase,MATCH(D558,Unidades,0)),"")&lt;&gt;INDEX(InsBase,MATCH(B558,ListaInsumos,0)),"Unidad incompatible",IF(F558="","Insumo sin compras","OK")))))</f>
        <v/>
      </c>
      <c r="I558" s="15"/>
    </row>
    <row r="559" customFormat="false" ht="15" hidden="false" customHeight="false" outlineLevel="0" collapsed="false">
      <c r="A559" s="15"/>
      <c r="B559" s="15"/>
      <c r="C559" s="27"/>
      <c r="D559" s="15"/>
      <c r="E559" s="25" t="str">
        <f aca="true">IF(OR(C559="",D559=""),"",IFERROR(C559*INDEX(UnidadesFactor,MATCH(D559,Unidades,0)),""))</f>
        <v/>
      </c>
      <c r="F559" s="18" t="str">
        <f aca="true">IF(B559="","",IFERROR(INDEX(InsCosto,MATCH(B559,ListaInsumos,0)),""))</f>
        <v/>
      </c>
      <c r="G559" s="19" t="str">
        <f aca="false">IF(AND(A559="",B559=""),"",IF(H559="OK",E559*F559,0))</f>
        <v/>
      </c>
      <c r="H559" s="20" t="str">
        <f aca="true">IF(AND(A559="",B559=""),"",IF(ISNA(MATCH(B559,ListaInsumos,0)),"Insumo no está en Insumos",IF(C559="","Falta cantidad",IF(IFERROR(INDEX(UnidadesBase,MATCH(D559,Unidades,0)),"")&lt;&gt;INDEX(InsBase,MATCH(B559,ListaInsumos,0)),"Unidad incompatible",IF(F559="","Insumo sin compras","OK")))))</f>
        <v/>
      </c>
      <c r="I559" s="15"/>
    </row>
    <row r="560" customFormat="false" ht="15" hidden="false" customHeight="false" outlineLevel="0" collapsed="false">
      <c r="A560" s="15"/>
      <c r="B560" s="15"/>
      <c r="C560" s="27"/>
      <c r="D560" s="15"/>
      <c r="E560" s="25" t="str">
        <f aca="true">IF(OR(C560="",D560=""),"",IFERROR(C560*INDEX(UnidadesFactor,MATCH(D560,Unidades,0)),""))</f>
        <v/>
      </c>
      <c r="F560" s="18" t="str">
        <f aca="true">IF(B560="","",IFERROR(INDEX(InsCosto,MATCH(B560,ListaInsumos,0)),""))</f>
        <v/>
      </c>
      <c r="G560" s="19" t="str">
        <f aca="false">IF(AND(A560="",B560=""),"",IF(H560="OK",E560*F560,0))</f>
        <v/>
      </c>
      <c r="H560" s="20" t="str">
        <f aca="true">IF(AND(A560="",B560=""),"",IF(ISNA(MATCH(B560,ListaInsumos,0)),"Insumo no está en Insumos",IF(C560="","Falta cantidad",IF(IFERROR(INDEX(UnidadesBase,MATCH(D560,Unidades,0)),"")&lt;&gt;INDEX(InsBase,MATCH(B560,ListaInsumos,0)),"Unidad incompatible",IF(F560="","Insumo sin compras","OK")))))</f>
        <v/>
      </c>
      <c r="I560" s="15"/>
    </row>
    <row r="561" customFormat="false" ht="15" hidden="false" customHeight="false" outlineLevel="0" collapsed="false">
      <c r="A561" s="15"/>
      <c r="B561" s="15"/>
      <c r="C561" s="27"/>
      <c r="D561" s="15"/>
      <c r="E561" s="25" t="str">
        <f aca="true">IF(OR(C561="",D561=""),"",IFERROR(C561*INDEX(UnidadesFactor,MATCH(D561,Unidades,0)),""))</f>
        <v/>
      </c>
      <c r="F561" s="18" t="str">
        <f aca="true">IF(B561="","",IFERROR(INDEX(InsCosto,MATCH(B561,ListaInsumos,0)),""))</f>
        <v/>
      </c>
      <c r="G561" s="19" t="str">
        <f aca="false">IF(AND(A561="",B561=""),"",IF(H561="OK",E561*F561,0))</f>
        <v/>
      </c>
      <c r="H561" s="20" t="str">
        <f aca="true">IF(AND(A561="",B561=""),"",IF(ISNA(MATCH(B561,ListaInsumos,0)),"Insumo no está en Insumos",IF(C561="","Falta cantidad",IF(IFERROR(INDEX(UnidadesBase,MATCH(D561,Unidades,0)),"")&lt;&gt;INDEX(InsBase,MATCH(B561,ListaInsumos,0)),"Unidad incompatible",IF(F561="","Insumo sin compras","OK")))))</f>
        <v/>
      </c>
      <c r="I561" s="15"/>
    </row>
    <row r="562" customFormat="false" ht="15" hidden="false" customHeight="false" outlineLevel="0" collapsed="false">
      <c r="A562" s="15"/>
      <c r="B562" s="15"/>
      <c r="C562" s="27"/>
      <c r="D562" s="15"/>
      <c r="E562" s="25" t="str">
        <f aca="true">IF(OR(C562="",D562=""),"",IFERROR(C562*INDEX(UnidadesFactor,MATCH(D562,Unidades,0)),""))</f>
        <v/>
      </c>
      <c r="F562" s="18" t="str">
        <f aca="true">IF(B562="","",IFERROR(INDEX(InsCosto,MATCH(B562,ListaInsumos,0)),""))</f>
        <v/>
      </c>
      <c r="G562" s="19" t="str">
        <f aca="false">IF(AND(A562="",B562=""),"",IF(H562="OK",E562*F562,0))</f>
        <v/>
      </c>
      <c r="H562" s="20" t="str">
        <f aca="true">IF(AND(A562="",B562=""),"",IF(ISNA(MATCH(B562,ListaInsumos,0)),"Insumo no está en Insumos",IF(C562="","Falta cantidad",IF(IFERROR(INDEX(UnidadesBase,MATCH(D562,Unidades,0)),"")&lt;&gt;INDEX(InsBase,MATCH(B562,ListaInsumos,0)),"Unidad incompatible",IF(F562="","Insumo sin compras","OK")))))</f>
        <v/>
      </c>
      <c r="I562" s="15"/>
    </row>
    <row r="563" customFormat="false" ht="15" hidden="false" customHeight="false" outlineLevel="0" collapsed="false">
      <c r="A563" s="15"/>
      <c r="B563" s="15"/>
      <c r="C563" s="27"/>
      <c r="D563" s="15"/>
      <c r="E563" s="25" t="str">
        <f aca="true">IF(OR(C563="",D563=""),"",IFERROR(C563*INDEX(UnidadesFactor,MATCH(D563,Unidades,0)),""))</f>
        <v/>
      </c>
      <c r="F563" s="18" t="str">
        <f aca="true">IF(B563="","",IFERROR(INDEX(InsCosto,MATCH(B563,ListaInsumos,0)),""))</f>
        <v/>
      </c>
      <c r="G563" s="19" t="str">
        <f aca="false">IF(AND(A563="",B563=""),"",IF(H563="OK",E563*F563,0))</f>
        <v/>
      </c>
      <c r="H563" s="20" t="str">
        <f aca="true">IF(AND(A563="",B563=""),"",IF(ISNA(MATCH(B563,ListaInsumos,0)),"Insumo no está en Insumos",IF(C563="","Falta cantidad",IF(IFERROR(INDEX(UnidadesBase,MATCH(D563,Unidades,0)),"")&lt;&gt;INDEX(InsBase,MATCH(B563,ListaInsumos,0)),"Unidad incompatible",IF(F563="","Insumo sin compras","OK")))))</f>
        <v/>
      </c>
      <c r="I563" s="15"/>
    </row>
    <row r="564" customFormat="false" ht="15" hidden="false" customHeight="false" outlineLevel="0" collapsed="false">
      <c r="A564" s="15"/>
      <c r="B564" s="15"/>
      <c r="C564" s="27"/>
      <c r="D564" s="15"/>
      <c r="E564" s="25" t="str">
        <f aca="true">IF(OR(C564="",D564=""),"",IFERROR(C564*INDEX(UnidadesFactor,MATCH(D564,Unidades,0)),""))</f>
        <v/>
      </c>
      <c r="F564" s="18" t="str">
        <f aca="true">IF(B564="","",IFERROR(INDEX(InsCosto,MATCH(B564,ListaInsumos,0)),""))</f>
        <v/>
      </c>
      <c r="G564" s="19" t="str">
        <f aca="false">IF(AND(A564="",B564=""),"",IF(H564="OK",E564*F564,0))</f>
        <v/>
      </c>
      <c r="H564" s="20" t="str">
        <f aca="true">IF(AND(A564="",B564=""),"",IF(ISNA(MATCH(B564,ListaInsumos,0)),"Insumo no está en Insumos",IF(C564="","Falta cantidad",IF(IFERROR(INDEX(UnidadesBase,MATCH(D564,Unidades,0)),"")&lt;&gt;INDEX(InsBase,MATCH(B564,ListaInsumos,0)),"Unidad incompatible",IF(F564="","Insumo sin compras","OK")))))</f>
        <v/>
      </c>
      <c r="I564" s="15"/>
    </row>
    <row r="565" customFormat="false" ht="15" hidden="false" customHeight="false" outlineLevel="0" collapsed="false">
      <c r="A565" s="15"/>
      <c r="B565" s="15"/>
      <c r="C565" s="27"/>
      <c r="D565" s="15"/>
      <c r="E565" s="25" t="str">
        <f aca="true">IF(OR(C565="",D565=""),"",IFERROR(C565*INDEX(UnidadesFactor,MATCH(D565,Unidades,0)),""))</f>
        <v/>
      </c>
      <c r="F565" s="18" t="str">
        <f aca="true">IF(B565="","",IFERROR(INDEX(InsCosto,MATCH(B565,ListaInsumos,0)),""))</f>
        <v/>
      </c>
      <c r="G565" s="19" t="str">
        <f aca="false">IF(AND(A565="",B565=""),"",IF(H565="OK",E565*F565,0))</f>
        <v/>
      </c>
      <c r="H565" s="20" t="str">
        <f aca="true">IF(AND(A565="",B565=""),"",IF(ISNA(MATCH(B565,ListaInsumos,0)),"Insumo no está en Insumos",IF(C565="","Falta cantidad",IF(IFERROR(INDEX(UnidadesBase,MATCH(D565,Unidades,0)),"")&lt;&gt;INDEX(InsBase,MATCH(B565,ListaInsumos,0)),"Unidad incompatible",IF(F565="","Insumo sin compras","OK")))))</f>
        <v/>
      </c>
      <c r="I565" s="15"/>
    </row>
    <row r="566" customFormat="false" ht="15" hidden="false" customHeight="false" outlineLevel="0" collapsed="false">
      <c r="A566" s="15"/>
      <c r="B566" s="15"/>
      <c r="C566" s="27"/>
      <c r="D566" s="15"/>
      <c r="E566" s="25" t="str">
        <f aca="true">IF(OR(C566="",D566=""),"",IFERROR(C566*INDEX(UnidadesFactor,MATCH(D566,Unidades,0)),""))</f>
        <v/>
      </c>
      <c r="F566" s="18" t="str">
        <f aca="true">IF(B566="","",IFERROR(INDEX(InsCosto,MATCH(B566,ListaInsumos,0)),""))</f>
        <v/>
      </c>
      <c r="G566" s="19" t="str">
        <f aca="false">IF(AND(A566="",B566=""),"",IF(H566="OK",E566*F566,0))</f>
        <v/>
      </c>
      <c r="H566" s="20" t="str">
        <f aca="true">IF(AND(A566="",B566=""),"",IF(ISNA(MATCH(B566,ListaInsumos,0)),"Insumo no está en Insumos",IF(C566="","Falta cantidad",IF(IFERROR(INDEX(UnidadesBase,MATCH(D566,Unidades,0)),"")&lt;&gt;INDEX(InsBase,MATCH(B566,ListaInsumos,0)),"Unidad incompatible",IF(F566="","Insumo sin compras","OK")))))</f>
        <v/>
      </c>
      <c r="I566" s="15"/>
    </row>
    <row r="567" customFormat="false" ht="15" hidden="false" customHeight="false" outlineLevel="0" collapsed="false">
      <c r="A567" s="15"/>
      <c r="B567" s="15"/>
      <c r="C567" s="27"/>
      <c r="D567" s="15"/>
      <c r="E567" s="25" t="str">
        <f aca="true">IF(OR(C567="",D567=""),"",IFERROR(C567*INDEX(UnidadesFactor,MATCH(D567,Unidades,0)),""))</f>
        <v/>
      </c>
      <c r="F567" s="18" t="str">
        <f aca="true">IF(B567="","",IFERROR(INDEX(InsCosto,MATCH(B567,ListaInsumos,0)),""))</f>
        <v/>
      </c>
      <c r="G567" s="19" t="str">
        <f aca="false">IF(AND(A567="",B567=""),"",IF(H567="OK",E567*F567,0))</f>
        <v/>
      </c>
      <c r="H567" s="20" t="str">
        <f aca="true">IF(AND(A567="",B567=""),"",IF(ISNA(MATCH(B567,ListaInsumos,0)),"Insumo no está en Insumos",IF(C567="","Falta cantidad",IF(IFERROR(INDEX(UnidadesBase,MATCH(D567,Unidades,0)),"")&lt;&gt;INDEX(InsBase,MATCH(B567,ListaInsumos,0)),"Unidad incompatible",IF(F567="","Insumo sin compras","OK")))))</f>
        <v/>
      </c>
      <c r="I567" s="15"/>
    </row>
    <row r="568" customFormat="false" ht="15" hidden="false" customHeight="false" outlineLevel="0" collapsed="false">
      <c r="A568" s="15"/>
      <c r="B568" s="15"/>
      <c r="C568" s="27"/>
      <c r="D568" s="15"/>
      <c r="E568" s="25" t="str">
        <f aca="true">IF(OR(C568="",D568=""),"",IFERROR(C568*INDEX(UnidadesFactor,MATCH(D568,Unidades,0)),""))</f>
        <v/>
      </c>
      <c r="F568" s="18" t="str">
        <f aca="true">IF(B568="","",IFERROR(INDEX(InsCosto,MATCH(B568,ListaInsumos,0)),""))</f>
        <v/>
      </c>
      <c r="G568" s="19" t="str">
        <f aca="false">IF(AND(A568="",B568=""),"",IF(H568="OK",E568*F568,0))</f>
        <v/>
      </c>
      <c r="H568" s="20" t="str">
        <f aca="true">IF(AND(A568="",B568=""),"",IF(ISNA(MATCH(B568,ListaInsumos,0)),"Insumo no está en Insumos",IF(C568="","Falta cantidad",IF(IFERROR(INDEX(UnidadesBase,MATCH(D568,Unidades,0)),"")&lt;&gt;INDEX(InsBase,MATCH(B568,ListaInsumos,0)),"Unidad incompatible",IF(F568="","Insumo sin compras","OK")))))</f>
        <v/>
      </c>
      <c r="I568" s="15"/>
    </row>
    <row r="569" customFormat="false" ht="15" hidden="false" customHeight="false" outlineLevel="0" collapsed="false">
      <c r="A569" s="15"/>
      <c r="B569" s="15"/>
      <c r="C569" s="27"/>
      <c r="D569" s="15"/>
      <c r="E569" s="25" t="str">
        <f aca="true">IF(OR(C569="",D569=""),"",IFERROR(C569*INDEX(UnidadesFactor,MATCH(D569,Unidades,0)),""))</f>
        <v/>
      </c>
      <c r="F569" s="18" t="str">
        <f aca="true">IF(B569="","",IFERROR(INDEX(InsCosto,MATCH(B569,ListaInsumos,0)),""))</f>
        <v/>
      </c>
      <c r="G569" s="19" t="str">
        <f aca="false">IF(AND(A569="",B569=""),"",IF(H569="OK",E569*F569,0))</f>
        <v/>
      </c>
      <c r="H569" s="20" t="str">
        <f aca="true">IF(AND(A569="",B569=""),"",IF(ISNA(MATCH(B569,ListaInsumos,0)),"Insumo no está en Insumos",IF(C569="","Falta cantidad",IF(IFERROR(INDEX(UnidadesBase,MATCH(D569,Unidades,0)),"")&lt;&gt;INDEX(InsBase,MATCH(B569,ListaInsumos,0)),"Unidad incompatible",IF(F569="","Insumo sin compras","OK")))))</f>
        <v/>
      </c>
      <c r="I569" s="15"/>
    </row>
    <row r="570" customFormat="false" ht="15" hidden="false" customHeight="false" outlineLevel="0" collapsed="false">
      <c r="A570" s="15"/>
      <c r="B570" s="15"/>
      <c r="C570" s="27"/>
      <c r="D570" s="15"/>
      <c r="E570" s="25" t="str">
        <f aca="true">IF(OR(C570="",D570=""),"",IFERROR(C570*INDEX(UnidadesFactor,MATCH(D570,Unidades,0)),""))</f>
        <v/>
      </c>
      <c r="F570" s="18" t="str">
        <f aca="true">IF(B570="","",IFERROR(INDEX(InsCosto,MATCH(B570,ListaInsumos,0)),""))</f>
        <v/>
      </c>
      <c r="G570" s="19" t="str">
        <f aca="false">IF(AND(A570="",B570=""),"",IF(H570="OK",E570*F570,0))</f>
        <v/>
      </c>
      <c r="H570" s="20" t="str">
        <f aca="true">IF(AND(A570="",B570=""),"",IF(ISNA(MATCH(B570,ListaInsumos,0)),"Insumo no está en Insumos",IF(C570="","Falta cantidad",IF(IFERROR(INDEX(UnidadesBase,MATCH(D570,Unidades,0)),"")&lt;&gt;INDEX(InsBase,MATCH(B570,ListaInsumos,0)),"Unidad incompatible",IF(F570="","Insumo sin compras","OK")))))</f>
        <v/>
      </c>
      <c r="I570" s="15"/>
    </row>
    <row r="571" customFormat="false" ht="15" hidden="false" customHeight="false" outlineLevel="0" collapsed="false">
      <c r="A571" s="15"/>
      <c r="B571" s="15"/>
      <c r="C571" s="27"/>
      <c r="D571" s="15"/>
      <c r="E571" s="25" t="str">
        <f aca="true">IF(OR(C571="",D571=""),"",IFERROR(C571*INDEX(UnidadesFactor,MATCH(D571,Unidades,0)),""))</f>
        <v/>
      </c>
      <c r="F571" s="18" t="str">
        <f aca="true">IF(B571="","",IFERROR(INDEX(InsCosto,MATCH(B571,ListaInsumos,0)),""))</f>
        <v/>
      </c>
      <c r="G571" s="19" t="str">
        <f aca="false">IF(AND(A571="",B571=""),"",IF(H571="OK",E571*F571,0))</f>
        <v/>
      </c>
      <c r="H571" s="20" t="str">
        <f aca="true">IF(AND(A571="",B571=""),"",IF(ISNA(MATCH(B571,ListaInsumos,0)),"Insumo no está en Insumos",IF(C571="","Falta cantidad",IF(IFERROR(INDEX(UnidadesBase,MATCH(D571,Unidades,0)),"")&lt;&gt;INDEX(InsBase,MATCH(B571,ListaInsumos,0)),"Unidad incompatible",IF(F571="","Insumo sin compras","OK")))))</f>
        <v/>
      </c>
      <c r="I571" s="15"/>
    </row>
    <row r="572" customFormat="false" ht="15" hidden="false" customHeight="false" outlineLevel="0" collapsed="false">
      <c r="A572" s="15"/>
      <c r="B572" s="15"/>
      <c r="C572" s="27"/>
      <c r="D572" s="15"/>
      <c r="E572" s="25" t="str">
        <f aca="true">IF(OR(C572="",D572=""),"",IFERROR(C572*INDEX(UnidadesFactor,MATCH(D572,Unidades,0)),""))</f>
        <v/>
      </c>
      <c r="F572" s="18" t="str">
        <f aca="true">IF(B572="","",IFERROR(INDEX(InsCosto,MATCH(B572,ListaInsumos,0)),""))</f>
        <v/>
      </c>
      <c r="G572" s="19" t="str">
        <f aca="false">IF(AND(A572="",B572=""),"",IF(H572="OK",E572*F572,0))</f>
        <v/>
      </c>
      <c r="H572" s="20" t="str">
        <f aca="true">IF(AND(A572="",B572=""),"",IF(ISNA(MATCH(B572,ListaInsumos,0)),"Insumo no está en Insumos",IF(C572="","Falta cantidad",IF(IFERROR(INDEX(UnidadesBase,MATCH(D572,Unidades,0)),"")&lt;&gt;INDEX(InsBase,MATCH(B572,ListaInsumos,0)),"Unidad incompatible",IF(F572="","Insumo sin compras","OK")))))</f>
        <v/>
      </c>
      <c r="I572" s="15"/>
    </row>
    <row r="573" customFormat="false" ht="15" hidden="false" customHeight="false" outlineLevel="0" collapsed="false">
      <c r="A573" s="15"/>
      <c r="B573" s="15"/>
      <c r="C573" s="27"/>
      <c r="D573" s="15"/>
      <c r="E573" s="25" t="str">
        <f aca="true">IF(OR(C573="",D573=""),"",IFERROR(C573*INDEX(UnidadesFactor,MATCH(D573,Unidades,0)),""))</f>
        <v/>
      </c>
      <c r="F573" s="18" t="str">
        <f aca="true">IF(B573="","",IFERROR(INDEX(InsCosto,MATCH(B573,ListaInsumos,0)),""))</f>
        <v/>
      </c>
      <c r="G573" s="19" t="str">
        <f aca="false">IF(AND(A573="",B573=""),"",IF(H573="OK",E573*F573,0))</f>
        <v/>
      </c>
      <c r="H573" s="20" t="str">
        <f aca="true">IF(AND(A573="",B573=""),"",IF(ISNA(MATCH(B573,ListaInsumos,0)),"Insumo no está en Insumos",IF(C573="","Falta cantidad",IF(IFERROR(INDEX(UnidadesBase,MATCH(D573,Unidades,0)),"")&lt;&gt;INDEX(InsBase,MATCH(B573,ListaInsumos,0)),"Unidad incompatible",IF(F573="","Insumo sin compras","OK")))))</f>
        <v/>
      </c>
      <c r="I573" s="15"/>
    </row>
    <row r="574" customFormat="false" ht="15" hidden="false" customHeight="false" outlineLevel="0" collapsed="false">
      <c r="A574" s="15"/>
      <c r="B574" s="15"/>
      <c r="C574" s="27"/>
      <c r="D574" s="15"/>
      <c r="E574" s="25" t="str">
        <f aca="true">IF(OR(C574="",D574=""),"",IFERROR(C574*INDEX(UnidadesFactor,MATCH(D574,Unidades,0)),""))</f>
        <v/>
      </c>
      <c r="F574" s="18" t="str">
        <f aca="true">IF(B574="","",IFERROR(INDEX(InsCosto,MATCH(B574,ListaInsumos,0)),""))</f>
        <v/>
      </c>
      <c r="G574" s="19" t="str">
        <f aca="false">IF(AND(A574="",B574=""),"",IF(H574="OK",E574*F574,0))</f>
        <v/>
      </c>
      <c r="H574" s="20" t="str">
        <f aca="true">IF(AND(A574="",B574=""),"",IF(ISNA(MATCH(B574,ListaInsumos,0)),"Insumo no está en Insumos",IF(C574="","Falta cantidad",IF(IFERROR(INDEX(UnidadesBase,MATCH(D574,Unidades,0)),"")&lt;&gt;INDEX(InsBase,MATCH(B574,ListaInsumos,0)),"Unidad incompatible",IF(F574="","Insumo sin compras","OK")))))</f>
        <v/>
      </c>
      <c r="I574" s="15"/>
    </row>
    <row r="575" customFormat="false" ht="15" hidden="false" customHeight="false" outlineLevel="0" collapsed="false">
      <c r="A575" s="15"/>
      <c r="B575" s="15"/>
      <c r="C575" s="27"/>
      <c r="D575" s="15"/>
      <c r="E575" s="25" t="str">
        <f aca="true">IF(OR(C575="",D575=""),"",IFERROR(C575*INDEX(UnidadesFactor,MATCH(D575,Unidades,0)),""))</f>
        <v/>
      </c>
      <c r="F575" s="18" t="str">
        <f aca="true">IF(B575="","",IFERROR(INDEX(InsCosto,MATCH(B575,ListaInsumos,0)),""))</f>
        <v/>
      </c>
      <c r="G575" s="19" t="str">
        <f aca="false">IF(AND(A575="",B575=""),"",IF(H575="OK",E575*F575,0))</f>
        <v/>
      </c>
      <c r="H575" s="20" t="str">
        <f aca="true">IF(AND(A575="",B575=""),"",IF(ISNA(MATCH(B575,ListaInsumos,0)),"Insumo no está en Insumos",IF(C575="","Falta cantidad",IF(IFERROR(INDEX(UnidadesBase,MATCH(D575,Unidades,0)),"")&lt;&gt;INDEX(InsBase,MATCH(B575,ListaInsumos,0)),"Unidad incompatible",IF(F575="","Insumo sin compras","OK")))))</f>
        <v/>
      </c>
      <c r="I575" s="15"/>
    </row>
    <row r="576" customFormat="false" ht="15" hidden="false" customHeight="false" outlineLevel="0" collapsed="false">
      <c r="A576" s="15"/>
      <c r="B576" s="15"/>
      <c r="C576" s="27"/>
      <c r="D576" s="15"/>
      <c r="E576" s="25" t="str">
        <f aca="true">IF(OR(C576="",D576=""),"",IFERROR(C576*INDEX(UnidadesFactor,MATCH(D576,Unidades,0)),""))</f>
        <v/>
      </c>
      <c r="F576" s="18" t="str">
        <f aca="true">IF(B576="","",IFERROR(INDEX(InsCosto,MATCH(B576,ListaInsumos,0)),""))</f>
        <v/>
      </c>
      <c r="G576" s="19" t="str">
        <f aca="false">IF(AND(A576="",B576=""),"",IF(H576="OK",E576*F576,0))</f>
        <v/>
      </c>
      <c r="H576" s="20" t="str">
        <f aca="true">IF(AND(A576="",B576=""),"",IF(ISNA(MATCH(B576,ListaInsumos,0)),"Insumo no está en Insumos",IF(C576="","Falta cantidad",IF(IFERROR(INDEX(UnidadesBase,MATCH(D576,Unidades,0)),"")&lt;&gt;INDEX(InsBase,MATCH(B576,ListaInsumos,0)),"Unidad incompatible",IF(F576="","Insumo sin compras","OK")))))</f>
        <v/>
      </c>
      <c r="I576" s="15"/>
    </row>
    <row r="577" customFormat="false" ht="15" hidden="false" customHeight="false" outlineLevel="0" collapsed="false">
      <c r="A577" s="15"/>
      <c r="B577" s="15"/>
      <c r="C577" s="27"/>
      <c r="D577" s="15"/>
      <c r="E577" s="25" t="str">
        <f aca="true">IF(OR(C577="",D577=""),"",IFERROR(C577*INDEX(UnidadesFactor,MATCH(D577,Unidades,0)),""))</f>
        <v/>
      </c>
      <c r="F577" s="18" t="str">
        <f aca="true">IF(B577="","",IFERROR(INDEX(InsCosto,MATCH(B577,ListaInsumos,0)),""))</f>
        <v/>
      </c>
      <c r="G577" s="19" t="str">
        <f aca="false">IF(AND(A577="",B577=""),"",IF(H577="OK",E577*F577,0))</f>
        <v/>
      </c>
      <c r="H577" s="20" t="str">
        <f aca="true">IF(AND(A577="",B577=""),"",IF(ISNA(MATCH(B577,ListaInsumos,0)),"Insumo no está en Insumos",IF(C577="","Falta cantidad",IF(IFERROR(INDEX(UnidadesBase,MATCH(D577,Unidades,0)),"")&lt;&gt;INDEX(InsBase,MATCH(B577,ListaInsumos,0)),"Unidad incompatible",IF(F577="","Insumo sin compras","OK")))))</f>
        <v/>
      </c>
      <c r="I577" s="15"/>
    </row>
    <row r="578" customFormat="false" ht="15" hidden="false" customHeight="false" outlineLevel="0" collapsed="false">
      <c r="A578" s="15"/>
      <c r="B578" s="15"/>
      <c r="C578" s="27"/>
      <c r="D578" s="15"/>
      <c r="E578" s="25" t="str">
        <f aca="true">IF(OR(C578="",D578=""),"",IFERROR(C578*INDEX(UnidadesFactor,MATCH(D578,Unidades,0)),""))</f>
        <v/>
      </c>
      <c r="F578" s="18" t="str">
        <f aca="true">IF(B578="","",IFERROR(INDEX(InsCosto,MATCH(B578,ListaInsumos,0)),""))</f>
        <v/>
      </c>
      <c r="G578" s="19" t="str">
        <f aca="false">IF(AND(A578="",B578=""),"",IF(H578="OK",E578*F578,0))</f>
        <v/>
      </c>
      <c r="H578" s="20" t="str">
        <f aca="true">IF(AND(A578="",B578=""),"",IF(ISNA(MATCH(B578,ListaInsumos,0)),"Insumo no está en Insumos",IF(C578="","Falta cantidad",IF(IFERROR(INDEX(UnidadesBase,MATCH(D578,Unidades,0)),"")&lt;&gt;INDEX(InsBase,MATCH(B578,ListaInsumos,0)),"Unidad incompatible",IF(F578="","Insumo sin compras","OK")))))</f>
        <v/>
      </c>
      <c r="I578" s="15"/>
    </row>
    <row r="579" customFormat="false" ht="15" hidden="false" customHeight="false" outlineLevel="0" collapsed="false">
      <c r="A579" s="15"/>
      <c r="B579" s="15"/>
      <c r="C579" s="27"/>
      <c r="D579" s="15"/>
      <c r="E579" s="25" t="str">
        <f aca="true">IF(OR(C579="",D579=""),"",IFERROR(C579*INDEX(UnidadesFactor,MATCH(D579,Unidades,0)),""))</f>
        <v/>
      </c>
      <c r="F579" s="18" t="str">
        <f aca="true">IF(B579="","",IFERROR(INDEX(InsCosto,MATCH(B579,ListaInsumos,0)),""))</f>
        <v/>
      </c>
      <c r="G579" s="19" t="str">
        <f aca="false">IF(AND(A579="",B579=""),"",IF(H579="OK",E579*F579,0))</f>
        <v/>
      </c>
      <c r="H579" s="20" t="str">
        <f aca="true">IF(AND(A579="",B579=""),"",IF(ISNA(MATCH(B579,ListaInsumos,0)),"Insumo no está en Insumos",IF(C579="","Falta cantidad",IF(IFERROR(INDEX(UnidadesBase,MATCH(D579,Unidades,0)),"")&lt;&gt;INDEX(InsBase,MATCH(B579,ListaInsumos,0)),"Unidad incompatible",IF(F579="","Insumo sin compras","OK")))))</f>
        <v/>
      </c>
      <c r="I579" s="15"/>
    </row>
    <row r="580" customFormat="false" ht="15" hidden="false" customHeight="false" outlineLevel="0" collapsed="false">
      <c r="A580" s="15"/>
      <c r="B580" s="15"/>
      <c r="C580" s="27"/>
      <c r="D580" s="15"/>
      <c r="E580" s="25" t="str">
        <f aca="true">IF(OR(C580="",D580=""),"",IFERROR(C580*INDEX(UnidadesFactor,MATCH(D580,Unidades,0)),""))</f>
        <v/>
      </c>
      <c r="F580" s="18" t="str">
        <f aca="true">IF(B580="","",IFERROR(INDEX(InsCosto,MATCH(B580,ListaInsumos,0)),""))</f>
        <v/>
      </c>
      <c r="G580" s="19" t="str">
        <f aca="false">IF(AND(A580="",B580=""),"",IF(H580="OK",E580*F580,0))</f>
        <v/>
      </c>
      <c r="H580" s="20" t="str">
        <f aca="true">IF(AND(A580="",B580=""),"",IF(ISNA(MATCH(B580,ListaInsumos,0)),"Insumo no está en Insumos",IF(C580="","Falta cantidad",IF(IFERROR(INDEX(UnidadesBase,MATCH(D580,Unidades,0)),"")&lt;&gt;INDEX(InsBase,MATCH(B580,ListaInsumos,0)),"Unidad incompatible",IF(F580="","Insumo sin compras","OK")))))</f>
        <v/>
      </c>
      <c r="I580" s="15"/>
    </row>
    <row r="581" customFormat="false" ht="15" hidden="false" customHeight="false" outlineLevel="0" collapsed="false">
      <c r="A581" s="15"/>
      <c r="B581" s="15"/>
      <c r="C581" s="27"/>
      <c r="D581" s="15"/>
      <c r="E581" s="25" t="str">
        <f aca="true">IF(OR(C581="",D581=""),"",IFERROR(C581*INDEX(UnidadesFactor,MATCH(D581,Unidades,0)),""))</f>
        <v/>
      </c>
      <c r="F581" s="18" t="str">
        <f aca="true">IF(B581="","",IFERROR(INDEX(InsCosto,MATCH(B581,ListaInsumos,0)),""))</f>
        <v/>
      </c>
      <c r="G581" s="19" t="str">
        <f aca="false">IF(AND(A581="",B581=""),"",IF(H581="OK",E581*F581,0))</f>
        <v/>
      </c>
      <c r="H581" s="20" t="str">
        <f aca="true">IF(AND(A581="",B581=""),"",IF(ISNA(MATCH(B581,ListaInsumos,0)),"Insumo no está en Insumos",IF(C581="","Falta cantidad",IF(IFERROR(INDEX(UnidadesBase,MATCH(D581,Unidades,0)),"")&lt;&gt;INDEX(InsBase,MATCH(B581,ListaInsumos,0)),"Unidad incompatible",IF(F581="","Insumo sin compras","OK")))))</f>
        <v/>
      </c>
      <c r="I581" s="15"/>
    </row>
    <row r="582" customFormat="false" ht="15" hidden="false" customHeight="false" outlineLevel="0" collapsed="false">
      <c r="A582" s="15"/>
      <c r="B582" s="15"/>
      <c r="C582" s="27"/>
      <c r="D582" s="15"/>
      <c r="E582" s="25" t="str">
        <f aca="true">IF(OR(C582="",D582=""),"",IFERROR(C582*INDEX(UnidadesFactor,MATCH(D582,Unidades,0)),""))</f>
        <v/>
      </c>
      <c r="F582" s="18" t="str">
        <f aca="true">IF(B582="","",IFERROR(INDEX(InsCosto,MATCH(B582,ListaInsumos,0)),""))</f>
        <v/>
      </c>
      <c r="G582" s="19" t="str">
        <f aca="false">IF(AND(A582="",B582=""),"",IF(H582="OK",E582*F582,0))</f>
        <v/>
      </c>
      <c r="H582" s="20" t="str">
        <f aca="true">IF(AND(A582="",B582=""),"",IF(ISNA(MATCH(B582,ListaInsumos,0)),"Insumo no está en Insumos",IF(C582="","Falta cantidad",IF(IFERROR(INDEX(UnidadesBase,MATCH(D582,Unidades,0)),"")&lt;&gt;INDEX(InsBase,MATCH(B582,ListaInsumos,0)),"Unidad incompatible",IF(F582="","Insumo sin compras","OK")))))</f>
        <v/>
      </c>
      <c r="I582" s="15"/>
    </row>
    <row r="583" customFormat="false" ht="15" hidden="false" customHeight="false" outlineLevel="0" collapsed="false">
      <c r="A583" s="15"/>
      <c r="B583" s="15"/>
      <c r="C583" s="27"/>
      <c r="D583" s="15"/>
      <c r="E583" s="25" t="str">
        <f aca="true">IF(OR(C583="",D583=""),"",IFERROR(C583*INDEX(UnidadesFactor,MATCH(D583,Unidades,0)),""))</f>
        <v/>
      </c>
      <c r="F583" s="18" t="str">
        <f aca="true">IF(B583="","",IFERROR(INDEX(InsCosto,MATCH(B583,ListaInsumos,0)),""))</f>
        <v/>
      </c>
      <c r="G583" s="19" t="str">
        <f aca="false">IF(AND(A583="",B583=""),"",IF(H583="OK",E583*F583,0))</f>
        <v/>
      </c>
      <c r="H583" s="20" t="str">
        <f aca="true">IF(AND(A583="",B583=""),"",IF(ISNA(MATCH(B583,ListaInsumos,0)),"Insumo no está en Insumos",IF(C583="","Falta cantidad",IF(IFERROR(INDEX(UnidadesBase,MATCH(D583,Unidades,0)),"")&lt;&gt;INDEX(InsBase,MATCH(B583,ListaInsumos,0)),"Unidad incompatible",IF(F583="","Insumo sin compras","OK")))))</f>
        <v/>
      </c>
      <c r="I583" s="15"/>
    </row>
    <row r="584" customFormat="false" ht="15" hidden="false" customHeight="false" outlineLevel="0" collapsed="false">
      <c r="A584" s="15"/>
      <c r="B584" s="15"/>
      <c r="C584" s="27"/>
      <c r="D584" s="15"/>
      <c r="E584" s="25" t="str">
        <f aca="true">IF(OR(C584="",D584=""),"",IFERROR(C584*INDEX(UnidadesFactor,MATCH(D584,Unidades,0)),""))</f>
        <v/>
      </c>
      <c r="F584" s="18" t="str">
        <f aca="true">IF(B584="","",IFERROR(INDEX(InsCosto,MATCH(B584,ListaInsumos,0)),""))</f>
        <v/>
      </c>
      <c r="G584" s="19" t="str">
        <f aca="false">IF(AND(A584="",B584=""),"",IF(H584="OK",E584*F584,0))</f>
        <v/>
      </c>
      <c r="H584" s="20" t="str">
        <f aca="true">IF(AND(A584="",B584=""),"",IF(ISNA(MATCH(B584,ListaInsumos,0)),"Insumo no está en Insumos",IF(C584="","Falta cantidad",IF(IFERROR(INDEX(UnidadesBase,MATCH(D584,Unidades,0)),"")&lt;&gt;INDEX(InsBase,MATCH(B584,ListaInsumos,0)),"Unidad incompatible",IF(F584="","Insumo sin compras","OK")))))</f>
        <v/>
      </c>
      <c r="I584" s="15"/>
    </row>
    <row r="585" customFormat="false" ht="15" hidden="false" customHeight="false" outlineLevel="0" collapsed="false">
      <c r="A585" s="15"/>
      <c r="B585" s="15"/>
      <c r="C585" s="27"/>
      <c r="D585" s="15"/>
      <c r="E585" s="25" t="str">
        <f aca="true">IF(OR(C585="",D585=""),"",IFERROR(C585*INDEX(UnidadesFactor,MATCH(D585,Unidades,0)),""))</f>
        <v/>
      </c>
      <c r="F585" s="18" t="str">
        <f aca="true">IF(B585="","",IFERROR(INDEX(InsCosto,MATCH(B585,ListaInsumos,0)),""))</f>
        <v/>
      </c>
      <c r="G585" s="19" t="str">
        <f aca="false">IF(AND(A585="",B585=""),"",IF(H585="OK",E585*F585,0))</f>
        <v/>
      </c>
      <c r="H585" s="20" t="str">
        <f aca="true">IF(AND(A585="",B585=""),"",IF(ISNA(MATCH(B585,ListaInsumos,0)),"Insumo no está en Insumos",IF(C585="","Falta cantidad",IF(IFERROR(INDEX(UnidadesBase,MATCH(D585,Unidades,0)),"")&lt;&gt;INDEX(InsBase,MATCH(B585,ListaInsumos,0)),"Unidad incompatible",IF(F585="","Insumo sin compras","OK")))))</f>
        <v/>
      </c>
      <c r="I585" s="15"/>
    </row>
    <row r="586" customFormat="false" ht="15" hidden="false" customHeight="false" outlineLevel="0" collapsed="false">
      <c r="A586" s="15"/>
      <c r="B586" s="15"/>
      <c r="C586" s="27"/>
      <c r="D586" s="15"/>
      <c r="E586" s="25" t="str">
        <f aca="true">IF(OR(C586="",D586=""),"",IFERROR(C586*INDEX(UnidadesFactor,MATCH(D586,Unidades,0)),""))</f>
        <v/>
      </c>
      <c r="F586" s="18" t="str">
        <f aca="true">IF(B586="","",IFERROR(INDEX(InsCosto,MATCH(B586,ListaInsumos,0)),""))</f>
        <v/>
      </c>
      <c r="G586" s="19" t="str">
        <f aca="false">IF(AND(A586="",B586=""),"",IF(H586="OK",E586*F586,0))</f>
        <v/>
      </c>
      <c r="H586" s="20" t="str">
        <f aca="true">IF(AND(A586="",B586=""),"",IF(ISNA(MATCH(B586,ListaInsumos,0)),"Insumo no está en Insumos",IF(C586="","Falta cantidad",IF(IFERROR(INDEX(UnidadesBase,MATCH(D586,Unidades,0)),"")&lt;&gt;INDEX(InsBase,MATCH(B586,ListaInsumos,0)),"Unidad incompatible",IF(F586="","Insumo sin compras","OK")))))</f>
        <v/>
      </c>
      <c r="I586" s="15"/>
    </row>
    <row r="587" customFormat="false" ht="15" hidden="false" customHeight="false" outlineLevel="0" collapsed="false">
      <c r="A587" s="15"/>
      <c r="B587" s="15"/>
      <c r="C587" s="27"/>
      <c r="D587" s="15"/>
      <c r="E587" s="25" t="str">
        <f aca="true">IF(OR(C587="",D587=""),"",IFERROR(C587*INDEX(UnidadesFactor,MATCH(D587,Unidades,0)),""))</f>
        <v/>
      </c>
      <c r="F587" s="18" t="str">
        <f aca="true">IF(B587="","",IFERROR(INDEX(InsCosto,MATCH(B587,ListaInsumos,0)),""))</f>
        <v/>
      </c>
      <c r="G587" s="19" t="str">
        <f aca="false">IF(AND(A587="",B587=""),"",IF(H587="OK",E587*F587,0))</f>
        <v/>
      </c>
      <c r="H587" s="20" t="str">
        <f aca="true">IF(AND(A587="",B587=""),"",IF(ISNA(MATCH(B587,ListaInsumos,0)),"Insumo no está en Insumos",IF(C587="","Falta cantidad",IF(IFERROR(INDEX(UnidadesBase,MATCH(D587,Unidades,0)),"")&lt;&gt;INDEX(InsBase,MATCH(B587,ListaInsumos,0)),"Unidad incompatible",IF(F587="","Insumo sin compras","OK")))))</f>
        <v/>
      </c>
      <c r="I587" s="15"/>
    </row>
    <row r="588" customFormat="false" ht="15" hidden="false" customHeight="false" outlineLevel="0" collapsed="false">
      <c r="A588" s="15"/>
      <c r="B588" s="15"/>
      <c r="C588" s="27"/>
      <c r="D588" s="15"/>
      <c r="E588" s="25" t="str">
        <f aca="true">IF(OR(C588="",D588=""),"",IFERROR(C588*INDEX(UnidadesFactor,MATCH(D588,Unidades,0)),""))</f>
        <v/>
      </c>
      <c r="F588" s="18" t="str">
        <f aca="true">IF(B588="","",IFERROR(INDEX(InsCosto,MATCH(B588,ListaInsumos,0)),""))</f>
        <v/>
      </c>
      <c r="G588" s="19" t="str">
        <f aca="false">IF(AND(A588="",B588=""),"",IF(H588="OK",E588*F588,0))</f>
        <v/>
      </c>
      <c r="H588" s="20" t="str">
        <f aca="true">IF(AND(A588="",B588=""),"",IF(ISNA(MATCH(B588,ListaInsumos,0)),"Insumo no está en Insumos",IF(C588="","Falta cantidad",IF(IFERROR(INDEX(UnidadesBase,MATCH(D588,Unidades,0)),"")&lt;&gt;INDEX(InsBase,MATCH(B588,ListaInsumos,0)),"Unidad incompatible",IF(F588="","Insumo sin compras","OK")))))</f>
        <v/>
      </c>
      <c r="I588" s="15"/>
    </row>
    <row r="589" customFormat="false" ht="15" hidden="false" customHeight="false" outlineLevel="0" collapsed="false">
      <c r="A589" s="15"/>
      <c r="B589" s="15"/>
      <c r="C589" s="27"/>
      <c r="D589" s="15"/>
      <c r="E589" s="25" t="str">
        <f aca="true">IF(OR(C589="",D589=""),"",IFERROR(C589*INDEX(UnidadesFactor,MATCH(D589,Unidades,0)),""))</f>
        <v/>
      </c>
      <c r="F589" s="18" t="str">
        <f aca="true">IF(B589="","",IFERROR(INDEX(InsCosto,MATCH(B589,ListaInsumos,0)),""))</f>
        <v/>
      </c>
      <c r="G589" s="19" t="str">
        <f aca="false">IF(AND(A589="",B589=""),"",IF(H589="OK",E589*F589,0))</f>
        <v/>
      </c>
      <c r="H589" s="20" t="str">
        <f aca="true">IF(AND(A589="",B589=""),"",IF(ISNA(MATCH(B589,ListaInsumos,0)),"Insumo no está en Insumos",IF(C589="","Falta cantidad",IF(IFERROR(INDEX(UnidadesBase,MATCH(D589,Unidades,0)),"")&lt;&gt;INDEX(InsBase,MATCH(B589,ListaInsumos,0)),"Unidad incompatible",IF(F589="","Insumo sin compras","OK")))))</f>
        <v/>
      </c>
      <c r="I589" s="15"/>
    </row>
    <row r="590" customFormat="false" ht="15" hidden="false" customHeight="false" outlineLevel="0" collapsed="false">
      <c r="A590" s="15"/>
      <c r="B590" s="15"/>
      <c r="C590" s="27"/>
      <c r="D590" s="15"/>
      <c r="E590" s="25" t="str">
        <f aca="true">IF(OR(C590="",D590=""),"",IFERROR(C590*INDEX(UnidadesFactor,MATCH(D590,Unidades,0)),""))</f>
        <v/>
      </c>
      <c r="F590" s="18" t="str">
        <f aca="true">IF(B590="","",IFERROR(INDEX(InsCosto,MATCH(B590,ListaInsumos,0)),""))</f>
        <v/>
      </c>
      <c r="G590" s="19" t="str">
        <f aca="false">IF(AND(A590="",B590=""),"",IF(H590="OK",E590*F590,0))</f>
        <v/>
      </c>
      <c r="H590" s="20" t="str">
        <f aca="true">IF(AND(A590="",B590=""),"",IF(ISNA(MATCH(B590,ListaInsumos,0)),"Insumo no está en Insumos",IF(C590="","Falta cantidad",IF(IFERROR(INDEX(UnidadesBase,MATCH(D590,Unidades,0)),"")&lt;&gt;INDEX(InsBase,MATCH(B590,ListaInsumos,0)),"Unidad incompatible",IF(F590="","Insumo sin compras","OK")))))</f>
        <v/>
      </c>
      <c r="I590" s="15"/>
    </row>
    <row r="591" customFormat="false" ht="15" hidden="false" customHeight="false" outlineLevel="0" collapsed="false">
      <c r="A591" s="15"/>
      <c r="B591" s="15"/>
      <c r="C591" s="27"/>
      <c r="D591" s="15"/>
      <c r="E591" s="25" t="str">
        <f aca="true">IF(OR(C591="",D591=""),"",IFERROR(C591*INDEX(UnidadesFactor,MATCH(D591,Unidades,0)),""))</f>
        <v/>
      </c>
      <c r="F591" s="18" t="str">
        <f aca="true">IF(B591="","",IFERROR(INDEX(InsCosto,MATCH(B591,ListaInsumos,0)),""))</f>
        <v/>
      </c>
      <c r="G591" s="19" t="str">
        <f aca="false">IF(AND(A591="",B591=""),"",IF(H591="OK",E591*F591,0))</f>
        <v/>
      </c>
      <c r="H591" s="20" t="str">
        <f aca="true">IF(AND(A591="",B591=""),"",IF(ISNA(MATCH(B591,ListaInsumos,0)),"Insumo no está en Insumos",IF(C591="","Falta cantidad",IF(IFERROR(INDEX(UnidadesBase,MATCH(D591,Unidades,0)),"")&lt;&gt;INDEX(InsBase,MATCH(B591,ListaInsumos,0)),"Unidad incompatible",IF(F591="","Insumo sin compras","OK")))))</f>
        <v/>
      </c>
      <c r="I591" s="15"/>
    </row>
    <row r="592" customFormat="false" ht="15" hidden="false" customHeight="false" outlineLevel="0" collapsed="false">
      <c r="A592" s="15"/>
      <c r="B592" s="15"/>
      <c r="C592" s="27"/>
      <c r="D592" s="15"/>
      <c r="E592" s="25" t="str">
        <f aca="true">IF(OR(C592="",D592=""),"",IFERROR(C592*INDEX(UnidadesFactor,MATCH(D592,Unidades,0)),""))</f>
        <v/>
      </c>
      <c r="F592" s="18" t="str">
        <f aca="true">IF(B592="","",IFERROR(INDEX(InsCosto,MATCH(B592,ListaInsumos,0)),""))</f>
        <v/>
      </c>
      <c r="G592" s="19" t="str">
        <f aca="false">IF(AND(A592="",B592=""),"",IF(H592="OK",E592*F592,0))</f>
        <v/>
      </c>
      <c r="H592" s="20" t="str">
        <f aca="true">IF(AND(A592="",B592=""),"",IF(ISNA(MATCH(B592,ListaInsumos,0)),"Insumo no está en Insumos",IF(C592="","Falta cantidad",IF(IFERROR(INDEX(UnidadesBase,MATCH(D592,Unidades,0)),"")&lt;&gt;INDEX(InsBase,MATCH(B592,ListaInsumos,0)),"Unidad incompatible",IF(F592="","Insumo sin compras","OK")))))</f>
        <v/>
      </c>
      <c r="I592" s="15"/>
    </row>
    <row r="593" customFormat="false" ht="15" hidden="false" customHeight="false" outlineLevel="0" collapsed="false">
      <c r="A593" s="15"/>
      <c r="B593" s="15"/>
      <c r="C593" s="27"/>
      <c r="D593" s="15"/>
      <c r="E593" s="25" t="str">
        <f aca="true">IF(OR(C593="",D593=""),"",IFERROR(C593*INDEX(UnidadesFactor,MATCH(D593,Unidades,0)),""))</f>
        <v/>
      </c>
      <c r="F593" s="18" t="str">
        <f aca="true">IF(B593="","",IFERROR(INDEX(InsCosto,MATCH(B593,ListaInsumos,0)),""))</f>
        <v/>
      </c>
      <c r="G593" s="19" t="str">
        <f aca="false">IF(AND(A593="",B593=""),"",IF(H593="OK",E593*F593,0))</f>
        <v/>
      </c>
      <c r="H593" s="20" t="str">
        <f aca="true">IF(AND(A593="",B593=""),"",IF(ISNA(MATCH(B593,ListaInsumos,0)),"Insumo no está en Insumos",IF(C593="","Falta cantidad",IF(IFERROR(INDEX(UnidadesBase,MATCH(D593,Unidades,0)),"")&lt;&gt;INDEX(InsBase,MATCH(B593,ListaInsumos,0)),"Unidad incompatible",IF(F593="","Insumo sin compras","OK")))))</f>
        <v/>
      </c>
      <c r="I593" s="15"/>
    </row>
    <row r="594" customFormat="false" ht="15" hidden="false" customHeight="false" outlineLevel="0" collapsed="false">
      <c r="A594" s="15"/>
      <c r="B594" s="15"/>
      <c r="C594" s="27"/>
      <c r="D594" s="15"/>
      <c r="E594" s="25" t="str">
        <f aca="true">IF(OR(C594="",D594=""),"",IFERROR(C594*INDEX(UnidadesFactor,MATCH(D594,Unidades,0)),""))</f>
        <v/>
      </c>
      <c r="F594" s="18" t="str">
        <f aca="true">IF(B594="","",IFERROR(INDEX(InsCosto,MATCH(B594,ListaInsumos,0)),""))</f>
        <v/>
      </c>
      <c r="G594" s="19" t="str">
        <f aca="false">IF(AND(A594="",B594=""),"",IF(H594="OK",E594*F594,0))</f>
        <v/>
      </c>
      <c r="H594" s="20" t="str">
        <f aca="true">IF(AND(A594="",B594=""),"",IF(ISNA(MATCH(B594,ListaInsumos,0)),"Insumo no está en Insumos",IF(C594="","Falta cantidad",IF(IFERROR(INDEX(UnidadesBase,MATCH(D594,Unidades,0)),"")&lt;&gt;INDEX(InsBase,MATCH(B594,ListaInsumos,0)),"Unidad incompatible",IF(F594="","Insumo sin compras","OK")))))</f>
        <v/>
      </c>
      <c r="I594" s="15"/>
    </row>
    <row r="595" customFormat="false" ht="15" hidden="false" customHeight="false" outlineLevel="0" collapsed="false">
      <c r="A595" s="15"/>
      <c r="B595" s="15"/>
      <c r="C595" s="27"/>
      <c r="D595" s="15"/>
      <c r="E595" s="25" t="str">
        <f aca="true">IF(OR(C595="",D595=""),"",IFERROR(C595*INDEX(UnidadesFactor,MATCH(D595,Unidades,0)),""))</f>
        <v/>
      </c>
      <c r="F595" s="18" t="str">
        <f aca="true">IF(B595="","",IFERROR(INDEX(InsCosto,MATCH(B595,ListaInsumos,0)),""))</f>
        <v/>
      </c>
      <c r="G595" s="19" t="str">
        <f aca="false">IF(AND(A595="",B595=""),"",IF(H595="OK",E595*F595,0))</f>
        <v/>
      </c>
      <c r="H595" s="20" t="str">
        <f aca="true">IF(AND(A595="",B595=""),"",IF(ISNA(MATCH(B595,ListaInsumos,0)),"Insumo no está en Insumos",IF(C595="","Falta cantidad",IF(IFERROR(INDEX(UnidadesBase,MATCH(D595,Unidades,0)),"")&lt;&gt;INDEX(InsBase,MATCH(B595,ListaInsumos,0)),"Unidad incompatible",IF(F595="","Insumo sin compras","OK")))))</f>
        <v/>
      </c>
      <c r="I595" s="15"/>
    </row>
    <row r="596" customFormat="false" ht="15" hidden="false" customHeight="false" outlineLevel="0" collapsed="false">
      <c r="A596" s="15"/>
      <c r="B596" s="15"/>
      <c r="C596" s="27"/>
      <c r="D596" s="15"/>
      <c r="E596" s="25" t="str">
        <f aca="true">IF(OR(C596="",D596=""),"",IFERROR(C596*INDEX(UnidadesFactor,MATCH(D596,Unidades,0)),""))</f>
        <v/>
      </c>
      <c r="F596" s="18" t="str">
        <f aca="true">IF(B596="","",IFERROR(INDEX(InsCosto,MATCH(B596,ListaInsumos,0)),""))</f>
        <v/>
      </c>
      <c r="G596" s="19" t="str">
        <f aca="false">IF(AND(A596="",B596=""),"",IF(H596="OK",E596*F596,0))</f>
        <v/>
      </c>
      <c r="H596" s="20" t="str">
        <f aca="true">IF(AND(A596="",B596=""),"",IF(ISNA(MATCH(B596,ListaInsumos,0)),"Insumo no está en Insumos",IF(C596="","Falta cantidad",IF(IFERROR(INDEX(UnidadesBase,MATCH(D596,Unidades,0)),"")&lt;&gt;INDEX(InsBase,MATCH(B596,ListaInsumos,0)),"Unidad incompatible",IF(F596="","Insumo sin compras","OK")))))</f>
        <v/>
      </c>
      <c r="I596" s="15"/>
    </row>
    <row r="597" customFormat="false" ht="15" hidden="false" customHeight="false" outlineLevel="0" collapsed="false">
      <c r="A597" s="15"/>
      <c r="B597" s="15"/>
      <c r="C597" s="27"/>
      <c r="D597" s="15"/>
      <c r="E597" s="25" t="str">
        <f aca="true">IF(OR(C597="",D597=""),"",IFERROR(C597*INDEX(UnidadesFactor,MATCH(D597,Unidades,0)),""))</f>
        <v/>
      </c>
      <c r="F597" s="18" t="str">
        <f aca="true">IF(B597="","",IFERROR(INDEX(InsCosto,MATCH(B597,ListaInsumos,0)),""))</f>
        <v/>
      </c>
      <c r="G597" s="19" t="str">
        <f aca="false">IF(AND(A597="",B597=""),"",IF(H597="OK",E597*F597,0))</f>
        <v/>
      </c>
      <c r="H597" s="20" t="str">
        <f aca="true">IF(AND(A597="",B597=""),"",IF(ISNA(MATCH(B597,ListaInsumos,0)),"Insumo no está en Insumos",IF(C597="","Falta cantidad",IF(IFERROR(INDEX(UnidadesBase,MATCH(D597,Unidades,0)),"")&lt;&gt;INDEX(InsBase,MATCH(B597,ListaInsumos,0)),"Unidad incompatible",IF(F597="","Insumo sin compras","OK")))))</f>
        <v/>
      </c>
      <c r="I597" s="15"/>
    </row>
    <row r="598" customFormat="false" ht="15" hidden="false" customHeight="false" outlineLevel="0" collapsed="false">
      <c r="A598" s="15"/>
      <c r="B598" s="15"/>
      <c r="C598" s="27"/>
      <c r="D598" s="15"/>
      <c r="E598" s="25" t="str">
        <f aca="true">IF(OR(C598="",D598=""),"",IFERROR(C598*INDEX(UnidadesFactor,MATCH(D598,Unidades,0)),""))</f>
        <v/>
      </c>
      <c r="F598" s="18" t="str">
        <f aca="true">IF(B598="","",IFERROR(INDEX(InsCosto,MATCH(B598,ListaInsumos,0)),""))</f>
        <v/>
      </c>
      <c r="G598" s="19" t="str">
        <f aca="false">IF(AND(A598="",B598=""),"",IF(H598="OK",E598*F598,0))</f>
        <v/>
      </c>
      <c r="H598" s="20" t="str">
        <f aca="true">IF(AND(A598="",B598=""),"",IF(ISNA(MATCH(B598,ListaInsumos,0)),"Insumo no está en Insumos",IF(C598="","Falta cantidad",IF(IFERROR(INDEX(UnidadesBase,MATCH(D598,Unidades,0)),"")&lt;&gt;INDEX(InsBase,MATCH(B598,ListaInsumos,0)),"Unidad incompatible",IF(F598="","Insumo sin compras","OK")))))</f>
        <v/>
      </c>
      <c r="I598" s="15"/>
    </row>
    <row r="599" customFormat="false" ht="15" hidden="false" customHeight="false" outlineLevel="0" collapsed="false">
      <c r="A599" s="15"/>
      <c r="B599" s="15"/>
      <c r="C599" s="27"/>
      <c r="D599" s="15"/>
      <c r="E599" s="25" t="str">
        <f aca="true">IF(OR(C599="",D599=""),"",IFERROR(C599*INDEX(UnidadesFactor,MATCH(D599,Unidades,0)),""))</f>
        <v/>
      </c>
      <c r="F599" s="18" t="str">
        <f aca="true">IF(B599="","",IFERROR(INDEX(InsCosto,MATCH(B599,ListaInsumos,0)),""))</f>
        <v/>
      </c>
      <c r="G599" s="19" t="str">
        <f aca="false">IF(AND(A599="",B599=""),"",IF(H599="OK",E599*F599,0))</f>
        <v/>
      </c>
      <c r="H599" s="20" t="str">
        <f aca="true">IF(AND(A599="",B599=""),"",IF(ISNA(MATCH(B599,ListaInsumos,0)),"Insumo no está en Insumos",IF(C599="","Falta cantidad",IF(IFERROR(INDEX(UnidadesBase,MATCH(D599,Unidades,0)),"")&lt;&gt;INDEX(InsBase,MATCH(B599,ListaInsumos,0)),"Unidad incompatible",IF(F599="","Insumo sin compras","OK")))))</f>
        <v/>
      </c>
      <c r="I599" s="15"/>
    </row>
    <row r="600" customFormat="false" ht="15" hidden="false" customHeight="false" outlineLevel="0" collapsed="false">
      <c r="A600" s="15"/>
      <c r="B600" s="15"/>
      <c r="C600" s="27"/>
      <c r="D600" s="15"/>
      <c r="E600" s="25" t="str">
        <f aca="true">IF(OR(C600="",D600=""),"",IFERROR(C600*INDEX(UnidadesFactor,MATCH(D600,Unidades,0)),""))</f>
        <v/>
      </c>
      <c r="F600" s="18" t="str">
        <f aca="true">IF(B600="","",IFERROR(INDEX(InsCosto,MATCH(B600,ListaInsumos,0)),""))</f>
        <v/>
      </c>
      <c r="G600" s="19" t="str">
        <f aca="false">IF(AND(A600="",B600=""),"",IF(H600="OK",E600*F600,0))</f>
        <v/>
      </c>
      <c r="H600" s="20" t="str">
        <f aca="true">IF(AND(A600="",B600=""),"",IF(ISNA(MATCH(B600,ListaInsumos,0)),"Insumo no está en Insumos",IF(C600="","Falta cantidad",IF(IFERROR(INDEX(UnidadesBase,MATCH(D600,Unidades,0)),"")&lt;&gt;INDEX(InsBase,MATCH(B600,ListaInsumos,0)),"Unidad incompatible",IF(F600="","Insumo sin compras","OK")))))</f>
        <v/>
      </c>
      <c r="I600" s="15"/>
    </row>
    <row r="601" customFormat="false" ht="15" hidden="false" customHeight="false" outlineLevel="0" collapsed="false">
      <c r="A601" s="15"/>
      <c r="B601" s="15"/>
      <c r="C601" s="27"/>
      <c r="D601" s="15"/>
      <c r="E601" s="25" t="str">
        <f aca="true">IF(OR(C601="",D601=""),"",IFERROR(C601*INDEX(UnidadesFactor,MATCH(D601,Unidades,0)),""))</f>
        <v/>
      </c>
      <c r="F601" s="18" t="str">
        <f aca="true">IF(B601="","",IFERROR(INDEX(InsCosto,MATCH(B601,ListaInsumos,0)),""))</f>
        <v/>
      </c>
      <c r="G601" s="19" t="str">
        <f aca="false">IF(AND(A601="",B601=""),"",IF(H601="OK",E601*F601,0))</f>
        <v/>
      </c>
      <c r="H601" s="20" t="str">
        <f aca="true">IF(AND(A601="",B601=""),"",IF(ISNA(MATCH(B601,ListaInsumos,0)),"Insumo no está en Insumos",IF(C601="","Falta cantidad",IF(IFERROR(INDEX(UnidadesBase,MATCH(D601,Unidades,0)),"")&lt;&gt;INDEX(InsBase,MATCH(B601,ListaInsumos,0)),"Unidad incompatible",IF(F601="","Insumo sin compras","OK")))))</f>
        <v/>
      </c>
      <c r="I601" s="15"/>
    </row>
    <row r="602" customFormat="false" ht="15" hidden="false" customHeight="false" outlineLevel="0" collapsed="false">
      <c r="A602" s="15"/>
      <c r="B602" s="15"/>
      <c r="C602" s="27"/>
      <c r="D602" s="15"/>
      <c r="E602" s="25" t="str">
        <f aca="true">IF(OR(C602="",D602=""),"",IFERROR(C602*INDEX(UnidadesFactor,MATCH(D602,Unidades,0)),""))</f>
        <v/>
      </c>
      <c r="F602" s="18" t="str">
        <f aca="true">IF(B602="","",IFERROR(INDEX(InsCosto,MATCH(B602,ListaInsumos,0)),""))</f>
        <v/>
      </c>
      <c r="G602" s="19" t="str">
        <f aca="false">IF(AND(A602="",B602=""),"",IF(H602="OK",E602*F602,0))</f>
        <v/>
      </c>
      <c r="H602" s="20" t="str">
        <f aca="true">IF(AND(A602="",B602=""),"",IF(ISNA(MATCH(B602,ListaInsumos,0)),"Insumo no está en Insumos",IF(C602="","Falta cantidad",IF(IFERROR(INDEX(UnidadesBase,MATCH(D602,Unidades,0)),"")&lt;&gt;INDEX(InsBase,MATCH(B602,ListaInsumos,0)),"Unidad incompatible",IF(F602="","Insumo sin compras","OK")))))</f>
        <v/>
      </c>
      <c r="I602" s="15"/>
    </row>
    <row r="603" customFormat="false" ht="15" hidden="false" customHeight="false" outlineLevel="0" collapsed="false">
      <c r="A603" s="15"/>
      <c r="B603" s="15"/>
      <c r="C603" s="27"/>
      <c r="D603" s="15"/>
      <c r="E603" s="25" t="str">
        <f aca="true">IF(OR(C603="",D603=""),"",IFERROR(C603*INDEX(UnidadesFactor,MATCH(D603,Unidades,0)),""))</f>
        <v/>
      </c>
      <c r="F603" s="18" t="str">
        <f aca="true">IF(B603="","",IFERROR(INDEX(InsCosto,MATCH(B603,ListaInsumos,0)),""))</f>
        <v/>
      </c>
      <c r="G603" s="19" t="str">
        <f aca="false">IF(AND(A603="",B603=""),"",IF(H603="OK",E603*F603,0))</f>
        <v/>
      </c>
      <c r="H603" s="20" t="str">
        <f aca="true">IF(AND(A603="",B603=""),"",IF(ISNA(MATCH(B603,ListaInsumos,0)),"Insumo no está en Insumos",IF(C603="","Falta cantidad",IF(IFERROR(INDEX(UnidadesBase,MATCH(D603,Unidades,0)),"")&lt;&gt;INDEX(InsBase,MATCH(B603,ListaInsumos,0)),"Unidad incompatible",IF(F603="","Insumo sin compras","OK")))))</f>
        <v/>
      </c>
      <c r="I603" s="15"/>
    </row>
    <row r="604" customFormat="false" ht="15" hidden="false" customHeight="false" outlineLevel="0" collapsed="false">
      <c r="A604" s="15"/>
      <c r="B604" s="15"/>
      <c r="C604" s="27"/>
      <c r="D604" s="15"/>
      <c r="E604" s="25" t="str">
        <f aca="true">IF(OR(C604="",D604=""),"",IFERROR(C604*INDEX(UnidadesFactor,MATCH(D604,Unidades,0)),""))</f>
        <v/>
      </c>
      <c r="F604" s="18" t="str">
        <f aca="true">IF(B604="","",IFERROR(INDEX(InsCosto,MATCH(B604,ListaInsumos,0)),""))</f>
        <v/>
      </c>
      <c r="G604" s="19" t="str">
        <f aca="false">IF(AND(A604="",B604=""),"",IF(H604="OK",E604*F604,0))</f>
        <v/>
      </c>
      <c r="H604" s="20" t="str">
        <f aca="true">IF(AND(A604="",B604=""),"",IF(ISNA(MATCH(B604,ListaInsumos,0)),"Insumo no está en Insumos",IF(C604="","Falta cantidad",IF(IFERROR(INDEX(UnidadesBase,MATCH(D604,Unidades,0)),"")&lt;&gt;INDEX(InsBase,MATCH(B604,ListaInsumos,0)),"Unidad incompatible",IF(F604="","Insumo sin compras","OK")))))</f>
        <v/>
      </c>
      <c r="I604" s="15"/>
    </row>
    <row r="605" customFormat="false" ht="15" hidden="false" customHeight="false" outlineLevel="0" collapsed="false">
      <c r="A605" s="15"/>
      <c r="B605" s="15"/>
      <c r="C605" s="27"/>
      <c r="D605" s="15"/>
      <c r="E605" s="25" t="str">
        <f aca="true">IF(OR(C605="",D605=""),"",IFERROR(C605*INDEX(UnidadesFactor,MATCH(D605,Unidades,0)),""))</f>
        <v/>
      </c>
      <c r="F605" s="18" t="str">
        <f aca="true">IF(B605="","",IFERROR(INDEX(InsCosto,MATCH(B605,ListaInsumos,0)),""))</f>
        <v/>
      </c>
      <c r="G605" s="19" t="str">
        <f aca="false">IF(AND(A605="",B605=""),"",IF(H605="OK",E605*F605,0))</f>
        <v/>
      </c>
      <c r="H605" s="20" t="str">
        <f aca="true">IF(AND(A605="",B605=""),"",IF(ISNA(MATCH(B605,ListaInsumos,0)),"Insumo no está en Insumos",IF(C605="","Falta cantidad",IF(IFERROR(INDEX(UnidadesBase,MATCH(D605,Unidades,0)),"")&lt;&gt;INDEX(InsBase,MATCH(B605,ListaInsumos,0)),"Unidad incompatible",IF(F605="","Insumo sin compras","OK")))))</f>
        <v/>
      </c>
      <c r="I605" s="15"/>
    </row>
    <row r="606" customFormat="false" ht="15" hidden="false" customHeight="false" outlineLevel="0" collapsed="false">
      <c r="A606" s="15"/>
      <c r="B606" s="15"/>
      <c r="C606" s="27"/>
      <c r="D606" s="15"/>
      <c r="E606" s="25" t="str">
        <f aca="true">IF(OR(C606="",D606=""),"",IFERROR(C606*INDEX(UnidadesFactor,MATCH(D606,Unidades,0)),""))</f>
        <v/>
      </c>
      <c r="F606" s="18" t="str">
        <f aca="true">IF(B606="","",IFERROR(INDEX(InsCosto,MATCH(B606,ListaInsumos,0)),""))</f>
        <v/>
      </c>
      <c r="G606" s="19" t="str">
        <f aca="false">IF(AND(A606="",B606=""),"",IF(H606="OK",E606*F606,0))</f>
        <v/>
      </c>
      <c r="H606" s="20" t="str">
        <f aca="true">IF(AND(A606="",B606=""),"",IF(ISNA(MATCH(B606,ListaInsumos,0)),"Insumo no está en Insumos",IF(C606="","Falta cantidad",IF(IFERROR(INDEX(UnidadesBase,MATCH(D606,Unidades,0)),"")&lt;&gt;INDEX(InsBase,MATCH(B606,ListaInsumos,0)),"Unidad incompatible",IF(F606="","Insumo sin compras","OK")))))</f>
        <v/>
      </c>
      <c r="I606" s="15"/>
    </row>
    <row r="607" customFormat="false" ht="15" hidden="false" customHeight="false" outlineLevel="0" collapsed="false">
      <c r="A607" s="15"/>
      <c r="B607" s="15"/>
      <c r="C607" s="27"/>
      <c r="D607" s="15"/>
      <c r="E607" s="25" t="str">
        <f aca="true">IF(OR(C607="",D607=""),"",IFERROR(C607*INDEX(UnidadesFactor,MATCH(D607,Unidades,0)),""))</f>
        <v/>
      </c>
      <c r="F607" s="18" t="str">
        <f aca="true">IF(B607="","",IFERROR(INDEX(InsCosto,MATCH(B607,ListaInsumos,0)),""))</f>
        <v/>
      </c>
      <c r="G607" s="19" t="str">
        <f aca="false">IF(AND(A607="",B607=""),"",IF(H607="OK",E607*F607,0))</f>
        <v/>
      </c>
      <c r="H607" s="20" t="str">
        <f aca="true">IF(AND(A607="",B607=""),"",IF(ISNA(MATCH(B607,ListaInsumos,0)),"Insumo no está en Insumos",IF(C607="","Falta cantidad",IF(IFERROR(INDEX(UnidadesBase,MATCH(D607,Unidades,0)),"")&lt;&gt;INDEX(InsBase,MATCH(B607,ListaInsumos,0)),"Unidad incompatible",IF(F607="","Insumo sin compras","OK")))))</f>
        <v/>
      </c>
      <c r="I607" s="15"/>
    </row>
    <row r="608" customFormat="false" ht="15" hidden="false" customHeight="false" outlineLevel="0" collapsed="false">
      <c r="A608" s="15"/>
      <c r="B608" s="15"/>
      <c r="C608" s="27"/>
      <c r="D608" s="15"/>
      <c r="E608" s="25" t="str">
        <f aca="true">IF(OR(C608="",D608=""),"",IFERROR(C608*INDEX(UnidadesFactor,MATCH(D608,Unidades,0)),""))</f>
        <v/>
      </c>
      <c r="F608" s="18" t="str">
        <f aca="true">IF(B608="","",IFERROR(INDEX(InsCosto,MATCH(B608,ListaInsumos,0)),""))</f>
        <v/>
      </c>
      <c r="G608" s="19" t="str">
        <f aca="false">IF(AND(A608="",B608=""),"",IF(H608="OK",E608*F608,0))</f>
        <v/>
      </c>
      <c r="H608" s="20" t="str">
        <f aca="true">IF(AND(A608="",B608=""),"",IF(ISNA(MATCH(B608,ListaInsumos,0)),"Insumo no está en Insumos",IF(C608="","Falta cantidad",IF(IFERROR(INDEX(UnidadesBase,MATCH(D608,Unidades,0)),"")&lt;&gt;INDEX(InsBase,MATCH(B608,ListaInsumos,0)),"Unidad incompatible",IF(F608="","Insumo sin compras","OK")))))</f>
        <v/>
      </c>
      <c r="I608" s="15"/>
    </row>
    <row r="609" customFormat="false" ht="15" hidden="false" customHeight="false" outlineLevel="0" collapsed="false">
      <c r="A609" s="15"/>
      <c r="B609" s="15"/>
      <c r="C609" s="27"/>
      <c r="D609" s="15"/>
      <c r="E609" s="25" t="str">
        <f aca="true">IF(OR(C609="",D609=""),"",IFERROR(C609*INDEX(UnidadesFactor,MATCH(D609,Unidades,0)),""))</f>
        <v/>
      </c>
      <c r="F609" s="18" t="str">
        <f aca="true">IF(B609="","",IFERROR(INDEX(InsCosto,MATCH(B609,ListaInsumos,0)),""))</f>
        <v/>
      </c>
      <c r="G609" s="19" t="str">
        <f aca="false">IF(AND(A609="",B609=""),"",IF(H609="OK",E609*F609,0))</f>
        <v/>
      </c>
      <c r="H609" s="20" t="str">
        <f aca="true">IF(AND(A609="",B609=""),"",IF(ISNA(MATCH(B609,ListaInsumos,0)),"Insumo no está en Insumos",IF(C609="","Falta cantidad",IF(IFERROR(INDEX(UnidadesBase,MATCH(D609,Unidades,0)),"")&lt;&gt;INDEX(InsBase,MATCH(B609,ListaInsumos,0)),"Unidad incompatible",IF(F609="","Insumo sin compras","OK")))))</f>
        <v/>
      </c>
      <c r="I609" s="15"/>
    </row>
    <row r="610" customFormat="false" ht="15" hidden="false" customHeight="false" outlineLevel="0" collapsed="false">
      <c r="A610" s="15"/>
      <c r="B610" s="15"/>
      <c r="C610" s="27"/>
      <c r="D610" s="15"/>
      <c r="E610" s="25" t="str">
        <f aca="true">IF(OR(C610="",D610=""),"",IFERROR(C610*INDEX(UnidadesFactor,MATCH(D610,Unidades,0)),""))</f>
        <v/>
      </c>
      <c r="F610" s="18" t="str">
        <f aca="true">IF(B610="","",IFERROR(INDEX(InsCosto,MATCH(B610,ListaInsumos,0)),""))</f>
        <v/>
      </c>
      <c r="G610" s="19" t="str">
        <f aca="false">IF(AND(A610="",B610=""),"",IF(H610="OK",E610*F610,0))</f>
        <v/>
      </c>
      <c r="H610" s="20" t="str">
        <f aca="true">IF(AND(A610="",B610=""),"",IF(ISNA(MATCH(B610,ListaInsumos,0)),"Insumo no está en Insumos",IF(C610="","Falta cantidad",IF(IFERROR(INDEX(UnidadesBase,MATCH(D610,Unidades,0)),"")&lt;&gt;INDEX(InsBase,MATCH(B610,ListaInsumos,0)),"Unidad incompatible",IF(F610="","Insumo sin compras","OK")))))</f>
        <v/>
      </c>
      <c r="I610" s="15"/>
    </row>
    <row r="611" customFormat="false" ht="15" hidden="false" customHeight="false" outlineLevel="0" collapsed="false">
      <c r="A611" s="15"/>
      <c r="B611" s="15"/>
      <c r="C611" s="27"/>
      <c r="D611" s="15"/>
      <c r="E611" s="25" t="str">
        <f aca="true">IF(OR(C611="",D611=""),"",IFERROR(C611*INDEX(UnidadesFactor,MATCH(D611,Unidades,0)),""))</f>
        <v/>
      </c>
      <c r="F611" s="18" t="str">
        <f aca="true">IF(B611="","",IFERROR(INDEX(InsCosto,MATCH(B611,ListaInsumos,0)),""))</f>
        <v/>
      </c>
      <c r="G611" s="19" t="str">
        <f aca="false">IF(AND(A611="",B611=""),"",IF(H611="OK",E611*F611,0))</f>
        <v/>
      </c>
      <c r="H611" s="20" t="str">
        <f aca="true">IF(AND(A611="",B611=""),"",IF(ISNA(MATCH(B611,ListaInsumos,0)),"Insumo no está en Insumos",IF(C611="","Falta cantidad",IF(IFERROR(INDEX(UnidadesBase,MATCH(D611,Unidades,0)),"")&lt;&gt;INDEX(InsBase,MATCH(B611,ListaInsumos,0)),"Unidad incompatible",IF(F611="","Insumo sin compras","OK")))))</f>
        <v/>
      </c>
      <c r="I611" s="15"/>
    </row>
    <row r="612" customFormat="false" ht="15" hidden="false" customHeight="false" outlineLevel="0" collapsed="false">
      <c r="A612" s="15"/>
      <c r="B612" s="15"/>
      <c r="C612" s="27"/>
      <c r="D612" s="15"/>
      <c r="E612" s="25" t="str">
        <f aca="true">IF(OR(C612="",D612=""),"",IFERROR(C612*INDEX(UnidadesFactor,MATCH(D612,Unidades,0)),""))</f>
        <v/>
      </c>
      <c r="F612" s="18" t="str">
        <f aca="true">IF(B612="","",IFERROR(INDEX(InsCosto,MATCH(B612,ListaInsumos,0)),""))</f>
        <v/>
      </c>
      <c r="G612" s="19" t="str">
        <f aca="false">IF(AND(A612="",B612=""),"",IF(H612="OK",E612*F612,0))</f>
        <v/>
      </c>
      <c r="H612" s="20" t="str">
        <f aca="true">IF(AND(A612="",B612=""),"",IF(ISNA(MATCH(B612,ListaInsumos,0)),"Insumo no está en Insumos",IF(C612="","Falta cantidad",IF(IFERROR(INDEX(UnidadesBase,MATCH(D612,Unidades,0)),"")&lt;&gt;INDEX(InsBase,MATCH(B612,ListaInsumos,0)),"Unidad incompatible",IF(F612="","Insumo sin compras","OK")))))</f>
        <v/>
      </c>
      <c r="I612" s="15"/>
    </row>
    <row r="613" customFormat="false" ht="15" hidden="false" customHeight="false" outlineLevel="0" collapsed="false">
      <c r="A613" s="15"/>
      <c r="B613" s="15"/>
      <c r="C613" s="27"/>
      <c r="D613" s="15"/>
      <c r="E613" s="25" t="str">
        <f aca="true">IF(OR(C613="",D613=""),"",IFERROR(C613*INDEX(UnidadesFactor,MATCH(D613,Unidades,0)),""))</f>
        <v/>
      </c>
      <c r="F613" s="18" t="str">
        <f aca="true">IF(B613="","",IFERROR(INDEX(InsCosto,MATCH(B613,ListaInsumos,0)),""))</f>
        <v/>
      </c>
      <c r="G613" s="19" t="str">
        <f aca="false">IF(AND(A613="",B613=""),"",IF(H613="OK",E613*F613,0))</f>
        <v/>
      </c>
      <c r="H613" s="20" t="str">
        <f aca="true">IF(AND(A613="",B613=""),"",IF(ISNA(MATCH(B613,ListaInsumos,0)),"Insumo no está en Insumos",IF(C613="","Falta cantidad",IF(IFERROR(INDEX(UnidadesBase,MATCH(D613,Unidades,0)),"")&lt;&gt;INDEX(InsBase,MATCH(B613,ListaInsumos,0)),"Unidad incompatible",IF(F613="","Insumo sin compras","OK")))))</f>
        <v/>
      </c>
      <c r="I613" s="15"/>
    </row>
    <row r="614" customFormat="false" ht="15" hidden="false" customHeight="false" outlineLevel="0" collapsed="false">
      <c r="A614" s="15"/>
      <c r="B614" s="15"/>
      <c r="C614" s="27"/>
      <c r="D614" s="15"/>
      <c r="E614" s="25" t="str">
        <f aca="true">IF(OR(C614="",D614=""),"",IFERROR(C614*INDEX(UnidadesFactor,MATCH(D614,Unidades,0)),""))</f>
        <v/>
      </c>
      <c r="F614" s="18" t="str">
        <f aca="true">IF(B614="","",IFERROR(INDEX(InsCosto,MATCH(B614,ListaInsumos,0)),""))</f>
        <v/>
      </c>
      <c r="G614" s="19" t="str">
        <f aca="false">IF(AND(A614="",B614=""),"",IF(H614="OK",E614*F614,0))</f>
        <v/>
      </c>
      <c r="H614" s="20" t="str">
        <f aca="true">IF(AND(A614="",B614=""),"",IF(ISNA(MATCH(B614,ListaInsumos,0)),"Insumo no está en Insumos",IF(C614="","Falta cantidad",IF(IFERROR(INDEX(UnidadesBase,MATCH(D614,Unidades,0)),"")&lt;&gt;INDEX(InsBase,MATCH(B614,ListaInsumos,0)),"Unidad incompatible",IF(F614="","Insumo sin compras","OK")))))</f>
        <v/>
      </c>
      <c r="I614" s="15"/>
    </row>
    <row r="615" customFormat="false" ht="15" hidden="false" customHeight="false" outlineLevel="0" collapsed="false">
      <c r="A615" s="15"/>
      <c r="B615" s="15"/>
      <c r="C615" s="27"/>
      <c r="D615" s="15"/>
      <c r="E615" s="25" t="str">
        <f aca="true">IF(OR(C615="",D615=""),"",IFERROR(C615*INDEX(UnidadesFactor,MATCH(D615,Unidades,0)),""))</f>
        <v/>
      </c>
      <c r="F615" s="18" t="str">
        <f aca="true">IF(B615="","",IFERROR(INDEX(InsCosto,MATCH(B615,ListaInsumos,0)),""))</f>
        <v/>
      </c>
      <c r="G615" s="19" t="str">
        <f aca="false">IF(AND(A615="",B615=""),"",IF(H615="OK",E615*F615,0))</f>
        <v/>
      </c>
      <c r="H615" s="20" t="str">
        <f aca="true">IF(AND(A615="",B615=""),"",IF(ISNA(MATCH(B615,ListaInsumos,0)),"Insumo no está en Insumos",IF(C615="","Falta cantidad",IF(IFERROR(INDEX(UnidadesBase,MATCH(D615,Unidades,0)),"")&lt;&gt;INDEX(InsBase,MATCH(B615,ListaInsumos,0)),"Unidad incompatible",IF(F615="","Insumo sin compras","OK")))))</f>
        <v/>
      </c>
      <c r="I615" s="15"/>
    </row>
    <row r="616" customFormat="false" ht="15" hidden="false" customHeight="false" outlineLevel="0" collapsed="false">
      <c r="A616" s="15"/>
      <c r="B616" s="15"/>
      <c r="C616" s="27"/>
      <c r="D616" s="15"/>
      <c r="E616" s="25" t="str">
        <f aca="true">IF(OR(C616="",D616=""),"",IFERROR(C616*INDEX(UnidadesFactor,MATCH(D616,Unidades,0)),""))</f>
        <v/>
      </c>
      <c r="F616" s="18" t="str">
        <f aca="true">IF(B616="","",IFERROR(INDEX(InsCosto,MATCH(B616,ListaInsumos,0)),""))</f>
        <v/>
      </c>
      <c r="G616" s="19" t="str">
        <f aca="false">IF(AND(A616="",B616=""),"",IF(H616="OK",E616*F616,0))</f>
        <v/>
      </c>
      <c r="H616" s="20" t="str">
        <f aca="true">IF(AND(A616="",B616=""),"",IF(ISNA(MATCH(B616,ListaInsumos,0)),"Insumo no está en Insumos",IF(C616="","Falta cantidad",IF(IFERROR(INDEX(UnidadesBase,MATCH(D616,Unidades,0)),"")&lt;&gt;INDEX(InsBase,MATCH(B616,ListaInsumos,0)),"Unidad incompatible",IF(F616="","Insumo sin compras","OK")))))</f>
        <v/>
      </c>
      <c r="I616" s="15"/>
    </row>
    <row r="617" customFormat="false" ht="15" hidden="false" customHeight="false" outlineLevel="0" collapsed="false">
      <c r="A617" s="15"/>
      <c r="B617" s="15"/>
      <c r="C617" s="27"/>
      <c r="D617" s="15"/>
      <c r="E617" s="25" t="str">
        <f aca="true">IF(OR(C617="",D617=""),"",IFERROR(C617*INDEX(UnidadesFactor,MATCH(D617,Unidades,0)),""))</f>
        <v/>
      </c>
      <c r="F617" s="18" t="str">
        <f aca="true">IF(B617="","",IFERROR(INDEX(InsCosto,MATCH(B617,ListaInsumos,0)),""))</f>
        <v/>
      </c>
      <c r="G617" s="19" t="str">
        <f aca="false">IF(AND(A617="",B617=""),"",IF(H617="OK",E617*F617,0))</f>
        <v/>
      </c>
      <c r="H617" s="20" t="str">
        <f aca="true">IF(AND(A617="",B617=""),"",IF(ISNA(MATCH(B617,ListaInsumos,0)),"Insumo no está en Insumos",IF(C617="","Falta cantidad",IF(IFERROR(INDEX(UnidadesBase,MATCH(D617,Unidades,0)),"")&lt;&gt;INDEX(InsBase,MATCH(B617,ListaInsumos,0)),"Unidad incompatible",IF(F617="","Insumo sin compras","OK")))))</f>
        <v/>
      </c>
      <c r="I617" s="15"/>
    </row>
    <row r="618" customFormat="false" ht="15" hidden="false" customHeight="false" outlineLevel="0" collapsed="false">
      <c r="A618" s="15"/>
      <c r="B618" s="15"/>
      <c r="C618" s="27"/>
      <c r="D618" s="15"/>
      <c r="E618" s="25" t="str">
        <f aca="true">IF(OR(C618="",D618=""),"",IFERROR(C618*INDEX(UnidadesFactor,MATCH(D618,Unidades,0)),""))</f>
        <v/>
      </c>
      <c r="F618" s="18" t="str">
        <f aca="true">IF(B618="","",IFERROR(INDEX(InsCosto,MATCH(B618,ListaInsumos,0)),""))</f>
        <v/>
      </c>
      <c r="G618" s="19" t="str">
        <f aca="false">IF(AND(A618="",B618=""),"",IF(H618="OK",E618*F618,0))</f>
        <v/>
      </c>
      <c r="H618" s="20" t="str">
        <f aca="true">IF(AND(A618="",B618=""),"",IF(ISNA(MATCH(B618,ListaInsumos,0)),"Insumo no está en Insumos",IF(C618="","Falta cantidad",IF(IFERROR(INDEX(UnidadesBase,MATCH(D618,Unidades,0)),"")&lt;&gt;INDEX(InsBase,MATCH(B618,ListaInsumos,0)),"Unidad incompatible",IF(F618="","Insumo sin compras","OK")))))</f>
        <v/>
      </c>
      <c r="I618" s="15"/>
    </row>
    <row r="619" customFormat="false" ht="15" hidden="false" customHeight="false" outlineLevel="0" collapsed="false">
      <c r="A619" s="15"/>
      <c r="B619" s="15"/>
      <c r="C619" s="27"/>
      <c r="D619" s="15"/>
      <c r="E619" s="25" t="str">
        <f aca="true">IF(OR(C619="",D619=""),"",IFERROR(C619*INDEX(UnidadesFactor,MATCH(D619,Unidades,0)),""))</f>
        <v/>
      </c>
      <c r="F619" s="18" t="str">
        <f aca="true">IF(B619="","",IFERROR(INDEX(InsCosto,MATCH(B619,ListaInsumos,0)),""))</f>
        <v/>
      </c>
      <c r="G619" s="19" t="str">
        <f aca="false">IF(AND(A619="",B619=""),"",IF(H619="OK",E619*F619,0))</f>
        <v/>
      </c>
      <c r="H619" s="20" t="str">
        <f aca="true">IF(AND(A619="",B619=""),"",IF(ISNA(MATCH(B619,ListaInsumos,0)),"Insumo no está en Insumos",IF(C619="","Falta cantidad",IF(IFERROR(INDEX(UnidadesBase,MATCH(D619,Unidades,0)),"")&lt;&gt;INDEX(InsBase,MATCH(B619,ListaInsumos,0)),"Unidad incompatible",IF(F619="","Insumo sin compras","OK")))))</f>
        <v/>
      </c>
      <c r="I619" s="15"/>
    </row>
    <row r="620" customFormat="false" ht="15" hidden="false" customHeight="false" outlineLevel="0" collapsed="false">
      <c r="A620" s="15"/>
      <c r="B620" s="15"/>
      <c r="C620" s="27"/>
      <c r="D620" s="15"/>
      <c r="E620" s="25" t="str">
        <f aca="true">IF(OR(C620="",D620=""),"",IFERROR(C620*INDEX(UnidadesFactor,MATCH(D620,Unidades,0)),""))</f>
        <v/>
      </c>
      <c r="F620" s="18" t="str">
        <f aca="true">IF(B620="","",IFERROR(INDEX(InsCosto,MATCH(B620,ListaInsumos,0)),""))</f>
        <v/>
      </c>
      <c r="G620" s="19" t="str">
        <f aca="false">IF(AND(A620="",B620=""),"",IF(H620="OK",E620*F620,0))</f>
        <v/>
      </c>
      <c r="H620" s="20" t="str">
        <f aca="true">IF(AND(A620="",B620=""),"",IF(ISNA(MATCH(B620,ListaInsumos,0)),"Insumo no está en Insumos",IF(C620="","Falta cantidad",IF(IFERROR(INDEX(UnidadesBase,MATCH(D620,Unidades,0)),"")&lt;&gt;INDEX(InsBase,MATCH(B620,ListaInsumos,0)),"Unidad incompatible",IF(F620="","Insumo sin compras","OK")))))</f>
        <v/>
      </c>
      <c r="I620" s="15"/>
    </row>
    <row r="621" customFormat="false" ht="15" hidden="false" customHeight="false" outlineLevel="0" collapsed="false">
      <c r="A621" s="15"/>
      <c r="B621" s="15"/>
      <c r="C621" s="27"/>
      <c r="D621" s="15"/>
      <c r="E621" s="25" t="str">
        <f aca="true">IF(OR(C621="",D621=""),"",IFERROR(C621*INDEX(UnidadesFactor,MATCH(D621,Unidades,0)),""))</f>
        <v/>
      </c>
      <c r="F621" s="18" t="str">
        <f aca="true">IF(B621="","",IFERROR(INDEX(InsCosto,MATCH(B621,ListaInsumos,0)),""))</f>
        <v/>
      </c>
      <c r="G621" s="19" t="str">
        <f aca="false">IF(AND(A621="",B621=""),"",IF(H621="OK",E621*F621,0))</f>
        <v/>
      </c>
      <c r="H621" s="20" t="str">
        <f aca="true">IF(AND(A621="",B621=""),"",IF(ISNA(MATCH(B621,ListaInsumos,0)),"Insumo no está en Insumos",IF(C621="","Falta cantidad",IF(IFERROR(INDEX(UnidadesBase,MATCH(D621,Unidades,0)),"")&lt;&gt;INDEX(InsBase,MATCH(B621,ListaInsumos,0)),"Unidad incompatible",IF(F621="","Insumo sin compras","OK")))))</f>
        <v/>
      </c>
      <c r="I621" s="15"/>
    </row>
    <row r="622" customFormat="false" ht="15" hidden="false" customHeight="false" outlineLevel="0" collapsed="false">
      <c r="A622" s="15"/>
      <c r="B622" s="15"/>
      <c r="C622" s="27"/>
      <c r="D622" s="15"/>
      <c r="E622" s="25" t="str">
        <f aca="true">IF(OR(C622="",D622=""),"",IFERROR(C622*INDEX(UnidadesFactor,MATCH(D622,Unidades,0)),""))</f>
        <v/>
      </c>
      <c r="F622" s="18" t="str">
        <f aca="true">IF(B622="","",IFERROR(INDEX(InsCosto,MATCH(B622,ListaInsumos,0)),""))</f>
        <v/>
      </c>
      <c r="G622" s="19" t="str">
        <f aca="false">IF(AND(A622="",B622=""),"",IF(H622="OK",E622*F622,0))</f>
        <v/>
      </c>
      <c r="H622" s="20" t="str">
        <f aca="true">IF(AND(A622="",B622=""),"",IF(ISNA(MATCH(B622,ListaInsumos,0)),"Insumo no está en Insumos",IF(C622="","Falta cantidad",IF(IFERROR(INDEX(UnidadesBase,MATCH(D622,Unidades,0)),"")&lt;&gt;INDEX(InsBase,MATCH(B622,ListaInsumos,0)),"Unidad incompatible",IF(F622="","Insumo sin compras","OK")))))</f>
        <v/>
      </c>
      <c r="I622" s="15"/>
    </row>
    <row r="623" customFormat="false" ht="15" hidden="false" customHeight="false" outlineLevel="0" collapsed="false">
      <c r="A623" s="15"/>
      <c r="B623" s="15"/>
      <c r="C623" s="27"/>
      <c r="D623" s="15"/>
      <c r="E623" s="25" t="str">
        <f aca="true">IF(OR(C623="",D623=""),"",IFERROR(C623*INDEX(UnidadesFactor,MATCH(D623,Unidades,0)),""))</f>
        <v/>
      </c>
      <c r="F623" s="18" t="str">
        <f aca="true">IF(B623="","",IFERROR(INDEX(InsCosto,MATCH(B623,ListaInsumos,0)),""))</f>
        <v/>
      </c>
      <c r="G623" s="19" t="str">
        <f aca="false">IF(AND(A623="",B623=""),"",IF(H623="OK",E623*F623,0))</f>
        <v/>
      </c>
      <c r="H623" s="20" t="str">
        <f aca="true">IF(AND(A623="",B623=""),"",IF(ISNA(MATCH(B623,ListaInsumos,0)),"Insumo no está en Insumos",IF(C623="","Falta cantidad",IF(IFERROR(INDEX(UnidadesBase,MATCH(D623,Unidades,0)),"")&lt;&gt;INDEX(InsBase,MATCH(B623,ListaInsumos,0)),"Unidad incompatible",IF(F623="","Insumo sin compras","OK")))))</f>
        <v/>
      </c>
      <c r="I623" s="15"/>
    </row>
    <row r="624" customFormat="false" ht="15" hidden="false" customHeight="false" outlineLevel="0" collapsed="false">
      <c r="A624" s="15"/>
      <c r="B624" s="15"/>
      <c r="C624" s="27"/>
      <c r="D624" s="15"/>
      <c r="E624" s="25" t="str">
        <f aca="true">IF(OR(C624="",D624=""),"",IFERROR(C624*INDEX(UnidadesFactor,MATCH(D624,Unidades,0)),""))</f>
        <v/>
      </c>
      <c r="F624" s="18" t="str">
        <f aca="true">IF(B624="","",IFERROR(INDEX(InsCosto,MATCH(B624,ListaInsumos,0)),""))</f>
        <v/>
      </c>
      <c r="G624" s="19" t="str">
        <f aca="false">IF(AND(A624="",B624=""),"",IF(H624="OK",E624*F624,0))</f>
        <v/>
      </c>
      <c r="H624" s="20" t="str">
        <f aca="true">IF(AND(A624="",B624=""),"",IF(ISNA(MATCH(B624,ListaInsumos,0)),"Insumo no está en Insumos",IF(C624="","Falta cantidad",IF(IFERROR(INDEX(UnidadesBase,MATCH(D624,Unidades,0)),"")&lt;&gt;INDEX(InsBase,MATCH(B624,ListaInsumos,0)),"Unidad incompatible",IF(F624="","Insumo sin compras","OK")))))</f>
        <v/>
      </c>
      <c r="I624" s="15"/>
    </row>
    <row r="625" customFormat="false" ht="15" hidden="false" customHeight="false" outlineLevel="0" collapsed="false">
      <c r="A625" s="15"/>
      <c r="B625" s="15"/>
      <c r="C625" s="27"/>
      <c r="D625" s="15"/>
      <c r="E625" s="25" t="str">
        <f aca="true">IF(OR(C625="",D625=""),"",IFERROR(C625*INDEX(UnidadesFactor,MATCH(D625,Unidades,0)),""))</f>
        <v/>
      </c>
      <c r="F625" s="18" t="str">
        <f aca="true">IF(B625="","",IFERROR(INDEX(InsCosto,MATCH(B625,ListaInsumos,0)),""))</f>
        <v/>
      </c>
      <c r="G625" s="19" t="str">
        <f aca="false">IF(AND(A625="",B625=""),"",IF(H625="OK",E625*F625,0))</f>
        <v/>
      </c>
      <c r="H625" s="20" t="str">
        <f aca="true">IF(AND(A625="",B625=""),"",IF(ISNA(MATCH(B625,ListaInsumos,0)),"Insumo no está en Insumos",IF(C625="","Falta cantidad",IF(IFERROR(INDEX(UnidadesBase,MATCH(D625,Unidades,0)),"")&lt;&gt;INDEX(InsBase,MATCH(B625,ListaInsumos,0)),"Unidad incompatible",IF(F625="","Insumo sin compras","OK")))))</f>
        <v/>
      </c>
      <c r="I625" s="15"/>
    </row>
    <row r="626" customFormat="false" ht="15" hidden="false" customHeight="false" outlineLevel="0" collapsed="false">
      <c r="A626" s="15"/>
      <c r="B626" s="15"/>
      <c r="C626" s="27"/>
      <c r="D626" s="15"/>
      <c r="E626" s="25" t="str">
        <f aca="true">IF(OR(C626="",D626=""),"",IFERROR(C626*INDEX(UnidadesFactor,MATCH(D626,Unidades,0)),""))</f>
        <v/>
      </c>
      <c r="F626" s="18" t="str">
        <f aca="true">IF(B626="","",IFERROR(INDEX(InsCosto,MATCH(B626,ListaInsumos,0)),""))</f>
        <v/>
      </c>
      <c r="G626" s="19" t="str">
        <f aca="false">IF(AND(A626="",B626=""),"",IF(H626="OK",E626*F626,0))</f>
        <v/>
      </c>
      <c r="H626" s="20" t="str">
        <f aca="true">IF(AND(A626="",B626=""),"",IF(ISNA(MATCH(B626,ListaInsumos,0)),"Insumo no está en Insumos",IF(C626="","Falta cantidad",IF(IFERROR(INDEX(UnidadesBase,MATCH(D626,Unidades,0)),"")&lt;&gt;INDEX(InsBase,MATCH(B626,ListaInsumos,0)),"Unidad incompatible",IF(F626="","Insumo sin compras","OK")))))</f>
        <v/>
      </c>
      <c r="I626" s="15"/>
    </row>
    <row r="627" customFormat="false" ht="15" hidden="false" customHeight="false" outlineLevel="0" collapsed="false">
      <c r="A627" s="15"/>
      <c r="B627" s="15"/>
      <c r="C627" s="27"/>
      <c r="D627" s="15"/>
      <c r="E627" s="25" t="str">
        <f aca="true">IF(OR(C627="",D627=""),"",IFERROR(C627*INDEX(UnidadesFactor,MATCH(D627,Unidades,0)),""))</f>
        <v/>
      </c>
      <c r="F627" s="18" t="str">
        <f aca="true">IF(B627="","",IFERROR(INDEX(InsCosto,MATCH(B627,ListaInsumos,0)),""))</f>
        <v/>
      </c>
      <c r="G627" s="19" t="str">
        <f aca="false">IF(AND(A627="",B627=""),"",IF(H627="OK",E627*F627,0))</f>
        <v/>
      </c>
      <c r="H627" s="20" t="str">
        <f aca="true">IF(AND(A627="",B627=""),"",IF(ISNA(MATCH(B627,ListaInsumos,0)),"Insumo no está en Insumos",IF(C627="","Falta cantidad",IF(IFERROR(INDEX(UnidadesBase,MATCH(D627,Unidades,0)),"")&lt;&gt;INDEX(InsBase,MATCH(B627,ListaInsumos,0)),"Unidad incompatible",IF(F627="","Insumo sin compras","OK")))))</f>
        <v/>
      </c>
      <c r="I627" s="15"/>
    </row>
    <row r="628" customFormat="false" ht="15" hidden="false" customHeight="false" outlineLevel="0" collapsed="false">
      <c r="A628" s="15"/>
      <c r="B628" s="15"/>
      <c r="C628" s="27"/>
      <c r="D628" s="15"/>
      <c r="E628" s="25" t="str">
        <f aca="true">IF(OR(C628="",D628=""),"",IFERROR(C628*INDEX(UnidadesFactor,MATCH(D628,Unidades,0)),""))</f>
        <v/>
      </c>
      <c r="F628" s="18" t="str">
        <f aca="true">IF(B628="","",IFERROR(INDEX(InsCosto,MATCH(B628,ListaInsumos,0)),""))</f>
        <v/>
      </c>
      <c r="G628" s="19" t="str">
        <f aca="false">IF(AND(A628="",B628=""),"",IF(H628="OK",E628*F628,0))</f>
        <v/>
      </c>
      <c r="H628" s="20" t="str">
        <f aca="true">IF(AND(A628="",B628=""),"",IF(ISNA(MATCH(B628,ListaInsumos,0)),"Insumo no está en Insumos",IF(C628="","Falta cantidad",IF(IFERROR(INDEX(UnidadesBase,MATCH(D628,Unidades,0)),"")&lt;&gt;INDEX(InsBase,MATCH(B628,ListaInsumos,0)),"Unidad incompatible",IF(F628="","Insumo sin compras","OK")))))</f>
        <v/>
      </c>
      <c r="I628" s="15"/>
    </row>
    <row r="629" customFormat="false" ht="15" hidden="false" customHeight="false" outlineLevel="0" collapsed="false">
      <c r="A629" s="15"/>
      <c r="B629" s="15"/>
      <c r="C629" s="27"/>
      <c r="D629" s="15"/>
      <c r="E629" s="25" t="str">
        <f aca="true">IF(OR(C629="",D629=""),"",IFERROR(C629*INDEX(UnidadesFactor,MATCH(D629,Unidades,0)),""))</f>
        <v/>
      </c>
      <c r="F629" s="18" t="str">
        <f aca="true">IF(B629="","",IFERROR(INDEX(InsCosto,MATCH(B629,ListaInsumos,0)),""))</f>
        <v/>
      </c>
      <c r="G629" s="19" t="str">
        <f aca="false">IF(AND(A629="",B629=""),"",IF(H629="OK",E629*F629,0))</f>
        <v/>
      </c>
      <c r="H629" s="20" t="str">
        <f aca="true">IF(AND(A629="",B629=""),"",IF(ISNA(MATCH(B629,ListaInsumos,0)),"Insumo no está en Insumos",IF(C629="","Falta cantidad",IF(IFERROR(INDEX(UnidadesBase,MATCH(D629,Unidades,0)),"")&lt;&gt;INDEX(InsBase,MATCH(B629,ListaInsumos,0)),"Unidad incompatible",IF(F629="","Insumo sin compras","OK")))))</f>
        <v/>
      </c>
      <c r="I629" s="15"/>
    </row>
    <row r="630" customFormat="false" ht="15" hidden="false" customHeight="false" outlineLevel="0" collapsed="false">
      <c r="A630" s="15"/>
      <c r="B630" s="15"/>
      <c r="C630" s="27"/>
      <c r="D630" s="15"/>
      <c r="E630" s="25" t="str">
        <f aca="true">IF(OR(C630="",D630=""),"",IFERROR(C630*INDEX(UnidadesFactor,MATCH(D630,Unidades,0)),""))</f>
        <v/>
      </c>
      <c r="F630" s="18" t="str">
        <f aca="true">IF(B630="","",IFERROR(INDEX(InsCosto,MATCH(B630,ListaInsumos,0)),""))</f>
        <v/>
      </c>
      <c r="G630" s="19" t="str">
        <f aca="false">IF(AND(A630="",B630=""),"",IF(H630="OK",E630*F630,0))</f>
        <v/>
      </c>
      <c r="H630" s="20" t="str">
        <f aca="true">IF(AND(A630="",B630=""),"",IF(ISNA(MATCH(B630,ListaInsumos,0)),"Insumo no está en Insumos",IF(C630="","Falta cantidad",IF(IFERROR(INDEX(UnidadesBase,MATCH(D630,Unidades,0)),"")&lt;&gt;INDEX(InsBase,MATCH(B630,ListaInsumos,0)),"Unidad incompatible",IF(F630="","Insumo sin compras","OK")))))</f>
        <v/>
      </c>
      <c r="I630" s="15"/>
    </row>
    <row r="631" customFormat="false" ht="15" hidden="false" customHeight="false" outlineLevel="0" collapsed="false">
      <c r="A631" s="15"/>
      <c r="B631" s="15"/>
      <c r="C631" s="27"/>
      <c r="D631" s="15"/>
      <c r="E631" s="25" t="str">
        <f aca="true">IF(OR(C631="",D631=""),"",IFERROR(C631*INDEX(UnidadesFactor,MATCH(D631,Unidades,0)),""))</f>
        <v/>
      </c>
      <c r="F631" s="18" t="str">
        <f aca="true">IF(B631="","",IFERROR(INDEX(InsCosto,MATCH(B631,ListaInsumos,0)),""))</f>
        <v/>
      </c>
      <c r="G631" s="19" t="str">
        <f aca="false">IF(AND(A631="",B631=""),"",IF(H631="OK",E631*F631,0))</f>
        <v/>
      </c>
      <c r="H631" s="20" t="str">
        <f aca="true">IF(AND(A631="",B631=""),"",IF(ISNA(MATCH(B631,ListaInsumos,0)),"Insumo no está en Insumos",IF(C631="","Falta cantidad",IF(IFERROR(INDEX(UnidadesBase,MATCH(D631,Unidades,0)),"")&lt;&gt;INDEX(InsBase,MATCH(B631,ListaInsumos,0)),"Unidad incompatible",IF(F631="","Insumo sin compras","OK")))))</f>
        <v/>
      </c>
      <c r="I631" s="15"/>
    </row>
    <row r="632" customFormat="false" ht="15" hidden="false" customHeight="false" outlineLevel="0" collapsed="false">
      <c r="A632" s="15"/>
      <c r="B632" s="15"/>
      <c r="C632" s="27"/>
      <c r="D632" s="15"/>
      <c r="E632" s="25" t="str">
        <f aca="true">IF(OR(C632="",D632=""),"",IFERROR(C632*INDEX(UnidadesFactor,MATCH(D632,Unidades,0)),""))</f>
        <v/>
      </c>
      <c r="F632" s="18" t="str">
        <f aca="true">IF(B632="","",IFERROR(INDEX(InsCosto,MATCH(B632,ListaInsumos,0)),""))</f>
        <v/>
      </c>
      <c r="G632" s="19" t="str">
        <f aca="false">IF(AND(A632="",B632=""),"",IF(H632="OK",E632*F632,0))</f>
        <v/>
      </c>
      <c r="H632" s="20" t="str">
        <f aca="true">IF(AND(A632="",B632=""),"",IF(ISNA(MATCH(B632,ListaInsumos,0)),"Insumo no está en Insumos",IF(C632="","Falta cantidad",IF(IFERROR(INDEX(UnidadesBase,MATCH(D632,Unidades,0)),"")&lt;&gt;INDEX(InsBase,MATCH(B632,ListaInsumos,0)),"Unidad incompatible",IF(F632="","Insumo sin compras","OK")))))</f>
        <v/>
      </c>
      <c r="I632" s="15"/>
    </row>
    <row r="633" customFormat="false" ht="15" hidden="false" customHeight="false" outlineLevel="0" collapsed="false">
      <c r="A633" s="15"/>
      <c r="B633" s="15"/>
      <c r="C633" s="27"/>
      <c r="D633" s="15"/>
      <c r="E633" s="25" t="str">
        <f aca="true">IF(OR(C633="",D633=""),"",IFERROR(C633*INDEX(UnidadesFactor,MATCH(D633,Unidades,0)),""))</f>
        <v/>
      </c>
      <c r="F633" s="18" t="str">
        <f aca="true">IF(B633="","",IFERROR(INDEX(InsCosto,MATCH(B633,ListaInsumos,0)),""))</f>
        <v/>
      </c>
      <c r="G633" s="19" t="str">
        <f aca="false">IF(AND(A633="",B633=""),"",IF(H633="OK",E633*F633,0))</f>
        <v/>
      </c>
      <c r="H633" s="20" t="str">
        <f aca="true">IF(AND(A633="",B633=""),"",IF(ISNA(MATCH(B633,ListaInsumos,0)),"Insumo no está en Insumos",IF(C633="","Falta cantidad",IF(IFERROR(INDEX(UnidadesBase,MATCH(D633,Unidades,0)),"")&lt;&gt;INDEX(InsBase,MATCH(B633,ListaInsumos,0)),"Unidad incompatible",IF(F633="","Insumo sin compras","OK")))))</f>
        <v/>
      </c>
      <c r="I633" s="15"/>
    </row>
    <row r="634" customFormat="false" ht="15" hidden="false" customHeight="false" outlineLevel="0" collapsed="false">
      <c r="A634" s="15"/>
      <c r="B634" s="15"/>
      <c r="C634" s="27"/>
      <c r="D634" s="15"/>
      <c r="E634" s="25" t="str">
        <f aca="true">IF(OR(C634="",D634=""),"",IFERROR(C634*INDEX(UnidadesFactor,MATCH(D634,Unidades,0)),""))</f>
        <v/>
      </c>
      <c r="F634" s="18" t="str">
        <f aca="true">IF(B634="","",IFERROR(INDEX(InsCosto,MATCH(B634,ListaInsumos,0)),""))</f>
        <v/>
      </c>
      <c r="G634" s="19" t="str">
        <f aca="false">IF(AND(A634="",B634=""),"",IF(H634="OK",E634*F634,0))</f>
        <v/>
      </c>
      <c r="H634" s="20" t="str">
        <f aca="true">IF(AND(A634="",B634=""),"",IF(ISNA(MATCH(B634,ListaInsumos,0)),"Insumo no está en Insumos",IF(C634="","Falta cantidad",IF(IFERROR(INDEX(UnidadesBase,MATCH(D634,Unidades,0)),"")&lt;&gt;INDEX(InsBase,MATCH(B634,ListaInsumos,0)),"Unidad incompatible",IF(F634="","Insumo sin compras","OK")))))</f>
        <v/>
      </c>
      <c r="I634" s="15"/>
    </row>
    <row r="635" customFormat="false" ht="15" hidden="false" customHeight="false" outlineLevel="0" collapsed="false">
      <c r="A635" s="15"/>
      <c r="B635" s="15"/>
      <c r="C635" s="27"/>
      <c r="D635" s="15"/>
      <c r="E635" s="25" t="str">
        <f aca="true">IF(OR(C635="",D635=""),"",IFERROR(C635*INDEX(UnidadesFactor,MATCH(D635,Unidades,0)),""))</f>
        <v/>
      </c>
      <c r="F635" s="18" t="str">
        <f aca="true">IF(B635="","",IFERROR(INDEX(InsCosto,MATCH(B635,ListaInsumos,0)),""))</f>
        <v/>
      </c>
      <c r="G635" s="19" t="str">
        <f aca="false">IF(AND(A635="",B635=""),"",IF(H635="OK",E635*F635,0))</f>
        <v/>
      </c>
      <c r="H635" s="20" t="str">
        <f aca="true">IF(AND(A635="",B635=""),"",IF(ISNA(MATCH(B635,ListaInsumos,0)),"Insumo no está en Insumos",IF(C635="","Falta cantidad",IF(IFERROR(INDEX(UnidadesBase,MATCH(D635,Unidades,0)),"")&lt;&gt;INDEX(InsBase,MATCH(B635,ListaInsumos,0)),"Unidad incompatible",IF(F635="","Insumo sin compras","OK")))))</f>
        <v/>
      </c>
      <c r="I635" s="15"/>
    </row>
    <row r="636" customFormat="false" ht="15" hidden="false" customHeight="false" outlineLevel="0" collapsed="false">
      <c r="A636" s="15"/>
      <c r="B636" s="15"/>
      <c r="C636" s="27"/>
      <c r="D636" s="15"/>
      <c r="E636" s="25" t="str">
        <f aca="true">IF(OR(C636="",D636=""),"",IFERROR(C636*INDEX(UnidadesFactor,MATCH(D636,Unidades,0)),""))</f>
        <v/>
      </c>
      <c r="F636" s="18" t="str">
        <f aca="true">IF(B636="","",IFERROR(INDEX(InsCosto,MATCH(B636,ListaInsumos,0)),""))</f>
        <v/>
      </c>
      <c r="G636" s="19" t="str">
        <f aca="false">IF(AND(A636="",B636=""),"",IF(H636="OK",E636*F636,0))</f>
        <v/>
      </c>
      <c r="H636" s="20" t="str">
        <f aca="true">IF(AND(A636="",B636=""),"",IF(ISNA(MATCH(B636,ListaInsumos,0)),"Insumo no está en Insumos",IF(C636="","Falta cantidad",IF(IFERROR(INDEX(UnidadesBase,MATCH(D636,Unidades,0)),"")&lt;&gt;INDEX(InsBase,MATCH(B636,ListaInsumos,0)),"Unidad incompatible",IF(F636="","Insumo sin compras","OK")))))</f>
        <v/>
      </c>
      <c r="I636" s="15"/>
    </row>
    <row r="637" customFormat="false" ht="15" hidden="false" customHeight="false" outlineLevel="0" collapsed="false">
      <c r="A637" s="15"/>
      <c r="B637" s="15"/>
      <c r="C637" s="27"/>
      <c r="D637" s="15"/>
      <c r="E637" s="25" t="str">
        <f aca="true">IF(OR(C637="",D637=""),"",IFERROR(C637*INDEX(UnidadesFactor,MATCH(D637,Unidades,0)),""))</f>
        <v/>
      </c>
      <c r="F637" s="18" t="str">
        <f aca="true">IF(B637="","",IFERROR(INDEX(InsCosto,MATCH(B637,ListaInsumos,0)),""))</f>
        <v/>
      </c>
      <c r="G637" s="19" t="str">
        <f aca="false">IF(AND(A637="",B637=""),"",IF(H637="OK",E637*F637,0))</f>
        <v/>
      </c>
      <c r="H637" s="20" t="str">
        <f aca="true">IF(AND(A637="",B637=""),"",IF(ISNA(MATCH(B637,ListaInsumos,0)),"Insumo no está en Insumos",IF(C637="","Falta cantidad",IF(IFERROR(INDEX(UnidadesBase,MATCH(D637,Unidades,0)),"")&lt;&gt;INDEX(InsBase,MATCH(B637,ListaInsumos,0)),"Unidad incompatible",IF(F637="","Insumo sin compras","OK")))))</f>
        <v/>
      </c>
      <c r="I637" s="15"/>
    </row>
    <row r="638" customFormat="false" ht="15" hidden="false" customHeight="false" outlineLevel="0" collapsed="false">
      <c r="A638" s="15"/>
      <c r="B638" s="15"/>
      <c r="C638" s="27"/>
      <c r="D638" s="15"/>
      <c r="E638" s="25" t="str">
        <f aca="true">IF(OR(C638="",D638=""),"",IFERROR(C638*INDEX(UnidadesFactor,MATCH(D638,Unidades,0)),""))</f>
        <v/>
      </c>
      <c r="F638" s="18" t="str">
        <f aca="true">IF(B638="","",IFERROR(INDEX(InsCosto,MATCH(B638,ListaInsumos,0)),""))</f>
        <v/>
      </c>
      <c r="G638" s="19" t="str">
        <f aca="false">IF(AND(A638="",B638=""),"",IF(H638="OK",E638*F638,0))</f>
        <v/>
      </c>
      <c r="H638" s="20" t="str">
        <f aca="true">IF(AND(A638="",B638=""),"",IF(ISNA(MATCH(B638,ListaInsumos,0)),"Insumo no está en Insumos",IF(C638="","Falta cantidad",IF(IFERROR(INDEX(UnidadesBase,MATCH(D638,Unidades,0)),"")&lt;&gt;INDEX(InsBase,MATCH(B638,ListaInsumos,0)),"Unidad incompatible",IF(F638="","Insumo sin compras","OK")))))</f>
        <v/>
      </c>
      <c r="I638" s="15"/>
    </row>
    <row r="639" customFormat="false" ht="15" hidden="false" customHeight="false" outlineLevel="0" collapsed="false">
      <c r="A639" s="15"/>
      <c r="B639" s="15"/>
      <c r="C639" s="27"/>
      <c r="D639" s="15"/>
      <c r="E639" s="25" t="str">
        <f aca="true">IF(OR(C639="",D639=""),"",IFERROR(C639*INDEX(UnidadesFactor,MATCH(D639,Unidades,0)),""))</f>
        <v/>
      </c>
      <c r="F639" s="18" t="str">
        <f aca="true">IF(B639="","",IFERROR(INDEX(InsCosto,MATCH(B639,ListaInsumos,0)),""))</f>
        <v/>
      </c>
      <c r="G639" s="19" t="str">
        <f aca="false">IF(AND(A639="",B639=""),"",IF(H639="OK",E639*F639,0))</f>
        <v/>
      </c>
      <c r="H639" s="20" t="str">
        <f aca="true">IF(AND(A639="",B639=""),"",IF(ISNA(MATCH(B639,ListaInsumos,0)),"Insumo no está en Insumos",IF(C639="","Falta cantidad",IF(IFERROR(INDEX(UnidadesBase,MATCH(D639,Unidades,0)),"")&lt;&gt;INDEX(InsBase,MATCH(B639,ListaInsumos,0)),"Unidad incompatible",IF(F639="","Insumo sin compras","OK")))))</f>
        <v/>
      </c>
      <c r="I639" s="15"/>
    </row>
    <row r="640" customFormat="false" ht="15" hidden="false" customHeight="false" outlineLevel="0" collapsed="false">
      <c r="A640" s="15"/>
      <c r="B640" s="15"/>
      <c r="C640" s="27"/>
      <c r="D640" s="15"/>
      <c r="E640" s="25" t="str">
        <f aca="true">IF(OR(C640="",D640=""),"",IFERROR(C640*INDEX(UnidadesFactor,MATCH(D640,Unidades,0)),""))</f>
        <v/>
      </c>
      <c r="F640" s="18" t="str">
        <f aca="true">IF(B640="","",IFERROR(INDEX(InsCosto,MATCH(B640,ListaInsumos,0)),""))</f>
        <v/>
      </c>
      <c r="G640" s="19" t="str">
        <f aca="false">IF(AND(A640="",B640=""),"",IF(H640="OK",E640*F640,0))</f>
        <v/>
      </c>
      <c r="H640" s="20" t="str">
        <f aca="true">IF(AND(A640="",B640=""),"",IF(ISNA(MATCH(B640,ListaInsumos,0)),"Insumo no está en Insumos",IF(C640="","Falta cantidad",IF(IFERROR(INDEX(UnidadesBase,MATCH(D640,Unidades,0)),"")&lt;&gt;INDEX(InsBase,MATCH(B640,ListaInsumos,0)),"Unidad incompatible",IF(F640="","Insumo sin compras","OK")))))</f>
        <v/>
      </c>
      <c r="I640" s="15"/>
    </row>
    <row r="641" customFormat="false" ht="15" hidden="false" customHeight="false" outlineLevel="0" collapsed="false">
      <c r="A641" s="15"/>
      <c r="B641" s="15"/>
      <c r="C641" s="27"/>
      <c r="D641" s="15"/>
      <c r="E641" s="25" t="str">
        <f aca="true">IF(OR(C641="",D641=""),"",IFERROR(C641*INDEX(UnidadesFactor,MATCH(D641,Unidades,0)),""))</f>
        <v/>
      </c>
      <c r="F641" s="18" t="str">
        <f aca="true">IF(B641="","",IFERROR(INDEX(InsCosto,MATCH(B641,ListaInsumos,0)),""))</f>
        <v/>
      </c>
      <c r="G641" s="19" t="str">
        <f aca="false">IF(AND(A641="",B641=""),"",IF(H641="OK",E641*F641,0))</f>
        <v/>
      </c>
      <c r="H641" s="20" t="str">
        <f aca="true">IF(AND(A641="",B641=""),"",IF(ISNA(MATCH(B641,ListaInsumos,0)),"Insumo no está en Insumos",IF(C641="","Falta cantidad",IF(IFERROR(INDEX(UnidadesBase,MATCH(D641,Unidades,0)),"")&lt;&gt;INDEX(InsBase,MATCH(B641,ListaInsumos,0)),"Unidad incompatible",IF(F641="","Insumo sin compras","OK")))))</f>
        <v/>
      </c>
      <c r="I641" s="15"/>
    </row>
    <row r="642" customFormat="false" ht="15" hidden="false" customHeight="false" outlineLevel="0" collapsed="false">
      <c r="A642" s="15"/>
      <c r="B642" s="15"/>
      <c r="C642" s="27"/>
      <c r="D642" s="15"/>
      <c r="E642" s="25" t="str">
        <f aca="true">IF(OR(C642="",D642=""),"",IFERROR(C642*INDEX(UnidadesFactor,MATCH(D642,Unidades,0)),""))</f>
        <v/>
      </c>
      <c r="F642" s="18" t="str">
        <f aca="true">IF(B642="","",IFERROR(INDEX(InsCosto,MATCH(B642,ListaInsumos,0)),""))</f>
        <v/>
      </c>
      <c r="G642" s="19" t="str">
        <f aca="false">IF(AND(A642="",B642=""),"",IF(H642="OK",E642*F642,0))</f>
        <v/>
      </c>
      <c r="H642" s="20" t="str">
        <f aca="true">IF(AND(A642="",B642=""),"",IF(ISNA(MATCH(B642,ListaInsumos,0)),"Insumo no está en Insumos",IF(C642="","Falta cantidad",IF(IFERROR(INDEX(UnidadesBase,MATCH(D642,Unidades,0)),"")&lt;&gt;INDEX(InsBase,MATCH(B642,ListaInsumos,0)),"Unidad incompatible",IF(F642="","Insumo sin compras","OK")))))</f>
        <v/>
      </c>
      <c r="I642" s="15"/>
    </row>
    <row r="643" customFormat="false" ht="15" hidden="false" customHeight="false" outlineLevel="0" collapsed="false">
      <c r="A643" s="15"/>
      <c r="B643" s="15"/>
      <c r="C643" s="27"/>
      <c r="D643" s="15"/>
      <c r="E643" s="25" t="str">
        <f aca="true">IF(OR(C643="",D643=""),"",IFERROR(C643*INDEX(UnidadesFactor,MATCH(D643,Unidades,0)),""))</f>
        <v/>
      </c>
      <c r="F643" s="18" t="str">
        <f aca="true">IF(B643="","",IFERROR(INDEX(InsCosto,MATCH(B643,ListaInsumos,0)),""))</f>
        <v/>
      </c>
      <c r="G643" s="19" t="str">
        <f aca="false">IF(AND(A643="",B643=""),"",IF(H643="OK",E643*F643,0))</f>
        <v/>
      </c>
      <c r="H643" s="20" t="str">
        <f aca="true">IF(AND(A643="",B643=""),"",IF(ISNA(MATCH(B643,ListaInsumos,0)),"Insumo no está en Insumos",IF(C643="","Falta cantidad",IF(IFERROR(INDEX(UnidadesBase,MATCH(D643,Unidades,0)),"")&lt;&gt;INDEX(InsBase,MATCH(B643,ListaInsumos,0)),"Unidad incompatible",IF(F643="","Insumo sin compras","OK")))))</f>
        <v/>
      </c>
      <c r="I643" s="15"/>
    </row>
    <row r="644" customFormat="false" ht="15" hidden="false" customHeight="false" outlineLevel="0" collapsed="false">
      <c r="A644" s="15"/>
      <c r="B644" s="15"/>
      <c r="C644" s="27"/>
      <c r="D644" s="15"/>
      <c r="E644" s="25" t="str">
        <f aca="true">IF(OR(C644="",D644=""),"",IFERROR(C644*INDEX(UnidadesFactor,MATCH(D644,Unidades,0)),""))</f>
        <v/>
      </c>
      <c r="F644" s="18" t="str">
        <f aca="true">IF(B644="","",IFERROR(INDEX(InsCosto,MATCH(B644,ListaInsumos,0)),""))</f>
        <v/>
      </c>
      <c r="G644" s="19" t="str">
        <f aca="false">IF(AND(A644="",B644=""),"",IF(H644="OK",E644*F644,0))</f>
        <v/>
      </c>
      <c r="H644" s="20" t="str">
        <f aca="true">IF(AND(A644="",B644=""),"",IF(ISNA(MATCH(B644,ListaInsumos,0)),"Insumo no está en Insumos",IF(C644="","Falta cantidad",IF(IFERROR(INDEX(UnidadesBase,MATCH(D644,Unidades,0)),"")&lt;&gt;INDEX(InsBase,MATCH(B644,ListaInsumos,0)),"Unidad incompatible",IF(F644="","Insumo sin compras","OK")))))</f>
        <v/>
      </c>
      <c r="I644" s="15"/>
    </row>
    <row r="645" customFormat="false" ht="15" hidden="false" customHeight="false" outlineLevel="0" collapsed="false">
      <c r="A645" s="15"/>
      <c r="B645" s="15"/>
      <c r="C645" s="27"/>
      <c r="D645" s="15"/>
      <c r="E645" s="25" t="str">
        <f aca="true">IF(OR(C645="",D645=""),"",IFERROR(C645*INDEX(UnidadesFactor,MATCH(D645,Unidades,0)),""))</f>
        <v/>
      </c>
      <c r="F645" s="18" t="str">
        <f aca="true">IF(B645="","",IFERROR(INDEX(InsCosto,MATCH(B645,ListaInsumos,0)),""))</f>
        <v/>
      </c>
      <c r="G645" s="19" t="str">
        <f aca="false">IF(AND(A645="",B645=""),"",IF(H645="OK",E645*F645,0))</f>
        <v/>
      </c>
      <c r="H645" s="20" t="str">
        <f aca="true">IF(AND(A645="",B645=""),"",IF(ISNA(MATCH(B645,ListaInsumos,0)),"Insumo no está en Insumos",IF(C645="","Falta cantidad",IF(IFERROR(INDEX(UnidadesBase,MATCH(D645,Unidades,0)),"")&lt;&gt;INDEX(InsBase,MATCH(B645,ListaInsumos,0)),"Unidad incompatible",IF(F645="","Insumo sin compras","OK")))))</f>
        <v/>
      </c>
      <c r="I645" s="15"/>
    </row>
    <row r="646" customFormat="false" ht="15" hidden="false" customHeight="false" outlineLevel="0" collapsed="false">
      <c r="A646" s="15"/>
      <c r="B646" s="15"/>
      <c r="C646" s="27"/>
      <c r="D646" s="15"/>
      <c r="E646" s="25" t="str">
        <f aca="true">IF(OR(C646="",D646=""),"",IFERROR(C646*INDEX(UnidadesFactor,MATCH(D646,Unidades,0)),""))</f>
        <v/>
      </c>
      <c r="F646" s="18" t="str">
        <f aca="true">IF(B646="","",IFERROR(INDEX(InsCosto,MATCH(B646,ListaInsumos,0)),""))</f>
        <v/>
      </c>
      <c r="G646" s="19" t="str">
        <f aca="false">IF(AND(A646="",B646=""),"",IF(H646="OK",E646*F646,0))</f>
        <v/>
      </c>
      <c r="H646" s="20" t="str">
        <f aca="true">IF(AND(A646="",B646=""),"",IF(ISNA(MATCH(B646,ListaInsumos,0)),"Insumo no está en Insumos",IF(C646="","Falta cantidad",IF(IFERROR(INDEX(UnidadesBase,MATCH(D646,Unidades,0)),"")&lt;&gt;INDEX(InsBase,MATCH(B646,ListaInsumos,0)),"Unidad incompatible",IF(F646="","Insumo sin compras","OK")))))</f>
        <v/>
      </c>
      <c r="I646" s="15"/>
    </row>
    <row r="647" customFormat="false" ht="15" hidden="false" customHeight="false" outlineLevel="0" collapsed="false">
      <c r="A647" s="15"/>
      <c r="B647" s="15"/>
      <c r="C647" s="27"/>
      <c r="D647" s="15"/>
      <c r="E647" s="25" t="str">
        <f aca="true">IF(OR(C647="",D647=""),"",IFERROR(C647*INDEX(UnidadesFactor,MATCH(D647,Unidades,0)),""))</f>
        <v/>
      </c>
      <c r="F647" s="18" t="str">
        <f aca="true">IF(B647="","",IFERROR(INDEX(InsCosto,MATCH(B647,ListaInsumos,0)),""))</f>
        <v/>
      </c>
      <c r="G647" s="19" t="str">
        <f aca="false">IF(AND(A647="",B647=""),"",IF(H647="OK",E647*F647,0))</f>
        <v/>
      </c>
      <c r="H647" s="20" t="str">
        <f aca="true">IF(AND(A647="",B647=""),"",IF(ISNA(MATCH(B647,ListaInsumos,0)),"Insumo no está en Insumos",IF(C647="","Falta cantidad",IF(IFERROR(INDEX(UnidadesBase,MATCH(D647,Unidades,0)),"")&lt;&gt;INDEX(InsBase,MATCH(B647,ListaInsumos,0)),"Unidad incompatible",IF(F647="","Insumo sin compras","OK")))))</f>
        <v/>
      </c>
      <c r="I647" s="15"/>
    </row>
    <row r="648" customFormat="false" ht="15" hidden="false" customHeight="false" outlineLevel="0" collapsed="false">
      <c r="A648" s="15"/>
      <c r="B648" s="15"/>
      <c r="C648" s="27"/>
      <c r="D648" s="15"/>
      <c r="E648" s="25" t="str">
        <f aca="true">IF(OR(C648="",D648=""),"",IFERROR(C648*INDEX(UnidadesFactor,MATCH(D648,Unidades,0)),""))</f>
        <v/>
      </c>
      <c r="F648" s="18" t="str">
        <f aca="true">IF(B648="","",IFERROR(INDEX(InsCosto,MATCH(B648,ListaInsumos,0)),""))</f>
        <v/>
      </c>
      <c r="G648" s="19" t="str">
        <f aca="false">IF(AND(A648="",B648=""),"",IF(H648="OK",E648*F648,0))</f>
        <v/>
      </c>
      <c r="H648" s="20" t="str">
        <f aca="true">IF(AND(A648="",B648=""),"",IF(ISNA(MATCH(B648,ListaInsumos,0)),"Insumo no está en Insumos",IF(C648="","Falta cantidad",IF(IFERROR(INDEX(UnidadesBase,MATCH(D648,Unidades,0)),"")&lt;&gt;INDEX(InsBase,MATCH(B648,ListaInsumos,0)),"Unidad incompatible",IF(F648="","Insumo sin compras","OK")))))</f>
        <v/>
      </c>
      <c r="I648" s="15"/>
    </row>
    <row r="649" customFormat="false" ht="15" hidden="false" customHeight="false" outlineLevel="0" collapsed="false">
      <c r="A649" s="15"/>
      <c r="B649" s="15"/>
      <c r="C649" s="27"/>
      <c r="D649" s="15"/>
      <c r="E649" s="25" t="str">
        <f aca="true">IF(OR(C649="",D649=""),"",IFERROR(C649*INDEX(UnidadesFactor,MATCH(D649,Unidades,0)),""))</f>
        <v/>
      </c>
      <c r="F649" s="18" t="str">
        <f aca="true">IF(B649="","",IFERROR(INDEX(InsCosto,MATCH(B649,ListaInsumos,0)),""))</f>
        <v/>
      </c>
      <c r="G649" s="19" t="str">
        <f aca="false">IF(AND(A649="",B649=""),"",IF(H649="OK",E649*F649,0))</f>
        <v/>
      </c>
      <c r="H649" s="20" t="str">
        <f aca="true">IF(AND(A649="",B649=""),"",IF(ISNA(MATCH(B649,ListaInsumos,0)),"Insumo no está en Insumos",IF(C649="","Falta cantidad",IF(IFERROR(INDEX(UnidadesBase,MATCH(D649,Unidades,0)),"")&lt;&gt;INDEX(InsBase,MATCH(B649,ListaInsumos,0)),"Unidad incompatible",IF(F649="","Insumo sin compras","OK")))))</f>
        <v/>
      </c>
      <c r="I649" s="15"/>
    </row>
    <row r="650" customFormat="false" ht="15" hidden="false" customHeight="false" outlineLevel="0" collapsed="false">
      <c r="A650" s="15"/>
      <c r="B650" s="15"/>
      <c r="C650" s="27"/>
      <c r="D650" s="15"/>
      <c r="E650" s="25" t="str">
        <f aca="true">IF(OR(C650="",D650=""),"",IFERROR(C650*INDEX(UnidadesFactor,MATCH(D650,Unidades,0)),""))</f>
        <v/>
      </c>
      <c r="F650" s="18" t="str">
        <f aca="true">IF(B650="","",IFERROR(INDEX(InsCosto,MATCH(B650,ListaInsumos,0)),""))</f>
        <v/>
      </c>
      <c r="G650" s="19" t="str">
        <f aca="false">IF(AND(A650="",B650=""),"",IF(H650="OK",E650*F650,0))</f>
        <v/>
      </c>
      <c r="H650" s="20" t="str">
        <f aca="true">IF(AND(A650="",B650=""),"",IF(ISNA(MATCH(B650,ListaInsumos,0)),"Insumo no está en Insumos",IF(C650="","Falta cantidad",IF(IFERROR(INDEX(UnidadesBase,MATCH(D650,Unidades,0)),"")&lt;&gt;INDEX(InsBase,MATCH(B650,ListaInsumos,0)),"Unidad incompatible",IF(F650="","Insumo sin compras","OK")))))</f>
        <v/>
      </c>
      <c r="I650" s="15"/>
    </row>
    <row r="651" customFormat="false" ht="15" hidden="false" customHeight="false" outlineLevel="0" collapsed="false">
      <c r="A651" s="15"/>
      <c r="B651" s="15"/>
      <c r="C651" s="27"/>
      <c r="D651" s="15"/>
      <c r="E651" s="25" t="str">
        <f aca="true">IF(OR(C651="",D651=""),"",IFERROR(C651*INDEX(UnidadesFactor,MATCH(D651,Unidades,0)),""))</f>
        <v/>
      </c>
      <c r="F651" s="18" t="str">
        <f aca="true">IF(B651="","",IFERROR(INDEX(InsCosto,MATCH(B651,ListaInsumos,0)),""))</f>
        <v/>
      </c>
      <c r="G651" s="19" t="str">
        <f aca="false">IF(AND(A651="",B651=""),"",IF(H651="OK",E651*F651,0))</f>
        <v/>
      </c>
      <c r="H651" s="20" t="str">
        <f aca="true">IF(AND(A651="",B651=""),"",IF(ISNA(MATCH(B651,ListaInsumos,0)),"Insumo no está en Insumos",IF(C651="","Falta cantidad",IF(IFERROR(INDEX(UnidadesBase,MATCH(D651,Unidades,0)),"")&lt;&gt;INDEX(InsBase,MATCH(B651,ListaInsumos,0)),"Unidad incompatible",IF(F651="","Insumo sin compras","OK")))))</f>
        <v/>
      </c>
      <c r="I651" s="15"/>
    </row>
    <row r="652" customFormat="false" ht="15" hidden="false" customHeight="false" outlineLevel="0" collapsed="false">
      <c r="A652" s="15"/>
      <c r="B652" s="15"/>
      <c r="C652" s="27"/>
      <c r="D652" s="15"/>
      <c r="E652" s="25" t="str">
        <f aca="true">IF(OR(C652="",D652=""),"",IFERROR(C652*INDEX(UnidadesFactor,MATCH(D652,Unidades,0)),""))</f>
        <v/>
      </c>
      <c r="F652" s="18" t="str">
        <f aca="true">IF(B652="","",IFERROR(INDEX(InsCosto,MATCH(B652,ListaInsumos,0)),""))</f>
        <v/>
      </c>
      <c r="G652" s="19" t="str">
        <f aca="false">IF(AND(A652="",B652=""),"",IF(H652="OK",E652*F652,0))</f>
        <v/>
      </c>
      <c r="H652" s="20" t="str">
        <f aca="true">IF(AND(A652="",B652=""),"",IF(ISNA(MATCH(B652,ListaInsumos,0)),"Insumo no está en Insumos",IF(C652="","Falta cantidad",IF(IFERROR(INDEX(UnidadesBase,MATCH(D652,Unidades,0)),"")&lt;&gt;INDEX(InsBase,MATCH(B652,ListaInsumos,0)),"Unidad incompatible",IF(F652="","Insumo sin compras","OK")))))</f>
        <v/>
      </c>
      <c r="I652" s="15"/>
    </row>
    <row r="653" customFormat="false" ht="15" hidden="false" customHeight="false" outlineLevel="0" collapsed="false">
      <c r="A653" s="15"/>
      <c r="B653" s="15"/>
      <c r="C653" s="27"/>
      <c r="D653" s="15"/>
      <c r="E653" s="25" t="str">
        <f aca="true">IF(OR(C653="",D653=""),"",IFERROR(C653*INDEX(UnidadesFactor,MATCH(D653,Unidades,0)),""))</f>
        <v/>
      </c>
      <c r="F653" s="18" t="str">
        <f aca="true">IF(B653="","",IFERROR(INDEX(InsCosto,MATCH(B653,ListaInsumos,0)),""))</f>
        <v/>
      </c>
      <c r="G653" s="19" t="str">
        <f aca="false">IF(AND(A653="",B653=""),"",IF(H653="OK",E653*F653,0))</f>
        <v/>
      </c>
      <c r="H653" s="20" t="str">
        <f aca="true">IF(AND(A653="",B653=""),"",IF(ISNA(MATCH(B653,ListaInsumos,0)),"Insumo no está en Insumos",IF(C653="","Falta cantidad",IF(IFERROR(INDEX(UnidadesBase,MATCH(D653,Unidades,0)),"")&lt;&gt;INDEX(InsBase,MATCH(B653,ListaInsumos,0)),"Unidad incompatible",IF(F653="","Insumo sin compras","OK")))))</f>
        <v/>
      </c>
      <c r="I653" s="15"/>
    </row>
    <row r="654" customFormat="false" ht="15" hidden="false" customHeight="false" outlineLevel="0" collapsed="false">
      <c r="A654" s="15"/>
      <c r="B654" s="15"/>
      <c r="C654" s="27"/>
      <c r="D654" s="15"/>
      <c r="E654" s="25" t="str">
        <f aca="true">IF(OR(C654="",D654=""),"",IFERROR(C654*INDEX(UnidadesFactor,MATCH(D654,Unidades,0)),""))</f>
        <v/>
      </c>
      <c r="F654" s="18" t="str">
        <f aca="true">IF(B654="","",IFERROR(INDEX(InsCosto,MATCH(B654,ListaInsumos,0)),""))</f>
        <v/>
      </c>
      <c r="G654" s="19" t="str">
        <f aca="false">IF(AND(A654="",B654=""),"",IF(H654="OK",E654*F654,0))</f>
        <v/>
      </c>
      <c r="H654" s="20" t="str">
        <f aca="true">IF(AND(A654="",B654=""),"",IF(ISNA(MATCH(B654,ListaInsumos,0)),"Insumo no está en Insumos",IF(C654="","Falta cantidad",IF(IFERROR(INDEX(UnidadesBase,MATCH(D654,Unidades,0)),"")&lt;&gt;INDEX(InsBase,MATCH(B654,ListaInsumos,0)),"Unidad incompatible",IF(F654="","Insumo sin compras","OK")))))</f>
        <v/>
      </c>
      <c r="I654" s="15"/>
    </row>
    <row r="655" customFormat="false" ht="15" hidden="false" customHeight="false" outlineLevel="0" collapsed="false">
      <c r="A655" s="15"/>
      <c r="B655" s="15"/>
      <c r="C655" s="27"/>
      <c r="D655" s="15"/>
      <c r="E655" s="25" t="str">
        <f aca="true">IF(OR(C655="",D655=""),"",IFERROR(C655*INDEX(UnidadesFactor,MATCH(D655,Unidades,0)),""))</f>
        <v/>
      </c>
      <c r="F655" s="18" t="str">
        <f aca="true">IF(B655="","",IFERROR(INDEX(InsCosto,MATCH(B655,ListaInsumos,0)),""))</f>
        <v/>
      </c>
      <c r="G655" s="19" t="str">
        <f aca="false">IF(AND(A655="",B655=""),"",IF(H655="OK",E655*F655,0))</f>
        <v/>
      </c>
      <c r="H655" s="20" t="str">
        <f aca="true">IF(AND(A655="",B655=""),"",IF(ISNA(MATCH(B655,ListaInsumos,0)),"Insumo no está en Insumos",IF(C655="","Falta cantidad",IF(IFERROR(INDEX(UnidadesBase,MATCH(D655,Unidades,0)),"")&lt;&gt;INDEX(InsBase,MATCH(B655,ListaInsumos,0)),"Unidad incompatible",IF(F655="","Insumo sin compras","OK")))))</f>
        <v/>
      </c>
      <c r="I655" s="15"/>
    </row>
    <row r="656" customFormat="false" ht="15" hidden="false" customHeight="false" outlineLevel="0" collapsed="false">
      <c r="A656" s="15"/>
      <c r="B656" s="15"/>
      <c r="C656" s="27"/>
      <c r="D656" s="15"/>
      <c r="E656" s="25" t="str">
        <f aca="true">IF(OR(C656="",D656=""),"",IFERROR(C656*INDEX(UnidadesFactor,MATCH(D656,Unidades,0)),""))</f>
        <v/>
      </c>
      <c r="F656" s="18" t="str">
        <f aca="true">IF(B656="","",IFERROR(INDEX(InsCosto,MATCH(B656,ListaInsumos,0)),""))</f>
        <v/>
      </c>
      <c r="G656" s="19" t="str">
        <f aca="false">IF(AND(A656="",B656=""),"",IF(H656="OK",E656*F656,0))</f>
        <v/>
      </c>
      <c r="H656" s="20" t="str">
        <f aca="true">IF(AND(A656="",B656=""),"",IF(ISNA(MATCH(B656,ListaInsumos,0)),"Insumo no está en Insumos",IF(C656="","Falta cantidad",IF(IFERROR(INDEX(UnidadesBase,MATCH(D656,Unidades,0)),"")&lt;&gt;INDEX(InsBase,MATCH(B656,ListaInsumos,0)),"Unidad incompatible",IF(F656="","Insumo sin compras","OK")))))</f>
        <v/>
      </c>
      <c r="I656" s="15"/>
    </row>
    <row r="657" customFormat="false" ht="15" hidden="false" customHeight="false" outlineLevel="0" collapsed="false">
      <c r="A657" s="15"/>
      <c r="B657" s="15"/>
      <c r="C657" s="27"/>
      <c r="D657" s="15"/>
      <c r="E657" s="25" t="str">
        <f aca="true">IF(OR(C657="",D657=""),"",IFERROR(C657*INDEX(UnidadesFactor,MATCH(D657,Unidades,0)),""))</f>
        <v/>
      </c>
      <c r="F657" s="18" t="str">
        <f aca="true">IF(B657="","",IFERROR(INDEX(InsCosto,MATCH(B657,ListaInsumos,0)),""))</f>
        <v/>
      </c>
      <c r="G657" s="19" t="str">
        <f aca="false">IF(AND(A657="",B657=""),"",IF(H657="OK",E657*F657,0))</f>
        <v/>
      </c>
      <c r="H657" s="20" t="str">
        <f aca="true">IF(AND(A657="",B657=""),"",IF(ISNA(MATCH(B657,ListaInsumos,0)),"Insumo no está en Insumos",IF(C657="","Falta cantidad",IF(IFERROR(INDEX(UnidadesBase,MATCH(D657,Unidades,0)),"")&lt;&gt;INDEX(InsBase,MATCH(B657,ListaInsumos,0)),"Unidad incompatible",IF(F657="","Insumo sin compras","OK")))))</f>
        <v/>
      </c>
      <c r="I657" s="15"/>
    </row>
    <row r="658" customFormat="false" ht="15" hidden="false" customHeight="false" outlineLevel="0" collapsed="false">
      <c r="A658" s="15"/>
      <c r="B658" s="15"/>
      <c r="C658" s="27"/>
      <c r="D658" s="15"/>
      <c r="E658" s="25" t="str">
        <f aca="true">IF(OR(C658="",D658=""),"",IFERROR(C658*INDEX(UnidadesFactor,MATCH(D658,Unidades,0)),""))</f>
        <v/>
      </c>
      <c r="F658" s="18" t="str">
        <f aca="true">IF(B658="","",IFERROR(INDEX(InsCosto,MATCH(B658,ListaInsumos,0)),""))</f>
        <v/>
      </c>
      <c r="G658" s="19" t="str">
        <f aca="false">IF(AND(A658="",B658=""),"",IF(H658="OK",E658*F658,0))</f>
        <v/>
      </c>
      <c r="H658" s="20" t="str">
        <f aca="true">IF(AND(A658="",B658=""),"",IF(ISNA(MATCH(B658,ListaInsumos,0)),"Insumo no está en Insumos",IF(C658="","Falta cantidad",IF(IFERROR(INDEX(UnidadesBase,MATCH(D658,Unidades,0)),"")&lt;&gt;INDEX(InsBase,MATCH(B658,ListaInsumos,0)),"Unidad incompatible",IF(F658="","Insumo sin compras","OK")))))</f>
        <v/>
      </c>
      <c r="I658" s="15"/>
    </row>
    <row r="659" customFormat="false" ht="15" hidden="false" customHeight="false" outlineLevel="0" collapsed="false">
      <c r="A659" s="15"/>
      <c r="B659" s="15"/>
      <c r="C659" s="27"/>
      <c r="D659" s="15"/>
      <c r="E659" s="25" t="str">
        <f aca="true">IF(OR(C659="",D659=""),"",IFERROR(C659*INDEX(UnidadesFactor,MATCH(D659,Unidades,0)),""))</f>
        <v/>
      </c>
      <c r="F659" s="18" t="str">
        <f aca="true">IF(B659="","",IFERROR(INDEX(InsCosto,MATCH(B659,ListaInsumos,0)),""))</f>
        <v/>
      </c>
      <c r="G659" s="19" t="str">
        <f aca="false">IF(AND(A659="",B659=""),"",IF(H659="OK",E659*F659,0))</f>
        <v/>
      </c>
      <c r="H659" s="20" t="str">
        <f aca="true">IF(AND(A659="",B659=""),"",IF(ISNA(MATCH(B659,ListaInsumos,0)),"Insumo no está en Insumos",IF(C659="","Falta cantidad",IF(IFERROR(INDEX(UnidadesBase,MATCH(D659,Unidades,0)),"")&lt;&gt;INDEX(InsBase,MATCH(B659,ListaInsumos,0)),"Unidad incompatible",IF(F659="","Insumo sin compras","OK")))))</f>
        <v/>
      </c>
      <c r="I659" s="15"/>
    </row>
    <row r="660" customFormat="false" ht="15" hidden="false" customHeight="false" outlineLevel="0" collapsed="false">
      <c r="A660" s="15"/>
      <c r="B660" s="15"/>
      <c r="C660" s="27"/>
      <c r="D660" s="15"/>
      <c r="E660" s="25" t="str">
        <f aca="true">IF(OR(C660="",D660=""),"",IFERROR(C660*INDEX(UnidadesFactor,MATCH(D660,Unidades,0)),""))</f>
        <v/>
      </c>
      <c r="F660" s="18" t="str">
        <f aca="true">IF(B660="","",IFERROR(INDEX(InsCosto,MATCH(B660,ListaInsumos,0)),""))</f>
        <v/>
      </c>
      <c r="G660" s="19" t="str">
        <f aca="false">IF(AND(A660="",B660=""),"",IF(H660="OK",E660*F660,0))</f>
        <v/>
      </c>
      <c r="H660" s="20" t="str">
        <f aca="true">IF(AND(A660="",B660=""),"",IF(ISNA(MATCH(B660,ListaInsumos,0)),"Insumo no está en Insumos",IF(C660="","Falta cantidad",IF(IFERROR(INDEX(UnidadesBase,MATCH(D660,Unidades,0)),"")&lt;&gt;INDEX(InsBase,MATCH(B660,ListaInsumos,0)),"Unidad incompatible",IF(F660="","Insumo sin compras","OK")))))</f>
        <v/>
      </c>
      <c r="I660" s="15"/>
    </row>
    <row r="661" customFormat="false" ht="15" hidden="false" customHeight="false" outlineLevel="0" collapsed="false">
      <c r="A661" s="15"/>
      <c r="B661" s="15"/>
      <c r="C661" s="27"/>
      <c r="D661" s="15"/>
      <c r="E661" s="25" t="str">
        <f aca="true">IF(OR(C661="",D661=""),"",IFERROR(C661*INDEX(UnidadesFactor,MATCH(D661,Unidades,0)),""))</f>
        <v/>
      </c>
      <c r="F661" s="18" t="str">
        <f aca="true">IF(B661="","",IFERROR(INDEX(InsCosto,MATCH(B661,ListaInsumos,0)),""))</f>
        <v/>
      </c>
      <c r="G661" s="19" t="str">
        <f aca="false">IF(AND(A661="",B661=""),"",IF(H661="OK",E661*F661,0))</f>
        <v/>
      </c>
      <c r="H661" s="20" t="str">
        <f aca="true">IF(AND(A661="",B661=""),"",IF(ISNA(MATCH(B661,ListaInsumos,0)),"Insumo no está en Insumos",IF(C661="","Falta cantidad",IF(IFERROR(INDEX(UnidadesBase,MATCH(D661,Unidades,0)),"")&lt;&gt;INDEX(InsBase,MATCH(B661,ListaInsumos,0)),"Unidad incompatible",IF(F661="","Insumo sin compras","OK")))))</f>
        <v/>
      </c>
      <c r="I661" s="15"/>
    </row>
    <row r="662" customFormat="false" ht="15" hidden="false" customHeight="false" outlineLevel="0" collapsed="false">
      <c r="A662" s="15"/>
      <c r="B662" s="15"/>
      <c r="C662" s="27"/>
      <c r="D662" s="15"/>
      <c r="E662" s="25" t="str">
        <f aca="true">IF(OR(C662="",D662=""),"",IFERROR(C662*INDEX(UnidadesFactor,MATCH(D662,Unidades,0)),""))</f>
        <v/>
      </c>
      <c r="F662" s="18" t="str">
        <f aca="true">IF(B662="","",IFERROR(INDEX(InsCosto,MATCH(B662,ListaInsumos,0)),""))</f>
        <v/>
      </c>
      <c r="G662" s="19" t="str">
        <f aca="false">IF(AND(A662="",B662=""),"",IF(H662="OK",E662*F662,0))</f>
        <v/>
      </c>
      <c r="H662" s="20" t="str">
        <f aca="true">IF(AND(A662="",B662=""),"",IF(ISNA(MATCH(B662,ListaInsumos,0)),"Insumo no está en Insumos",IF(C662="","Falta cantidad",IF(IFERROR(INDEX(UnidadesBase,MATCH(D662,Unidades,0)),"")&lt;&gt;INDEX(InsBase,MATCH(B662,ListaInsumos,0)),"Unidad incompatible",IF(F662="","Insumo sin compras","OK")))))</f>
        <v/>
      </c>
      <c r="I662" s="15"/>
    </row>
    <row r="663" customFormat="false" ht="15" hidden="false" customHeight="false" outlineLevel="0" collapsed="false">
      <c r="A663" s="15"/>
      <c r="B663" s="15"/>
      <c r="C663" s="27"/>
      <c r="D663" s="15"/>
      <c r="E663" s="25" t="str">
        <f aca="true">IF(OR(C663="",D663=""),"",IFERROR(C663*INDEX(UnidadesFactor,MATCH(D663,Unidades,0)),""))</f>
        <v/>
      </c>
      <c r="F663" s="18" t="str">
        <f aca="true">IF(B663="","",IFERROR(INDEX(InsCosto,MATCH(B663,ListaInsumos,0)),""))</f>
        <v/>
      </c>
      <c r="G663" s="19" t="str">
        <f aca="false">IF(AND(A663="",B663=""),"",IF(H663="OK",E663*F663,0))</f>
        <v/>
      </c>
      <c r="H663" s="20" t="str">
        <f aca="true">IF(AND(A663="",B663=""),"",IF(ISNA(MATCH(B663,ListaInsumos,0)),"Insumo no está en Insumos",IF(C663="","Falta cantidad",IF(IFERROR(INDEX(UnidadesBase,MATCH(D663,Unidades,0)),"")&lt;&gt;INDEX(InsBase,MATCH(B663,ListaInsumos,0)),"Unidad incompatible",IF(F663="","Insumo sin compras","OK")))))</f>
        <v/>
      </c>
      <c r="I663" s="15"/>
    </row>
    <row r="664" customFormat="false" ht="15" hidden="false" customHeight="false" outlineLevel="0" collapsed="false">
      <c r="A664" s="15"/>
      <c r="B664" s="15"/>
      <c r="C664" s="27"/>
      <c r="D664" s="15"/>
      <c r="E664" s="25" t="str">
        <f aca="true">IF(OR(C664="",D664=""),"",IFERROR(C664*INDEX(UnidadesFactor,MATCH(D664,Unidades,0)),""))</f>
        <v/>
      </c>
      <c r="F664" s="18" t="str">
        <f aca="true">IF(B664="","",IFERROR(INDEX(InsCosto,MATCH(B664,ListaInsumos,0)),""))</f>
        <v/>
      </c>
      <c r="G664" s="19" t="str">
        <f aca="false">IF(AND(A664="",B664=""),"",IF(H664="OK",E664*F664,0))</f>
        <v/>
      </c>
      <c r="H664" s="20" t="str">
        <f aca="true">IF(AND(A664="",B664=""),"",IF(ISNA(MATCH(B664,ListaInsumos,0)),"Insumo no está en Insumos",IF(C664="","Falta cantidad",IF(IFERROR(INDEX(UnidadesBase,MATCH(D664,Unidades,0)),"")&lt;&gt;INDEX(InsBase,MATCH(B664,ListaInsumos,0)),"Unidad incompatible",IF(F664="","Insumo sin compras","OK")))))</f>
        <v/>
      </c>
      <c r="I664" s="15"/>
    </row>
    <row r="665" customFormat="false" ht="15" hidden="false" customHeight="false" outlineLevel="0" collapsed="false">
      <c r="A665" s="15"/>
      <c r="B665" s="15"/>
      <c r="C665" s="27"/>
      <c r="D665" s="15"/>
      <c r="E665" s="25" t="str">
        <f aca="true">IF(OR(C665="",D665=""),"",IFERROR(C665*INDEX(UnidadesFactor,MATCH(D665,Unidades,0)),""))</f>
        <v/>
      </c>
      <c r="F665" s="18" t="str">
        <f aca="true">IF(B665="","",IFERROR(INDEX(InsCosto,MATCH(B665,ListaInsumos,0)),""))</f>
        <v/>
      </c>
      <c r="G665" s="19" t="str">
        <f aca="false">IF(AND(A665="",B665=""),"",IF(H665="OK",E665*F665,0))</f>
        <v/>
      </c>
      <c r="H665" s="20" t="str">
        <f aca="true">IF(AND(A665="",B665=""),"",IF(ISNA(MATCH(B665,ListaInsumos,0)),"Insumo no está en Insumos",IF(C665="","Falta cantidad",IF(IFERROR(INDEX(UnidadesBase,MATCH(D665,Unidades,0)),"")&lt;&gt;INDEX(InsBase,MATCH(B665,ListaInsumos,0)),"Unidad incompatible",IF(F665="","Insumo sin compras","OK")))))</f>
        <v/>
      </c>
      <c r="I665" s="15"/>
    </row>
    <row r="666" customFormat="false" ht="15" hidden="false" customHeight="false" outlineLevel="0" collapsed="false">
      <c r="A666" s="15"/>
      <c r="B666" s="15"/>
      <c r="C666" s="27"/>
      <c r="D666" s="15"/>
      <c r="E666" s="25" t="str">
        <f aca="true">IF(OR(C666="",D666=""),"",IFERROR(C666*INDEX(UnidadesFactor,MATCH(D666,Unidades,0)),""))</f>
        <v/>
      </c>
      <c r="F666" s="18" t="str">
        <f aca="true">IF(B666="","",IFERROR(INDEX(InsCosto,MATCH(B666,ListaInsumos,0)),""))</f>
        <v/>
      </c>
      <c r="G666" s="19" t="str">
        <f aca="false">IF(AND(A666="",B666=""),"",IF(H666="OK",E666*F666,0))</f>
        <v/>
      </c>
      <c r="H666" s="20" t="str">
        <f aca="true">IF(AND(A666="",B666=""),"",IF(ISNA(MATCH(B666,ListaInsumos,0)),"Insumo no está en Insumos",IF(C666="","Falta cantidad",IF(IFERROR(INDEX(UnidadesBase,MATCH(D666,Unidades,0)),"")&lt;&gt;INDEX(InsBase,MATCH(B666,ListaInsumos,0)),"Unidad incompatible",IF(F666="","Insumo sin compras","OK")))))</f>
        <v/>
      </c>
      <c r="I666" s="15"/>
    </row>
    <row r="667" customFormat="false" ht="15" hidden="false" customHeight="false" outlineLevel="0" collapsed="false">
      <c r="A667" s="15"/>
      <c r="B667" s="15"/>
      <c r="C667" s="27"/>
      <c r="D667" s="15"/>
      <c r="E667" s="25" t="str">
        <f aca="true">IF(OR(C667="",D667=""),"",IFERROR(C667*INDEX(UnidadesFactor,MATCH(D667,Unidades,0)),""))</f>
        <v/>
      </c>
      <c r="F667" s="18" t="str">
        <f aca="true">IF(B667="","",IFERROR(INDEX(InsCosto,MATCH(B667,ListaInsumos,0)),""))</f>
        <v/>
      </c>
      <c r="G667" s="19" t="str">
        <f aca="false">IF(AND(A667="",B667=""),"",IF(H667="OK",E667*F667,0))</f>
        <v/>
      </c>
      <c r="H667" s="20" t="str">
        <f aca="true">IF(AND(A667="",B667=""),"",IF(ISNA(MATCH(B667,ListaInsumos,0)),"Insumo no está en Insumos",IF(C667="","Falta cantidad",IF(IFERROR(INDEX(UnidadesBase,MATCH(D667,Unidades,0)),"")&lt;&gt;INDEX(InsBase,MATCH(B667,ListaInsumos,0)),"Unidad incompatible",IF(F667="","Insumo sin compras","OK")))))</f>
        <v/>
      </c>
      <c r="I667" s="15"/>
    </row>
    <row r="668" customFormat="false" ht="15" hidden="false" customHeight="false" outlineLevel="0" collapsed="false">
      <c r="A668" s="15"/>
      <c r="B668" s="15"/>
      <c r="C668" s="27"/>
      <c r="D668" s="15"/>
      <c r="E668" s="25" t="str">
        <f aca="true">IF(OR(C668="",D668=""),"",IFERROR(C668*INDEX(UnidadesFactor,MATCH(D668,Unidades,0)),""))</f>
        <v/>
      </c>
      <c r="F668" s="18" t="str">
        <f aca="true">IF(B668="","",IFERROR(INDEX(InsCosto,MATCH(B668,ListaInsumos,0)),""))</f>
        <v/>
      </c>
      <c r="G668" s="19" t="str">
        <f aca="false">IF(AND(A668="",B668=""),"",IF(H668="OK",E668*F668,0))</f>
        <v/>
      </c>
      <c r="H668" s="20" t="str">
        <f aca="true">IF(AND(A668="",B668=""),"",IF(ISNA(MATCH(B668,ListaInsumos,0)),"Insumo no está en Insumos",IF(C668="","Falta cantidad",IF(IFERROR(INDEX(UnidadesBase,MATCH(D668,Unidades,0)),"")&lt;&gt;INDEX(InsBase,MATCH(B668,ListaInsumos,0)),"Unidad incompatible",IF(F668="","Insumo sin compras","OK")))))</f>
        <v/>
      </c>
      <c r="I668" s="15"/>
    </row>
    <row r="669" customFormat="false" ht="15" hidden="false" customHeight="false" outlineLevel="0" collapsed="false">
      <c r="A669" s="15"/>
      <c r="B669" s="15"/>
      <c r="C669" s="27"/>
      <c r="D669" s="15"/>
      <c r="E669" s="25" t="str">
        <f aca="true">IF(OR(C669="",D669=""),"",IFERROR(C669*INDEX(UnidadesFactor,MATCH(D669,Unidades,0)),""))</f>
        <v/>
      </c>
      <c r="F669" s="18" t="str">
        <f aca="true">IF(B669="","",IFERROR(INDEX(InsCosto,MATCH(B669,ListaInsumos,0)),""))</f>
        <v/>
      </c>
      <c r="G669" s="19" t="str">
        <f aca="false">IF(AND(A669="",B669=""),"",IF(H669="OK",E669*F669,0))</f>
        <v/>
      </c>
      <c r="H669" s="20" t="str">
        <f aca="true">IF(AND(A669="",B669=""),"",IF(ISNA(MATCH(B669,ListaInsumos,0)),"Insumo no está en Insumos",IF(C669="","Falta cantidad",IF(IFERROR(INDEX(UnidadesBase,MATCH(D669,Unidades,0)),"")&lt;&gt;INDEX(InsBase,MATCH(B669,ListaInsumos,0)),"Unidad incompatible",IF(F669="","Insumo sin compras","OK")))))</f>
        <v/>
      </c>
      <c r="I669" s="15"/>
    </row>
    <row r="670" customFormat="false" ht="15" hidden="false" customHeight="false" outlineLevel="0" collapsed="false">
      <c r="A670" s="15"/>
      <c r="B670" s="15"/>
      <c r="C670" s="27"/>
      <c r="D670" s="15"/>
      <c r="E670" s="25" t="str">
        <f aca="true">IF(OR(C670="",D670=""),"",IFERROR(C670*INDEX(UnidadesFactor,MATCH(D670,Unidades,0)),""))</f>
        <v/>
      </c>
      <c r="F670" s="18" t="str">
        <f aca="true">IF(B670="","",IFERROR(INDEX(InsCosto,MATCH(B670,ListaInsumos,0)),""))</f>
        <v/>
      </c>
      <c r="G670" s="19" t="str">
        <f aca="false">IF(AND(A670="",B670=""),"",IF(H670="OK",E670*F670,0))</f>
        <v/>
      </c>
      <c r="H670" s="20" t="str">
        <f aca="true">IF(AND(A670="",B670=""),"",IF(ISNA(MATCH(B670,ListaInsumos,0)),"Insumo no está en Insumos",IF(C670="","Falta cantidad",IF(IFERROR(INDEX(UnidadesBase,MATCH(D670,Unidades,0)),"")&lt;&gt;INDEX(InsBase,MATCH(B670,ListaInsumos,0)),"Unidad incompatible",IF(F670="","Insumo sin compras","OK")))))</f>
        <v/>
      </c>
      <c r="I670" s="15"/>
    </row>
    <row r="671" customFormat="false" ht="15" hidden="false" customHeight="false" outlineLevel="0" collapsed="false">
      <c r="A671" s="15"/>
      <c r="B671" s="15"/>
      <c r="C671" s="27"/>
      <c r="D671" s="15"/>
      <c r="E671" s="25" t="str">
        <f aca="true">IF(OR(C671="",D671=""),"",IFERROR(C671*INDEX(UnidadesFactor,MATCH(D671,Unidades,0)),""))</f>
        <v/>
      </c>
      <c r="F671" s="18" t="str">
        <f aca="true">IF(B671="","",IFERROR(INDEX(InsCosto,MATCH(B671,ListaInsumos,0)),""))</f>
        <v/>
      </c>
      <c r="G671" s="19" t="str">
        <f aca="false">IF(AND(A671="",B671=""),"",IF(H671="OK",E671*F671,0))</f>
        <v/>
      </c>
      <c r="H671" s="20" t="str">
        <f aca="true">IF(AND(A671="",B671=""),"",IF(ISNA(MATCH(B671,ListaInsumos,0)),"Insumo no está en Insumos",IF(C671="","Falta cantidad",IF(IFERROR(INDEX(UnidadesBase,MATCH(D671,Unidades,0)),"")&lt;&gt;INDEX(InsBase,MATCH(B671,ListaInsumos,0)),"Unidad incompatible",IF(F671="","Insumo sin compras","OK")))))</f>
        <v/>
      </c>
      <c r="I671" s="15"/>
    </row>
    <row r="672" customFormat="false" ht="15" hidden="false" customHeight="false" outlineLevel="0" collapsed="false">
      <c r="A672" s="15"/>
      <c r="B672" s="15"/>
      <c r="C672" s="27"/>
      <c r="D672" s="15"/>
      <c r="E672" s="25" t="str">
        <f aca="true">IF(OR(C672="",D672=""),"",IFERROR(C672*INDEX(UnidadesFactor,MATCH(D672,Unidades,0)),""))</f>
        <v/>
      </c>
      <c r="F672" s="18" t="str">
        <f aca="true">IF(B672="","",IFERROR(INDEX(InsCosto,MATCH(B672,ListaInsumos,0)),""))</f>
        <v/>
      </c>
      <c r="G672" s="19" t="str">
        <f aca="false">IF(AND(A672="",B672=""),"",IF(H672="OK",E672*F672,0))</f>
        <v/>
      </c>
      <c r="H672" s="20" t="str">
        <f aca="true">IF(AND(A672="",B672=""),"",IF(ISNA(MATCH(B672,ListaInsumos,0)),"Insumo no está en Insumos",IF(C672="","Falta cantidad",IF(IFERROR(INDEX(UnidadesBase,MATCH(D672,Unidades,0)),"")&lt;&gt;INDEX(InsBase,MATCH(B672,ListaInsumos,0)),"Unidad incompatible",IF(F672="","Insumo sin compras","OK")))))</f>
        <v/>
      </c>
      <c r="I672" s="15"/>
    </row>
    <row r="673" customFormat="false" ht="15" hidden="false" customHeight="false" outlineLevel="0" collapsed="false">
      <c r="A673" s="15"/>
      <c r="B673" s="15"/>
      <c r="C673" s="27"/>
      <c r="D673" s="15"/>
      <c r="E673" s="25" t="str">
        <f aca="true">IF(OR(C673="",D673=""),"",IFERROR(C673*INDEX(UnidadesFactor,MATCH(D673,Unidades,0)),""))</f>
        <v/>
      </c>
      <c r="F673" s="18" t="str">
        <f aca="true">IF(B673="","",IFERROR(INDEX(InsCosto,MATCH(B673,ListaInsumos,0)),""))</f>
        <v/>
      </c>
      <c r="G673" s="19" t="str">
        <f aca="false">IF(AND(A673="",B673=""),"",IF(H673="OK",E673*F673,0))</f>
        <v/>
      </c>
      <c r="H673" s="20" t="str">
        <f aca="true">IF(AND(A673="",B673=""),"",IF(ISNA(MATCH(B673,ListaInsumos,0)),"Insumo no está en Insumos",IF(C673="","Falta cantidad",IF(IFERROR(INDEX(UnidadesBase,MATCH(D673,Unidades,0)),"")&lt;&gt;INDEX(InsBase,MATCH(B673,ListaInsumos,0)),"Unidad incompatible",IF(F673="","Insumo sin compras","OK")))))</f>
        <v/>
      </c>
      <c r="I673" s="15"/>
    </row>
    <row r="674" customFormat="false" ht="15" hidden="false" customHeight="false" outlineLevel="0" collapsed="false">
      <c r="A674" s="15"/>
      <c r="B674" s="15"/>
      <c r="C674" s="27"/>
      <c r="D674" s="15"/>
      <c r="E674" s="25" t="str">
        <f aca="true">IF(OR(C674="",D674=""),"",IFERROR(C674*INDEX(UnidadesFactor,MATCH(D674,Unidades,0)),""))</f>
        <v/>
      </c>
      <c r="F674" s="18" t="str">
        <f aca="true">IF(B674="","",IFERROR(INDEX(InsCosto,MATCH(B674,ListaInsumos,0)),""))</f>
        <v/>
      </c>
      <c r="G674" s="19" t="str">
        <f aca="false">IF(AND(A674="",B674=""),"",IF(H674="OK",E674*F674,0))</f>
        <v/>
      </c>
      <c r="H674" s="20" t="str">
        <f aca="true">IF(AND(A674="",B674=""),"",IF(ISNA(MATCH(B674,ListaInsumos,0)),"Insumo no está en Insumos",IF(C674="","Falta cantidad",IF(IFERROR(INDEX(UnidadesBase,MATCH(D674,Unidades,0)),"")&lt;&gt;INDEX(InsBase,MATCH(B674,ListaInsumos,0)),"Unidad incompatible",IF(F674="","Insumo sin compras","OK")))))</f>
        <v/>
      </c>
      <c r="I674" s="15"/>
    </row>
    <row r="675" customFormat="false" ht="15" hidden="false" customHeight="false" outlineLevel="0" collapsed="false">
      <c r="A675" s="15"/>
      <c r="B675" s="15"/>
      <c r="C675" s="27"/>
      <c r="D675" s="15"/>
      <c r="E675" s="25" t="str">
        <f aca="true">IF(OR(C675="",D675=""),"",IFERROR(C675*INDEX(UnidadesFactor,MATCH(D675,Unidades,0)),""))</f>
        <v/>
      </c>
      <c r="F675" s="18" t="str">
        <f aca="true">IF(B675="","",IFERROR(INDEX(InsCosto,MATCH(B675,ListaInsumos,0)),""))</f>
        <v/>
      </c>
      <c r="G675" s="19" t="str">
        <f aca="false">IF(AND(A675="",B675=""),"",IF(H675="OK",E675*F675,0))</f>
        <v/>
      </c>
      <c r="H675" s="20" t="str">
        <f aca="true">IF(AND(A675="",B675=""),"",IF(ISNA(MATCH(B675,ListaInsumos,0)),"Insumo no está en Insumos",IF(C675="","Falta cantidad",IF(IFERROR(INDEX(UnidadesBase,MATCH(D675,Unidades,0)),"")&lt;&gt;INDEX(InsBase,MATCH(B675,ListaInsumos,0)),"Unidad incompatible",IF(F675="","Insumo sin compras","OK")))))</f>
        <v/>
      </c>
      <c r="I675" s="15"/>
    </row>
    <row r="676" customFormat="false" ht="15" hidden="false" customHeight="false" outlineLevel="0" collapsed="false">
      <c r="A676" s="15"/>
      <c r="B676" s="15"/>
      <c r="C676" s="27"/>
      <c r="D676" s="15"/>
      <c r="E676" s="25" t="str">
        <f aca="true">IF(OR(C676="",D676=""),"",IFERROR(C676*INDEX(UnidadesFactor,MATCH(D676,Unidades,0)),""))</f>
        <v/>
      </c>
      <c r="F676" s="18" t="str">
        <f aca="true">IF(B676="","",IFERROR(INDEX(InsCosto,MATCH(B676,ListaInsumos,0)),""))</f>
        <v/>
      </c>
      <c r="G676" s="19" t="str">
        <f aca="false">IF(AND(A676="",B676=""),"",IF(H676="OK",E676*F676,0))</f>
        <v/>
      </c>
      <c r="H676" s="20" t="str">
        <f aca="true">IF(AND(A676="",B676=""),"",IF(ISNA(MATCH(B676,ListaInsumos,0)),"Insumo no está en Insumos",IF(C676="","Falta cantidad",IF(IFERROR(INDEX(UnidadesBase,MATCH(D676,Unidades,0)),"")&lt;&gt;INDEX(InsBase,MATCH(B676,ListaInsumos,0)),"Unidad incompatible",IF(F676="","Insumo sin compras","OK")))))</f>
        <v/>
      </c>
      <c r="I676" s="15"/>
    </row>
    <row r="677" customFormat="false" ht="15" hidden="false" customHeight="false" outlineLevel="0" collapsed="false">
      <c r="A677" s="15"/>
      <c r="B677" s="15"/>
      <c r="C677" s="27"/>
      <c r="D677" s="15"/>
      <c r="E677" s="25" t="str">
        <f aca="true">IF(OR(C677="",D677=""),"",IFERROR(C677*INDEX(UnidadesFactor,MATCH(D677,Unidades,0)),""))</f>
        <v/>
      </c>
      <c r="F677" s="18" t="str">
        <f aca="true">IF(B677="","",IFERROR(INDEX(InsCosto,MATCH(B677,ListaInsumos,0)),""))</f>
        <v/>
      </c>
      <c r="G677" s="19" t="str">
        <f aca="false">IF(AND(A677="",B677=""),"",IF(H677="OK",E677*F677,0))</f>
        <v/>
      </c>
      <c r="H677" s="20" t="str">
        <f aca="true">IF(AND(A677="",B677=""),"",IF(ISNA(MATCH(B677,ListaInsumos,0)),"Insumo no está en Insumos",IF(C677="","Falta cantidad",IF(IFERROR(INDEX(UnidadesBase,MATCH(D677,Unidades,0)),"")&lt;&gt;INDEX(InsBase,MATCH(B677,ListaInsumos,0)),"Unidad incompatible",IF(F677="","Insumo sin compras","OK")))))</f>
        <v/>
      </c>
      <c r="I677" s="15"/>
    </row>
    <row r="678" customFormat="false" ht="15" hidden="false" customHeight="false" outlineLevel="0" collapsed="false">
      <c r="A678" s="15"/>
      <c r="B678" s="15"/>
      <c r="C678" s="27"/>
      <c r="D678" s="15"/>
      <c r="E678" s="25" t="str">
        <f aca="true">IF(OR(C678="",D678=""),"",IFERROR(C678*INDEX(UnidadesFactor,MATCH(D678,Unidades,0)),""))</f>
        <v/>
      </c>
      <c r="F678" s="18" t="str">
        <f aca="true">IF(B678="","",IFERROR(INDEX(InsCosto,MATCH(B678,ListaInsumos,0)),""))</f>
        <v/>
      </c>
      <c r="G678" s="19" t="str">
        <f aca="false">IF(AND(A678="",B678=""),"",IF(H678="OK",E678*F678,0))</f>
        <v/>
      </c>
      <c r="H678" s="20" t="str">
        <f aca="true">IF(AND(A678="",B678=""),"",IF(ISNA(MATCH(B678,ListaInsumos,0)),"Insumo no está en Insumos",IF(C678="","Falta cantidad",IF(IFERROR(INDEX(UnidadesBase,MATCH(D678,Unidades,0)),"")&lt;&gt;INDEX(InsBase,MATCH(B678,ListaInsumos,0)),"Unidad incompatible",IF(F678="","Insumo sin compras","OK")))))</f>
        <v/>
      </c>
      <c r="I678" s="15"/>
    </row>
    <row r="679" customFormat="false" ht="15" hidden="false" customHeight="false" outlineLevel="0" collapsed="false">
      <c r="A679" s="15"/>
      <c r="B679" s="15"/>
      <c r="C679" s="27"/>
      <c r="D679" s="15"/>
      <c r="E679" s="25" t="str">
        <f aca="true">IF(OR(C679="",D679=""),"",IFERROR(C679*INDEX(UnidadesFactor,MATCH(D679,Unidades,0)),""))</f>
        <v/>
      </c>
      <c r="F679" s="18" t="str">
        <f aca="true">IF(B679="","",IFERROR(INDEX(InsCosto,MATCH(B679,ListaInsumos,0)),""))</f>
        <v/>
      </c>
      <c r="G679" s="19" t="str">
        <f aca="false">IF(AND(A679="",B679=""),"",IF(H679="OK",E679*F679,0))</f>
        <v/>
      </c>
      <c r="H679" s="20" t="str">
        <f aca="true">IF(AND(A679="",B679=""),"",IF(ISNA(MATCH(B679,ListaInsumos,0)),"Insumo no está en Insumos",IF(C679="","Falta cantidad",IF(IFERROR(INDEX(UnidadesBase,MATCH(D679,Unidades,0)),"")&lt;&gt;INDEX(InsBase,MATCH(B679,ListaInsumos,0)),"Unidad incompatible",IF(F679="","Insumo sin compras","OK")))))</f>
        <v/>
      </c>
      <c r="I679" s="15"/>
    </row>
    <row r="680" customFormat="false" ht="15" hidden="false" customHeight="false" outlineLevel="0" collapsed="false">
      <c r="A680" s="15"/>
      <c r="B680" s="15"/>
      <c r="C680" s="27"/>
      <c r="D680" s="15"/>
      <c r="E680" s="25" t="str">
        <f aca="true">IF(OR(C680="",D680=""),"",IFERROR(C680*INDEX(UnidadesFactor,MATCH(D680,Unidades,0)),""))</f>
        <v/>
      </c>
      <c r="F680" s="18" t="str">
        <f aca="true">IF(B680="","",IFERROR(INDEX(InsCosto,MATCH(B680,ListaInsumos,0)),""))</f>
        <v/>
      </c>
      <c r="G680" s="19" t="str">
        <f aca="false">IF(AND(A680="",B680=""),"",IF(H680="OK",E680*F680,0))</f>
        <v/>
      </c>
      <c r="H680" s="20" t="str">
        <f aca="true">IF(AND(A680="",B680=""),"",IF(ISNA(MATCH(B680,ListaInsumos,0)),"Insumo no está en Insumos",IF(C680="","Falta cantidad",IF(IFERROR(INDEX(UnidadesBase,MATCH(D680,Unidades,0)),"")&lt;&gt;INDEX(InsBase,MATCH(B680,ListaInsumos,0)),"Unidad incompatible",IF(F680="","Insumo sin compras","OK")))))</f>
        <v/>
      </c>
      <c r="I680" s="15"/>
    </row>
    <row r="681" customFormat="false" ht="15" hidden="false" customHeight="false" outlineLevel="0" collapsed="false">
      <c r="A681" s="15"/>
      <c r="B681" s="15"/>
      <c r="C681" s="27"/>
      <c r="D681" s="15"/>
      <c r="E681" s="25" t="str">
        <f aca="true">IF(OR(C681="",D681=""),"",IFERROR(C681*INDEX(UnidadesFactor,MATCH(D681,Unidades,0)),""))</f>
        <v/>
      </c>
      <c r="F681" s="18" t="str">
        <f aca="true">IF(B681="","",IFERROR(INDEX(InsCosto,MATCH(B681,ListaInsumos,0)),""))</f>
        <v/>
      </c>
      <c r="G681" s="19" t="str">
        <f aca="false">IF(AND(A681="",B681=""),"",IF(H681="OK",E681*F681,0))</f>
        <v/>
      </c>
      <c r="H681" s="20" t="str">
        <f aca="true">IF(AND(A681="",B681=""),"",IF(ISNA(MATCH(B681,ListaInsumos,0)),"Insumo no está en Insumos",IF(C681="","Falta cantidad",IF(IFERROR(INDEX(UnidadesBase,MATCH(D681,Unidades,0)),"")&lt;&gt;INDEX(InsBase,MATCH(B681,ListaInsumos,0)),"Unidad incompatible",IF(F681="","Insumo sin compras","OK")))))</f>
        <v/>
      </c>
      <c r="I681" s="15"/>
    </row>
    <row r="682" customFormat="false" ht="15" hidden="false" customHeight="false" outlineLevel="0" collapsed="false">
      <c r="A682" s="15"/>
      <c r="B682" s="15"/>
      <c r="C682" s="27"/>
      <c r="D682" s="15"/>
      <c r="E682" s="25" t="str">
        <f aca="true">IF(OR(C682="",D682=""),"",IFERROR(C682*INDEX(UnidadesFactor,MATCH(D682,Unidades,0)),""))</f>
        <v/>
      </c>
      <c r="F682" s="18" t="str">
        <f aca="true">IF(B682="","",IFERROR(INDEX(InsCosto,MATCH(B682,ListaInsumos,0)),""))</f>
        <v/>
      </c>
      <c r="G682" s="19" t="str">
        <f aca="false">IF(AND(A682="",B682=""),"",IF(H682="OK",E682*F682,0))</f>
        <v/>
      </c>
      <c r="H682" s="20" t="str">
        <f aca="true">IF(AND(A682="",B682=""),"",IF(ISNA(MATCH(B682,ListaInsumos,0)),"Insumo no está en Insumos",IF(C682="","Falta cantidad",IF(IFERROR(INDEX(UnidadesBase,MATCH(D682,Unidades,0)),"")&lt;&gt;INDEX(InsBase,MATCH(B682,ListaInsumos,0)),"Unidad incompatible",IF(F682="","Insumo sin compras","OK")))))</f>
        <v/>
      </c>
      <c r="I682" s="15"/>
    </row>
    <row r="683" customFormat="false" ht="15" hidden="false" customHeight="false" outlineLevel="0" collapsed="false">
      <c r="A683" s="15"/>
      <c r="B683" s="15"/>
      <c r="C683" s="27"/>
      <c r="D683" s="15"/>
      <c r="E683" s="25" t="str">
        <f aca="true">IF(OR(C683="",D683=""),"",IFERROR(C683*INDEX(UnidadesFactor,MATCH(D683,Unidades,0)),""))</f>
        <v/>
      </c>
      <c r="F683" s="18" t="str">
        <f aca="true">IF(B683="","",IFERROR(INDEX(InsCosto,MATCH(B683,ListaInsumos,0)),""))</f>
        <v/>
      </c>
      <c r="G683" s="19" t="str">
        <f aca="false">IF(AND(A683="",B683=""),"",IF(H683="OK",E683*F683,0))</f>
        <v/>
      </c>
      <c r="H683" s="20" t="str">
        <f aca="true">IF(AND(A683="",B683=""),"",IF(ISNA(MATCH(B683,ListaInsumos,0)),"Insumo no está en Insumos",IF(C683="","Falta cantidad",IF(IFERROR(INDEX(UnidadesBase,MATCH(D683,Unidades,0)),"")&lt;&gt;INDEX(InsBase,MATCH(B683,ListaInsumos,0)),"Unidad incompatible",IF(F683="","Insumo sin compras","OK")))))</f>
        <v/>
      </c>
      <c r="I683" s="15"/>
    </row>
    <row r="684" customFormat="false" ht="15" hidden="false" customHeight="false" outlineLevel="0" collapsed="false">
      <c r="A684" s="15"/>
      <c r="B684" s="15"/>
      <c r="C684" s="27"/>
      <c r="D684" s="15"/>
      <c r="E684" s="25" t="str">
        <f aca="true">IF(OR(C684="",D684=""),"",IFERROR(C684*INDEX(UnidadesFactor,MATCH(D684,Unidades,0)),""))</f>
        <v/>
      </c>
      <c r="F684" s="18" t="str">
        <f aca="true">IF(B684="","",IFERROR(INDEX(InsCosto,MATCH(B684,ListaInsumos,0)),""))</f>
        <v/>
      </c>
      <c r="G684" s="19" t="str">
        <f aca="false">IF(AND(A684="",B684=""),"",IF(H684="OK",E684*F684,0))</f>
        <v/>
      </c>
      <c r="H684" s="20" t="str">
        <f aca="true">IF(AND(A684="",B684=""),"",IF(ISNA(MATCH(B684,ListaInsumos,0)),"Insumo no está en Insumos",IF(C684="","Falta cantidad",IF(IFERROR(INDEX(UnidadesBase,MATCH(D684,Unidades,0)),"")&lt;&gt;INDEX(InsBase,MATCH(B684,ListaInsumos,0)),"Unidad incompatible",IF(F684="","Insumo sin compras","OK")))))</f>
        <v/>
      </c>
      <c r="I684" s="15"/>
    </row>
    <row r="685" customFormat="false" ht="15" hidden="false" customHeight="false" outlineLevel="0" collapsed="false">
      <c r="A685" s="15"/>
      <c r="B685" s="15"/>
      <c r="C685" s="27"/>
      <c r="D685" s="15"/>
      <c r="E685" s="25" t="str">
        <f aca="true">IF(OR(C685="",D685=""),"",IFERROR(C685*INDEX(UnidadesFactor,MATCH(D685,Unidades,0)),""))</f>
        <v/>
      </c>
      <c r="F685" s="18" t="str">
        <f aca="true">IF(B685="","",IFERROR(INDEX(InsCosto,MATCH(B685,ListaInsumos,0)),""))</f>
        <v/>
      </c>
      <c r="G685" s="19" t="str">
        <f aca="false">IF(AND(A685="",B685=""),"",IF(H685="OK",E685*F685,0))</f>
        <v/>
      </c>
      <c r="H685" s="20" t="str">
        <f aca="true">IF(AND(A685="",B685=""),"",IF(ISNA(MATCH(B685,ListaInsumos,0)),"Insumo no está en Insumos",IF(C685="","Falta cantidad",IF(IFERROR(INDEX(UnidadesBase,MATCH(D685,Unidades,0)),"")&lt;&gt;INDEX(InsBase,MATCH(B685,ListaInsumos,0)),"Unidad incompatible",IF(F685="","Insumo sin compras","OK")))))</f>
        <v/>
      </c>
      <c r="I685" s="15"/>
    </row>
    <row r="686" customFormat="false" ht="15" hidden="false" customHeight="false" outlineLevel="0" collapsed="false">
      <c r="A686" s="15"/>
      <c r="B686" s="15"/>
      <c r="C686" s="27"/>
      <c r="D686" s="15"/>
      <c r="E686" s="25" t="str">
        <f aca="true">IF(OR(C686="",D686=""),"",IFERROR(C686*INDEX(UnidadesFactor,MATCH(D686,Unidades,0)),""))</f>
        <v/>
      </c>
      <c r="F686" s="18" t="str">
        <f aca="true">IF(B686="","",IFERROR(INDEX(InsCosto,MATCH(B686,ListaInsumos,0)),""))</f>
        <v/>
      </c>
      <c r="G686" s="19" t="str">
        <f aca="false">IF(AND(A686="",B686=""),"",IF(H686="OK",E686*F686,0))</f>
        <v/>
      </c>
      <c r="H686" s="20" t="str">
        <f aca="true">IF(AND(A686="",B686=""),"",IF(ISNA(MATCH(B686,ListaInsumos,0)),"Insumo no está en Insumos",IF(C686="","Falta cantidad",IF(IFERROR(INDEX(UnidadesBase,MATCH(D686,Unidades,0)),"")&lt;&gt;INDEX(InsBase,MATCH(B686,ListaInsumos,0)),"Unidad incompatible",IF(F686="","Insumo sin compras","OK")))))</f>
        <v/>
      </c>
      <c r="I686" s="15"/>
    </row>
    <row r="687" customFormat="false" ht="15" hidden="false" customHeight="false" outlineLevel="0" collapsed="false">
      <c r="A687" s="15"/>
      <c r="B687" s="15"/>
      <c r="C687" s="27"/>
      <c r="D687" s="15"/>
      <c r="E687" s="25" t="str">
        <f aca="true">IF(OR(C687="",D687=""),"",IFERROR(C687*INDEX(UnidadesFactor,MATCH(D687,Unidades,0)),""))</f>
        <v/>
      </c>
      <c r="F687" s="18" t="str">
        <f aca="true">IF(B687="","",IFERROR(INDEX(InsCosto,MATCH(B687,ListaInsumos,0)),""))</f>
        <v/>
      </c>
      <c r="G687" s="19" t="str">
        <f aca="false">IF(AND(A687="",B687=""),"",IF(H687="OK",E687*F687,0))</f>
        <v/>
      </c>
      <c r="H687" s="20" t="str">
        <f aca="true">IF(AND(A687="",B687=""),"",IF(ISNA(MATCH(B687,ListaInsumos,0)),"Insumo no está en Insumos",IF(C687="","Falta cantidad",IF(IFERROR(INDEX(UnidadesBase,MATCH(D687,Unidades,0)),"")&lt;&gt;INDEX(InsBase,MATCH(B687,ListaInsumos,0)),"Unidad incompatible",IF(F687="","Insumo sin compras","OK")))))</f>
        <v/>
      </c>
      <c r="I687" s="15"/>
    </row>
    <row r="688" customFormat="false" ht="15" hidden="false" customHeight="false" outlineLevel="0" collapsed="false">
      <c r="A688" s="15"/>
      <c r="B688" s="15"/>
      <c r="C688" s="27"/>
      <c r="D688" s="15"/>
      <c r="E688" s="25" t="str">
        <f aca="true">IF(OR(C688="",D688=""),"",IFERROR(C688*INDEX(UnidadesFactor,MATCH(D688,Unidades,0)),""))</f>
        <v/>
      </c>
      <c r="F688" s="18" t="str">
        <f aca="true">IF(B688="","",IFERROR(INDEX(InsCosto,MATCH(B688,ListaInsumos,0)),""))</f>
        <v/>
      </c>
      <c r="G688" s="19" t="str">
        <f aca="false">IF(AND(A688="",B688=""),"",IF(H688="OK",E688*F688,0))</f>
        <v/>
      </c>
      <c r="H688" s="20" t="str">
        <f aca="true">IF(AND(A688="",B688=""),"",IF(ISNA(MATCH(B688,ListaInsumos,0)),"Insumo no está en Insumos",IF(C688="","Falta cantidad",IF(IFERROR(INDEX(UnidadesBase,MATCH(D688,Unidades,0)),"")&lt;&gt;INDEX(InsBase,MATCH(B688,ListaInsumos,0)),"Unidad incompatible",IF(F688="","Insumo sin compras","OK")))))</f>
        <v/>
      </c>
      <c r="I688" s="15"/>
    </row>
    <row r="689" customFormat="false" ht="15" hidden="false" customHeight="false" outlineLevel="0" collapsed="false">
      <c r="A689" s="15"/>
      <c r="B689" s="15"/>
      <c r="C689" s="27"/>
      <c r="D689" s="15"/>
      <c r="E689" s="25" t="str">
        <f aca="true">IF(OR(C689="",D689=""),"",IFERROR(C689*INDEX(UnidadesFactor,MATCH(D689,Unidades,0)),""))</f>
        <v/>
      </c>
      <c r="F689" s="18" t="str">
        <f aca="true">IF(B689="","",IFERROR(INDEX(InsCosto,MATCH(B689,ListaInsumos,0)),""))</f>
        <v/>
      </c>
      <c r="G689" s="19" t="str">
        <f aca="false">IF(AND(A689="",B689=""),"",IF(H689="OK",E689*F689,0))</f>
        <v/>
      </c>
      <c r="H689" s="20" t="str">
        <f aca="true">IF(AND(A689="",B689=""),"",IF(ISNA(MATCH(B689,ListaInsumos,0)),"Insumo no está en Insumos",IF(C689="","Falta cantidad",IF(IFERROR(INDEX(UnidadesBase,MATCH(D689,Unidades,0)),"")&lt;&gt;INDEX(InsBase,MATCH(B689,ListaInsumos,0)),"Unidad incompatible",IF(F689="","Insumo sin compras","OK")))))</f>
        <v/>
      </c>
      <c r="I689" s="15"/>
    </row>
    <row r="690" customFormat="false" ht="15" hidden="false" customHeight="false" outlineLevel="0" collapsed="false">
      <c r="A690" s="15"/>
      <c r="B690" s="15"/>
      <c r="C690" s="27"/>
      <c r="D690" s="15"/>
      <c r="E690" s="25" t="str">
        <f aca="true">IF(OR(C690="",D690=""),"",IFERROR(C690*INDEX(UnidadesFactor,MATCH(D690,Unidades,0)),""))</f>
        <v/>
      </c>
      <c r="F690" s="18" t="str">
        <f aca="true">IF(B690="","",IFERROR(INDEX(InsCosto,MATCH(B690,ListaInsumos,0)),""))</f>
        <v/>
      </c>
      <c r="G690" s="19" t="str">
        <f aca="false">IF(AND(A690="",B690=""),"",IF(H690="OK",E690*F690,0))</f>
        <v/>
      </c>
      <c r="H690" s="20" t="str">
        <f aca="true">IF(AND(A690="",B690=""),"",IF(ISNA(MATCH(B690,ListaInsumos,0)),"Insumo no está en Insumos",IF(C690="","Falta cantidad",IF(IFERROR(INDEX(UnidadesBase,MATCH(D690,Unidades,0)),"")&lt;&gt;INDEX(InsBase,MATCH(B690,ListaInsumos,0)),"Unidad incompatible",IF(F690="","Insumo sin compras","OK")))))</f>
        <v/>
      </c>
      <c r="I690" s="15"/>
    </row>
    <row r="691" customFormat="false" ht="15" hidden="false" customHeight="false" outlineLevel="0" collapsed="false">
      <c r="A691" s="15"/>
      <c r="B691" s="15"/>
      <c r="C691" s="27"/>
      <c r="D691" s="15"/>
      <c r="E691" s="25" t="str">
        <f aca="true">IF(OR(C691="",D691=""),"",IFERROR(C691*INDEX(UnidadesFactor,MATCH(D691,Unidades,0)),""))</f>
        <v/>
      </c>
      <c r="F691" s="18" t="str">
        <f aca="true">IF(B691="","",IFERROR(INDEX(InsCosto,MATCH(B691,ListaInsumos,0)),""))</f>
        <v/>
      </c>
      <c r="G691" s="19" t="str">
        <f aca="false">IF(AND(A691="",B691=""),"",IF(H691="OK",E691*F691,0))</f>
        <v/>
      </c>
      <c r="H691" s="20" t="str">
        <f aca="true">IF(AND(A691="",B691=""),"",IF(ISNA(MATCH(B691,ListaInsumos,0)),"Insumo no está en Insumos",IF(C691="","Falta cantidad",IF(IFERROR(INDEX(UnidadesBase,MATCH(D691,Unidades,0)),"")&lt;&gt;INDEX(InsBase,MATCH(B691,ListaInsumos,0)),"Unidad incompatible",IF(F691="","Insumo sin compras","OK")))))</f>
        <v/>
      </c>
      <c r="I691" s="15"/>
    </row>
    <row r="692" customFormat="false" ht="15" hidden="false" customHeight="false" outlineLevel="0" collapsed="false">
      <c r="A692" s="15"/>
      <c r="B692" s="15"/>
      <c r="C692" s="27"/>
      <c r="D692" s="15"/>
      <c r="E692" s="25" t="str">
        <f aca="true">IF(OR(C692="",D692=""),"",IFERROR(C692*INDEX(UnidadesFactor,MATCH(D692,Unidades,0)),""))</f>
        <v/>
      </c>
      <c r="F692" s="18" t="str">
        <f aca="true">IF(B692="","",IFERROR(INDEX(InsCosto,MATCH(B692,ListaInsumos,0)),""))</f>
        <v/>
      </c>
      <c r="G692" s="19" t="str">
        <f aca="false">IF(AND(A692="",B692=""),"",IF(H692="OK",E692*F692,0))</f>
        <v/>
      </c>
      <c r="H692" s="20" t="str">
        <f aca="true">IF(AND(A692="",B692=""),"",IF(ISNA(MATCH(B692,ListaInsumos,0)),"Insumo no está en Insumos",IF(C692="","Falta cantidad",IF(IFERROR(INDEX(UnidadesBase,MATCH(D692,Unidades,0)),"")&lt;&gt;INDEX(InsBase,MATCH(B692,ListaInsumos,0)),"Unidad incompatible",IF(F692="","Insumo sin compras","OK")))))</f>
        <v/>
      </c>
      <c r="I692" s="15"/>
    </row>
    <row r="693" customFormat="false" ht="15" hidden="false" customHeight="false" outlineLevel="0" collapsed="false">
      <c r="A693" s="15"/>
      <c r="B693" s="15"/>
      <c r="C693" s="27"/>
      <c r="D693" s="15"/>
      <c r="E693" s="25" t="str">
        <f aca="true">IF(OR(C693="",D693=""),"",IFERROR(C693*INDEX(UnidadesFactor,MATCH(D693,Unidades,0)),""))</f>
        <v/>
      </c>
      <c r="F693" s="18" t="str">
        <f aca="true">IF(B693="","",IFERROR(INDEX(InsCosto,MATCH(B693,ListaInsumos,0)),""))</f>
        <v/>
      </c>
      <c r="G693" s="19" t="str">
        <f aca="false">IF(AND(A693="",B693=""),"",IF(H693="OK",E693*F693,0))</f>
        <v/>
      </c>
      <c r="H693" s="20" t="str">
        <f aca="true">IF(AND(A693="",B693=""),"",IF(ISNA(MATCH(B693,ListaInsumos,0)),"Insumo no está en Insumos",IF(C693="","Falta cantidad",IF(IFERROR(INDEX(UnidadesBase,MATCH(D693,Unidades,0)),"")&lt;&gt;INDEX(InsBase,MATCH(B693,ListaInsumos,0)),"Unidad incompatible",IF(F693="","Insumo sin compras","OK")))))</f>
        <v/>
      </c>
      <c r="I693" s="15"/>
    </row>
    <row r="694" customFormat="false" ht="15" hidden="false" customHeight="false" outlineLevel="0" collapsed="false">
      <c r="A694" s="15"/>
      <c r="B694" s="15"/>
      <c r="C694" s="27"/>
      <c r="D694" s="15"/>
      <c r="E694" s="25" t="str">
        <f aca="true">IF(OR(C694="",D694=""),"",IFERROR(C694*INDEX(UnidadesFactor,MATCH(D694,Unidades,0)),""))</f>
        <v/>
      </c>
      <c r="F694" s="18" t="str">
        <f aca="true">IF(B694="","",IFERROR(INDEX(InsCosto,MATCH(B694,ListaInsumos,0)),""))</f>
        <v/>
      </c>
      <c r="G694" s="19" t="str">
        <f aca="false">IF(AND(A694="",B694=""),"",IF(H694="OK",E694*F694,0))</f>
        <v/>
      </c>
      <c r="H694" s="20" t="str">
        <f aca="true">IF(AND(A694="",B694=""),"",IF(ISNA(MATCH(B694,ListaInsumos,0)),"Insumo no está en Insumos",IF(C694="","Falta cantidad",IF(IFERROR(INDEX(UnidadesBase,MATCH(D694,Unidades,0)),"")&lt;&gt;INDEX(InsBase,MATCH(B694,ListaInsumos,0)),"Unidad incompatible",IF(F694="","Insumo sin compras","OK")))))</f>
        <v/>
      </c>
      <c r="I694" s="15"/>
    </row>
    <row r="695" customFormat="false" ht="15" hidden="false" customHeight="false" outlineLevel="0" collapsed="false">
      <c r="A695" s="15"/>
      <c r="B695" s="15"/>
      <c r="C695" s="27"/>
      <c r="D695" s="15"/>
      <c r="E695" s="25" t="str">
        <f aca="true">IF(OR(C695="",D695=""),"",IFERROR(C695*INDEX(UnidadesFactor,MATCH(D695,Unidades,0)),""))</f>
        <v/>
      </c>
      <c r="F695" s="18" t="str">
        <f aca="true">IF(B695="","",IFERROR(INDEX(InsCosto,MATCH(B695,ListaInsumos,0)),""))</f>
        <v/>
      </c>
      <c r="G695" s="19" t="str">
        <f aca="false">IF(AND(A695="",B695=""),"",IF(H695="OK",E695*F695,0))</f>
        <v/>
      </c>
      <c r="H695" s="20" t="str">
        <f aca="true">IF(AND(A695="",B695=""),"",IF(ISNA(MATCH(B695,ListaInsumos,0)),"Insumo no está en Insumos",IF(C695="","Falta cantidad",IF(IFERROR(INDEX(UnidadesBase,MATCH(D695,Unidades,0)),"")&lt;&gt;INDEX(InsBase,MATCH(B695,ListaInsumos,0)),"Unidad incompatible",IF(F695="","Insumo sin compras","OK")))))</f>
        <v/>
      </c>
      <c r="I695" s="15"/>
    </row>
    <row r="696" customFormat="false" ht="15" hidden="false" customHeight="false" outlineLevel="0" collapsed="false">
      <c r="A696" s="15"/>
      <c r="B696" s="15"/>
      <c r="C696" s="27"/>
      <c r="D696" s="15"/>
      <c r="E696" s="25" t="str">
        <f aca="true">IF(OR(C696="",D696=""),"",IFERROR(C696*INDEX(UnidadesFactor,MATCH(D696,Unidades,0)),""))</f>
        <v/>
      </c>
      <c r="F696" s="18" t="str">
        <f aca="true">IF(B696="","",IFERROR(INDEX(InsCosto,MATCH(B696,ListaInsumos,0)),""))</f>
        <v/>
      </c>
      <c r="G696" s="19" t="str">
        <f aca="false">IF(AND(A696="",B696=""),"",IF(H696="OK",E696*F696,0))</f>
        <v/>
      </c>
      <c r="H696" s="20" t="str">
        <f aca="true">IF(AND(A696="",B696=""),"",IF(ISNA(MATCH(B696,ListaInsumos,0)),"Insumo no está en Insumos",IF(C696="","Falta cantidad",IF(IFERROR(INDEX(UnidadesBase,MATCH(D696,Unidades,0)),"")&lt;&gt;INDEX(InsBase,MATCH(B696,ListaInsumos,0)),"Unidad incompatible",IF(F696="","Insumo sin compras","OK")))))</f>
        <v/>
      </c>
      <c r="I696" s="15"/>
    </row>
    <row r="697" customFormat="false" ht="15" hidden="false" customHeight="false" outlineLevel="0" collapsed="false">
      <c r="A697" s="15"/>
      <c r="B697" s="15"/>
      <c r="C697" s="27"/>
      <c r="D697" s="15"/>
      <c r="E697" s="25" t="str">
        <f aca="true">IF(OR(C697="",D697=""),"",IFERROR(C697*INDEX(UnidadesFactor,MATCH(D697,Unidades,0)),""))</f>
        <v/>
      </c>
      <c r="F697" s="18" t="str">
        <f aca="true">IF(B697="","",IFERROR(INDEX(InsCosto,MATCH(B697,ListaInsumos,0)),""))</f>
        <v/>
      </c>
      <c r="G697" s="19" t="str">
        <f aca="false">IF(AND(A697="",B697=""),"",IF(H697="OK",E697*F697,0))</f>
        <v/>
      </c>
      <c r="H697" s="20" t="str">
        <f aca="true">IF(AND(A697="",B697=""),"",IF(ISNA(MATCH(B697,ListaInsumos,0)),"Insumo no está en Insumos",IF(C697="","Falta cantidad",IF(IFERROR(INDEX(UnidadesBase,MATCH(D697,Unidades,0)),"")&lt;&gt;INDEX(InsBase,MATCH(B697,ListaInsumos,0)),"Unidad incompatible",IF(F697="","Insumo sin compras","OK")))))</f>
        <v/>
      </c>
      <c r="I697" s="15"/>
    </row>
    <row r="698" customFormat="false" ht="15" hidden="false" customHeight="false" outlineLevel="0" collapsed="false">
      <c r="A698" s="15"/>
      <c r="B698" s="15"/>
      <c r="C698" s="27"/>
      <c r="D698" s="15"/>
      <c r="E698" s="25" t="str">
        <f aca="true">IF(OR(C698="",D698=""),"",IFERROR(C698*INDEX(UnidadesFactor,MATCH(D698,Unidades,0)),""))</f>
        <v/>
      </c>
      <c r="F698" s="18" t="str">
        <f aca="true">IF(B698="","",IFERROR(INDEX(InsCosto,MATCH(B698,ListaInsumos,0)),""))</f>
        <v/>
      </c>
      <c r="G698" s="19" t="str">
        <f aca="false">IF(AND(A698="",B698=""),"",IF(H698="OK",E698*F698,0))</f>
        <v/>
      </c>
      <c r="H698" s="20" t="str">
        <f aca="true">IF(AND(A698="",B698=""),"",IF(ISNA(MATCH(B698,ListaInsumos,0)),"Insumo no está en Insumos",IF(C698="","Falta cantidad",IF(IFERROR(INDEX(UnidadesBase,MATCH(D698,Unidades,0)),"")&lt;&gt;INDEX(InsBase,MATCH(B698,ListaInsumos,0)),"Unidad incompatible",IF(F698="","Insumo sin compras","OK")))))</f>
        <v/>
      </c>
      <c r="I698" s="15"/>
    </row>
    <row r="699" customFormat="false" ht="15" hidden="false" customHeight="false" outlineLevel="0" collapsed="false">
      <c r="A699" s="15"/>
      <c r="B699" s="15"/>
      <c r="C699" s="27"/>
      <c r="D699" s="15"/>
      <c r="E699" s="25" t="str">
        <f aca="true">IF(OR(C699="",D699=""),"",IFERROR(C699*INDEX(UnidadesFactor,MATCH(D699,Unidades,0)),""))</f>
        <v/>
      </c>
      <c r="F699" s="18" t="str">
        <f aca="true">IF(B699="","",IFERROR(INDEX(InsCosto,MATCH(B699,ListaInsumos,0)),""))</f>
        <v/>
      </c>
      <c r="G699" s="19" t="str">
        <f aca="false">IF(AND(A699="",B699=""),"",IF(H699="OK",E699*F699,0))</f>
        <v/>
      </c>
      <c r="H699" s="20" t="str">
        <f aca="true">IF(AND(A699="",B699=""),"",IF(ISNA(MATCH(B699,ListaInsumos,0)),"Insumo no está en Insumos",IF(C699="","Falta cantidad",IF(IFERROR(INDEX(UnidadesBase,MATCH(D699,Unidades,0)),"")&lt;&gt;INDEX(InsBase,MATCH(B699,ListaInsumos,0)),"Unidad incompatible",IF(F699="","Insumo sin compras","OK")))))</f>
        <v/>
      </c>
      <c r="I699" s="15"/>
    </row>
    <row r="700" customFormat="false" ht="15" hidden="false" customHeight="false" outlineLevel="0" collapsed="false">
      <c r="A700" s="15"/>
      <c r="B700" s="15"/>
      <c r="C700" s="27"/>
      <c r="D700" s="15"/>
      <c r="E700" s="25" t="str">
        <f aca="true">IF(OR(C700="",D700=""),"",IFERROR(C700*INDEX(UnidadesFactor,MATCH(D700,Unidades,0)),""))</f>
        <v/>
      </c>
      <c r="F700" s="18" t="str">
        <f aca="true">IF(B700="","",IFERROR(INDEX(InsCosto,MATCH(B700,ListaInsumos,0)),""))</f>
        <v/>
      </c>
      <c r="G700" s="19" t="str">
        <f aca="false">IF(AND(A700="",B700=""),"",IF(H700="OK",E700*F700,0))</f>
        <v/>
      </c>
      <c r="H700" s="20" t="str">
        <f aca="true">IF(AND(A700="",B700=""),"",IF(ISNA(MATCH(B700,ListaInsumos,0)),"Insumo no está en Insumos",IF(C700="","Falta cantidad",IF(IFERROR(INDEX(UnidadesBase,MATCH(D700,Unidades,0)),"")&lt;&gt;INDEX(InsBase,MATCH(B700,ListaInsumos,0)),"Unidad incompatible",IF(F700="","Insumo sin compras","OK")))))</f>
        <v/>
      </c>
      <c r="I700" s="15"/>
    </row>
    <row r="701" customFormat="false" ht="15" hidden="false" customHeight="false" outlineLevel="0" collapsed="false">
      <c r="A701" s="15"/>
      <c r="B701" s="15"/>
      <c r="C701" s="27"/>
      <c r="D701" s="15"/>
      <c r="E701" s="25" t="str">
        <f aca="true">IF(OR(C701="",D701=""),"",IFERROR(C701*INDEX(UnidadesFactor,MATCH(D701,Unidades,0)),""))</f>
        <v/>
      </c>
      <c r="F701" s="18" t="str">
        <f aca="true">IF(B701="","",IFERROR(INDEX(InsCosto,MATCH(B701,ListaInsumos,0)),""))</f>
        <v/>
      </c>
      <c r="G701" s="19" t="str">
        <f aca="false">IF(AND(A701="",B701=""),"",IF(H701="OK",E701*F701,0))</f>
        <v/>
      </c>
      <c r="H701" s="20" t="str">
        <f aca="true">IF(AND(A701="",B701=""),"",IF(ISNA(MATCH(B701,ListaInsumos,0)),"Insumo no está en Insumos",IF(C701="","Falta cantidad",IF(IFERROR(INDEX(UnidadesBase,MATCH(D701,Unidades,0)),"")&lt;&gt;INDEX(InsBase,MATCH(B701,ListaInsumos,0)),"Unidad incompatible",IF(F701="","Insumo sin compras","OK")))))</f>
        <v/>
      </c>
      <c r="I701" s="15"/>
    </row>
    <row r="702" customFormat="false" ht="15" hidden="false" customHeight="false" outlineLevel="0" collapsed="false">
      <c r="A702" s="15"/>
      <c r="B702" s="15"/>
      <c r="C702" s="27"/>
      <c r="D702" s="15"/>
      <c r="E702" s="25" t="str">
        <f aca="true">IF(OR(C702="",D702=""),"",IFERROR(C702*INDEX(UnidadesFactor,MATCH(D702,Unidades,0)),""))</f>
        <v/>
      </c>
      <c r="F702" s="18" t="str">
        <f aca="true">IF(B702="","",IFERROR(INDEX(InsCosto,MATCH(B702,ListaInsumos,0)),""))</f>
        <v/>
      </c>
      <c r="G702" s="19" t="str">
        <f aca="false">IF(AND(A702="",B702=""),"",IF(H702="OK",E702*F702,0))</f>
        <v/>
      </c>
      <c r="H702" s="20" t="str">
        <f aca="true">IF(AND(A702="",B702=""),"",IF(ISNA(MATCH(B702,ListaInsumos,0)),"Insumo no está en Insumos",IF(C702="","Falta cantidad",IF(IFERROR(INDEX(UnidadesBase,MATCH(D702,Unidades,0)),"")&lt;&gt;INDEX(InsBase,MATCH(B702,ListaInsumos,0)),"Unidad incompatible",IF(F702="","Insumo sin compras","OK")))))</f>
        <v/>
      </c>
      <c r="I702" s="15"/>
    </row>
    <row r="703" customFormat="false" ht="15" hidden="false" customHeight="false" outlineLevel="0" collapsed="false">
      <c r="A703" s="15"/>
      <c r="B703" s="15"/>
      <c r="C703" s="27"/>
      <c r="D703" s="15"/>
      <c r="E703" s="25" t="str">
        <f aca="true">IF(OR(C703="",D703=""),"",IFERROR(C703*INDEX(UnidadesFactor,MATCH(D703,Unidades,0)),""))</f>
        <v/>
      </c>
      <c r="F703" s="18" t="str">
        <f aca="true">IF(B703="","",IFERROR(INDEX(InsCosto,MATCH(B703,ListaInsumos,0)),""))</f>
        <v/>
      </c>
      <c r="G703" s="19" t="str">
        <f aca="false">IF(AND(A703="",B703=""),"",IF(H703="OK",E703*F703,0))</f>
        <v/>
      </c>
      <c r="H703" s="20" t="str">
        <f aca="true">IF(AND(A703="",B703=""),"",IF(ISNA(MATCH(B703,ListaInsumos,0)),"Insumo no está en Insumos",IF(C703="","Falta cantidad",IF(IFERROR(INDEX(UnidadesBase,MATCH(D703,Unidades,0)),"")&lt;&gt;INDEX(InsBase,MATCH(B703,ListaInsumos,0)),"Unidad incompatible",IF(F703="","Insumo sin compras","OK")))))</f>
        <v/>
      </c>
      <c r="I703" s="15"/>
    </row>
    <row r="704" customFormat="false" ht="15" hidden="false" customHeight="false" outlineLevel="0" collapsed="false">
      <c r="A704" s="15"/>
      <c r="B704" s="15"/>
      <c r="C704" s="27"/>
      <c r="D704" s="15"/>
      <c r="E704" s="25" t="str">
        <f aca="true">IF(OR(C704="",D704=""),"",IFERROR(C704*INDEX(UnidadesFactor,MATCH(D704,Unidades,0)),""))</f>
        <v/>
      </c>
      <c r="F704" s="18" t="str">
        <f aca="true">IF(B704="","",IFERROR(INDEX(InsCosto,MATCH(B704,ListaInsumos,0)),""))</f>
        <v/>
      </c>
      <c r="G704" s="19" t="str">
        <f aca="false">IF(AND(A704="",B704=""),"",IF(H704="OK",E704*F704,0))</f>
        <v/>
      </c>
      <c r="H704" s="20" t="str">
        <f aca="true">IF(AND(A704="",B704=""),"",IF(ISNA(MATCH(B704,ListaInsumos,0)),"Insumo no está en Insumos",IF(C704="","Falta cantidad",IF(IFERROR(INDEX(UnidadesBase,MATCH(D704,Unidades,0)),"")&lt;&gt;INDEX(InsBase,MATCH(B704,ListaInsumos,0)),"Unidad incompatible",IF(F704="","Insumo sin compras","OK")))))</f>
        <v/>
      </c>
      <c r="I704" s="15"/>
    </row>
    <row r="705" customFormat="false" ht="15" hidden="false" customHeight="false" outlineLevel="0" collapsed="false">
      <c r="A705" s="15"/>
      <c r="B705" s="15"/>
      <c r="C705" s="27"/>
      <c r="D705" s="15"/>
      <c r="E705" s="25" t="str">
        <f aca="true">IF(OR(C705="",D705=""),"",IFERROR(C705*INDEX(UnidadesFactor,MATCH(D705,Unidades,0)),""))</f>
        <v/>
      </c>
      <c r="F705" s="18" t="str">
        <f aca="true">IF(B705="","",IFERROR(INDEX(InsCosto,MATCH(B705,ListaInsumos,0)),""))</f>
        <v/>
      </c>
      <c r="G705" s="19" t="str">
        <f aca="false">IF(AND(A705="",B705=""),"",IF(H705="OK",E705*F705,0))</f>
        <v/>
      </c>
      <c r="H705" s="20" t="str">
        <f aca="true">IF(AND(A705="",B705=""),"",IF(ISNA(MATCH(B705,ListaInsumos,0)),"Insumo no está en Insumos",IF(C705="","Falta cantidad",IF(IFERROR(INDEX(UnidadesBase,MATCH(D705,Unidades,0)),"")&lt;&gt;INDEX(InsBase,MATCH(B705,ListaInsumos,0)),"Unidad incompatible",IF(F705="","Insumo sin compras","OK")))))</f>
        <v/>
      </c>
      <c r="I705" s="15"/>
    </row>
    <row r="706" customFormat="false" ht="15" hidden="false" customHeight="false" outlineLevel="0" collapsed="false">
      <c r="A706" s="15"/>
      <c r="B706" s="15"/>
      <c r="C706" s="27"/>
      <c r="D706" s="15"/>
      <c r="E706" s="25" t="str">
        <f aca="true">IF(OR(C706="",D706=""),"",IFERROR(C706*INDEX(UnidadesFactor,MATCH(D706,Unidades,0)),""))</f>
        <v/>
      </c>
      <c r="F706" s="18" t="str">
        <f aca="true">IF(B706="","",IFERROR(INDEX(InsCosto,MATCH(B706,ListaInsumos,0)),""))</f>
        <v/>
      </c>
      <c r="G706" s="19" t="str">
        <f aca="false">IF(AND(A706="",B706=""),"",IF(H706="OK",E706*F706,0))</f>
        <v/>
      </c>
      <c r="H706" s="20" t="str">
        <f aca="true">IF(AND(A706="",B706=""),"",IF(ISNA(MATCH(B706,ListaInsumos,0)),"Insumo no está en Insumos",IF(C706="","Falta cantidad",IF(IFERROR(INDEX(UnidadesBase,MATCH(D706,Unidades,0)),"")&lt;&gt;INDEX(InsBase,MATCH(B706,ListaInsumos,0)),"Unidad incompatible",IF(F706="","Insumo sin compras","OK")))))</f>
        <v/>
      </c>
      <c r="I706" s="15"/>
    </row>
    <row r="707" customFormat="false" ht="15" hidden="false" customHeight="false" outlineLevel="0" collapsed="false">
      <c r="A707" s="15"/>
      <c r="B707" s="15"/>
      <c r="C707" s="27"/>
      <c r="D707" s="15"/>
      <c r="E707" s="25" t="str">
        <f aca="true">IF(OR(C707="",D707=""),"",IFERROR(C707*INDEX(UnidadesFactor,MATCH(D707,Unidades,0)),""))</f>
        <v/>
      </c>
      <c r="F707" s="18" t="str">
        <f aca="true">IF(B707="","",IFERROR(INDEX(InsCosto,MATCH(B707,ListaInsumos,0)),""))</f>
        <v/>
      </c>
      <c r="G707" s="19" t="str">
        <f aca="false">IF(AND(A707="",B707=""),"",IF(H707="OK",E707*F707,0))</f>
        <v/>
      </c>
      <c r="H707" s="20" t="str">
        <f aca="true">IF(AND(A707="",B707=""),"",IF(ISNA(MATCH(B707,ListaInsumos,0)),"Insumo no está en Insumos",IF(C707="","Falta cantidad",IF(IFERROR(INDEX(UnidadesBase,MATCH(D707,Unidades,0)),"")&lt;&gt;INDEX(InsBase,MATCH(B707,ListaInsumos,0)),"Unidad incompatible",IF(F707="","Insumo sin compras","OK")))))</f>
        <v/>
      </c>
      <c r="I707" s="15"/>
    </row>
    <row r="708" customFormat="false" ht="15" hidden="false" customHeight="false" outlineLevel="0" collapsed="false">
      <c r="A708" s="15"/>
      <c r="B708" s="15"/>
      <c r="C708" s="27"/>
      <c r="D708" s="15"/>
      <c r="E708" s="25" t="str">
        <f aca="true">IF(OR(C708="",D708=""),"",IFERROR(C708*INDEX(UnidadesFactor,MATCH(D708,Unidades,0)),""))</f>
        <v/>
      </c>
      <c r="F708" s="18" t="str">
        <f aca="true">IF(B708="","",IFERROR(INDEX(InsCosto,MATCH(B708,ListaInsumos,0)),""))</f>
        <v/>
      </c>
      <c r="G708" s="19" t="str">
        <f aca="false">IF(AND(A708="",B708=""),"",IF(H708="OK",E708*F708,0))</f>
        <v/>
      </c>
      <c r="H708" s="20" t="str">
        <f aca="true">IF(AND(A708="",B708=""),"",IF(ISNA(MATCH(B708,ListaInsumos,0)),"Insumo no está en Insumos",IF(C708="","Falta cantidad",IF(IFERROR(INDEX(UnidadesBase,MATCH(D708,Unidades,0)),"")&lt;&gt;INDEX(InsBase,MATCH(B708,ListaInsumos,0)),"Unidad incompatible",IF(F708="","Insumo sin compras","OK")))))</f>
        <v/>
      </c>
      <c r="I708" s="15"/>
    </row>
    <row r="709" customFormat="false" ht="15" hidden="false" customHeight="false" outlineLevel="0" collapsed="false">
      <c r="A709" s="15"/>
      <c r="B709" s="15"/>
      <c r="C709" s="27"/>
      <c r="D709" s="15"/>
      <c r="E709" s="25" t="str">
        <f aca="true">IF(OR(C709="",D709=""),"",IFERROR(C709*INDEX(UnidadesFactor,MATCH(D709,Unidades,0)),""))</f>
        <v/>
      </c>
      <c r="F709" s="18" t="str">
        <f aca="true">IF(B709="","",IFERROR(INDEX(InsCosto,MATCH(B709,ListaInsumos,0)),""))</f>
        <v/>
      </c>
      <c r="G709" s="19" t="str">
        <f aca="false">IF(AND(A709="",B709=""),"",IF(H709="OK",E709*F709,0))</f>
        <v/>
      </c>
      <c r="H709" s="20" t="str">
        <f aca="true">IF(AND(A709="",B709=""),"",IF(ISNA(MATCH(B709,ListaInsumos,0)),"Insumo no está en Insumos",IF(C709="","Falta cantidad",IF(IFERROR(INDEX(UnidadesBase,MATCH(D709,Unidades,0)),"")&lt;&gt;INDEX(InsBase,MATCH(B709,ListaInsumos,0)),"Unidad incompatible",IF(F709="","Insumo sin compras","OK")))))</f>
        <v/>
      </c>
      <c r="I709" s="15"/>
    </row>
    <row r="710" customFormat="false" ht="15" hidden="false" customHeight="false" outlineLevel="0" collapsed="false">
      <c r="A710" s="15"/>
      <c r="B710" s="15"/>
      <c r="C710" s="27"/>
      <c r="D710" s="15"/>
      <c r="E710" s="25" t="str">
        <f aca="true">IF(OR(C710="",D710=""),"",IFERROR(C710*INDEX(UnidadesFactor,MATCH(D710,Unidades,0)),""))</f>
        <v/>
      </c>
      <c r="F710" s="18" t="str">
        <f aca="true">IF(B710="","",IFERROR(INDEX(InsCosto,MATCH(B710,ListaInsumos,0)),""))</f>
        <v/>
      </c>
      <c r="G710" s="19" t="str">
        <f aca="false">IF(AND(A710="",B710=""),"",IF(H710="OK",E710*F710,0))</f>
        <v/>
      </c>
      <c r="H710" s="20" t="str">
        <f aca="true">IF(AND(A710="",B710=""),"",IF(ISNA(MATCH(B710,ListaInsumos,0)),"Insumo no está en Insumos",IF(C710="","Falta cantidad",IF(IFERROR(INDEX(UnidadesBase,MATCH(D710,Unidades,0)),"")&lt;&gt;INDEX(InsBase,MATCH(B710,ListaInsumos,0)),"Unidad incompatible",IF(F710="","Insumo sin compras","OK")))))</f>
        <v/>
      </c>
      <c r="I710" s="15"/>
    </row>
    <row r="711" customFormat="false" ht="15" hidden="false" customHeight="false" outlineLevel="0" collapsed="false">
      <c r="A711" s="15"/>
      <c r="B711" s="15"/>
      <c r="C711" s="27"/>
      <c r="D711" s="15"/>
      <c r="E711" s="25" t="str">
        <f aca="true">IF(OR(C711="",D711=""),"",IFERROR(C711*INDEX(UnidadesFactor,MATCH(D711,Unidades,0)),""))</f>
        <v/>
      </c>
      <c r="F711" s="18" t="str">
        <f aca="true">IF(B711="","",IFERROR(INDEX(InsCosto,MATCH(B711,ListaInsumos,0)),""))</f>
        <v/>
      </c>
      <c r="G711" s="19" t="str">
        <f aca="false">IF(AND(A711="",B711=""),"",IF(H711="OK",E711*F711,0))</f>
        <v/>
      </c>
      <c r="H711" s="20" t="str">
        <f aca="true">IF(AND(A711="",B711=""),"",IF(ISNA(MATCH(B711,ListaInsumos,0)),"Insumo no está en Insumos",IF(C711="","Falta cantidad",IF(IFERROR(INDEX(UnidadesBase,MATCH(D711,Unidades,0)),"")&lt;&gt;INDEX(InsBase,MATCH(B711,ListaInsumos,0)),"Unidad incompatible",IF(F711="","Insumo sin compras","OK")))))</f>
        <v/>
      </c>
      <c r="I711" s="15"/>
    </row>
    <row r="712" customFormat="false" ht="15" hidden="false" customHeight="false" outlineLevel="0" collapsed="false">
      <c r="A712" s="15"/>
      <c r="B712" s="15"/>
      <c r="C712" s="27"/>
      <c r="D712" s="15"/>
      <c r="E712" s="25" t="str">
        <f aca="true">IF(OR(C712="",D712=""),"",IFERROR(C712*INDEX(UnidadesFactor,MATCH(D712,Unidades,0)),""))</f>
        <v/>
      </c>
      <c r="F712" s="18" t="str">
        <f aca="true">IF(B712="","",IFERROR(INDEX(InsCosto,MATCH(B712,ListaInsumos,0)),""))</f>
        <v/>
      </c>
      <c r="G712" s="19" t="str">
        <f aca="false">IF(AND(A712="",B712=""),"",IF(H712="OK",E712*F712,0))</f>
        <v/>
      </c>
      <c r="H712" s="20" t="str">
        <f aca="true">IF(AND(A712="",B712=""),"",IF(ISNA(MATCH(B712,ListaInsumos,0)),"Insumo no está en Insumos",IF(C712="","Falta cantidad",IF(IFERROR(INDEX(UnidadesBase,MATCH(D712,Unidades,0)),"")&lt;&gt;INDEX(InsBase,MATCH(B712,ListaInsumos,0)),"Unidad incompatible",IF(F712="","Insumo sin compras","OK")))))</f>
        <v/>
      </c>
      <c r="I712" s="15"/>
    </row>
    <row r="713" customFormat="false" ht="15" hidden="false" customHeight="false" outlineLevel="0" collapsed="false">
      <c r="A713" s="15"/>
      <c r="B713" s="15"/>
      <c r="C713" s="27"/>
      <c r="D713" s="15"/>
      <c r="E713" s="25" t="str">
        <f aca="true">IF(OR(C713="",D713=""),"",IFERROR(C713*INDEX(UnidadesFactor,MATCH(D713,Unidades,0)),""))</f>
        <v/>
      </c>
      <c r="F713" s="18" t="str">
        <f aca="true">IF(B713="","",IFERROR(INDEX(InsCosto,MATCH(B713,ListaInsumos,0)),""))</f>
        <v/>
      </c>
      <c r="G713" s="19" t="str">
        <f aca="false">IF(AND(A713="",B713=""),"",IF(H713="OK",E713*F713,0))</f>
        <v/>
      </c>
      <c r="H713" s="20" t="str">
        <f aca="true">IF(AND(A713="",B713=""),"",IF(ISNA(MATCH(B713,ListaInsumos,0)),"Insumo no está en Insumos",IF(C713="","Falta cantidad",IF(IFERROR(INDEX(UnidadesBase,MATCH(D713,Unidades,0)),"")&lt;&gt;INDEX(InsBase,MATCH(B713,ListaInsumos,0)),"Unidad incompatible",IF(F713="","Insumo sin compras","OK")))))</f>
        <v/>
      </c>
      <c r="I713" s="15"/>
    </row>
    <row r="714" customFormat="false" ht="15" hidden="false" customHeight="false" outlineLevel="0" collapsed="false">
      <c r="A714" s="15"/>
      <c r="B714" s="15"/>
      <c r="C714" s="27"/>
      <c r="D714" s="15"/>
      <c r="E714" s="25" t="str">
        <f aca="true">IF(OR(C714="",D714=""),"",IFERROR(C714*INDEX(UnidadesFactor,MATCH(D714,Unidades,0)),""))</f>
        <v/>
      </c>
      <c r="F714" s="18" t="str">
        <f aca="true">IF(B714="","",IFERROR(INDEX(InsCosto,MATCH(B714,ListaInsumos,0)),""))</f>
        <v/>
      </c>
      <c r="G714" s="19" t="str">
        <f aca="false">IF(AND(A714="",B714=""),"",IF(H714="OK",E714*F714,0))</f>
        <v/>
      </c>
      <c r="H714" s="20" t="str">
        <f aca="true">IF(AND(A714="",B714=""),"",IF(ISNA(MATCH(B714,ListaInsumos,0)),"Insumo no está en Insumos",IF(C714="","Falta cantidad",IF(IFERROR(INDEX(UnidadesBase,MATCH(D714,Unidades,0)),"")&lt;&gt;INDEX(InsBase,MATCH(B714,ListaInsumos,0)),"Unidad incompatible",IF(F714="","Insumo sin compras","OK")))))</f>
        <v/>
      </c>
      <c r="I714" s="15"/>
    </row>
    <row r="715" customFormat="false" ht="15" hidden="false" customHeight="false" outlineLevel="0" collapsed="false">
      <c r="A715" s="15"/>
      <c r="B715" s="15"/>
      <c r="C715" s="27"/>
      <c r="D715" s="15"/>
      <c r="E715" s="25" t="str">
        <f aca="true">IF(OR(C715="",D715=""),"",IFERROR(C715*INDEX(UnidadesFactor,MATCH(D715,Unidades,0)),""))</f>
        <v/>
      </c>
      <c r="F715" s="18" t="str">
        <f aca="true">IF(B715="","",IFERROR(INDEX(InsCosto,MATCH(B715,ListaInsumos,0)),""))</f>
        <v/>
      </c>
      <c r="G715" s="19" t="str">
        <f aca="false">IF(AND(A715="",B715=""),"",IF(H715="OK",E715*F715,0))</f>
        <v/>
      </c>
      <c r="H715" s="20" t="str">
        <f aca="true">IF(AND(A715="",B715=""),"",IF(ISNA(MATCH(B715,ListaInsumos,0)),"Insumo no está en Insumos",IF(C715="","Falta cantidad",IF(IFERROR(INDEX(UnidadesBase,MATCH(D715,Unidades,0)),"")&lt;&gt;INDEX(InsBase,MATCH(B715,ListaInsumos,0)),"Unidad incompatible",IF(F715="","Insumo sin compras","OK")))))</f>
        <v/>
      </c>
      <c r="I715" s="15"/>
    </row>
    <row r="716" customFormat="false" ht="15" hidden="false" customHeight="false" outlineLevel="0" collapsed="false">
      <c r="A716" s="15"/>
      <c r="B716" s="15"/>
      <c r="C716" s="27"/>
      <c r="D716" s="15"/>
      <c r="E716" s="25" t="str">
        <f aca="true">IF(OR(C716="",D716=""),"",IFERROR(C716*INDEX(UnidadesFactor,MATCH(D716,Unidades,0)),""))</f>
        <v/>
      </c>
      <c r="F716" s="18" t="str">
        <f aca="true">IF(B716="","",IFERROR(INDEX(InsCosto,MATCH(B716,ListaInsumos,0)),""))</f>
        <v/>
      </c>
      <c r="G716" s="19" t="str">
        <f aca="false">IF(AND(A716="",B716=""),"",IF(H716="OK",E716*F716,0))</f>
        <v/>
      </c>
      <c r="H716" s="20" t="str">
        <f aca="true">IF(AND(A716="",B716=""),"",IF(ISNA(MATCH(B716,ListaInsumos,0)),"Insumo no está en Insumos",IF(C716="","Falta cantidad",IF(IFERROR(INDEX(UnidadesBase,MATCH(D716,Unidades,0)),"")&lt;&gt;INDEX(InsBase,MATCH(B716,ListaInsumos,0)),"Unidad incompatible",IF(F716="","Insumo sin compras","OK")))))</f>
        <v/>
      </c>
      <c r="I716" s="15"/>
    </row>
    <row r="717" customFormat="false" ht="15" hidden="false" customHeight="false" outlineLevel="0" collapsed="false">
      <c r="A717" s="15"/>
      <c r="B717" s="15"/>
      <c r="C717" s="27"/>
      <c r="D717" s="15"/>
      <c r="E717" s="25" t="str">
        <f aca="true">IF(OR(C717="",D717=""),"",IFERROR(C717*INDEX(UnidadesFactor,MATCH(D717,Unidades,0)),""))</f>
        <v/>
      </c>
      <c r="F717" s="18" t="str">
        <f aca="true">IF(B717="","",IFERROR(INDEX(InsCosto,MATCH(B717,ListaInsumos,0)),""))</f>
        <v/>
      </c>
      <c r="G717" s="19" t="str">
        <f aca="false">IF(AND(A717="",B717=""),"",IF(H717="OK",E717*F717,0))</f>
        <v/>
      </c>
      <c r="H717" s="20" t="str">
        <f aca="true">IF(AND(A717="",B717=""),"",IF(ISNA(MATCH(B717,ListaInsumos,0)),"Insumo no está en Insumos",IF(C717="","Falta cantidad",IF(IFERROR(INDEX(UnidadesBase,MATCH(D717,Unidades,0)),"")&lt;&gt;INDEX(InsBase,MATCH(B717,ListaInsumos,0)),"Unidad incompatible",IF(F717="","Insumo sin compras","OK")))))</f>
        <v/>
      </c>
      <c r="I717" s="15"/>
    </row>
    <row r="718" customFormat="false" ht="15" hidden="false" customHeight="false" outlineLevel="0" collapsed="false">
      <c r="A718" s="15"/>
      <c r="B718" s="15"/>
      <c r="C718" s="27"/>
      <c r="D718" s="15"/>
      <c r="E718" s="25" t="str">
        <f aca="true">IF(OR(C718="",D718=""),"",IFERROR(C718*INDEX(UnidadesFactor,MATCH(D718,Unidades,0)),""))</f>
        <v/>
      </c>
      <c r="F718" s="18" t="str">
        <f aca="true">IF(B718="","",IFERROR(INDEX(InsCosto,MATCH(B718,ListaInsumos,0)),""))</f>
        <v/>
      </c>
      <c r="G718" s="19" t="str">
        <f aca="false">IF(AND(A718="",B718=""),"",IF(H718="OK",E718*F718,0))</f>
        <v/>
      </c>
      <c r="H718" s="20" t="str">
        <f aca="true">IF(AND(A718="",B718=""),"",IF(ISNA(MATCH(B718,ListaInsumos,0)),"Insumo no está en Insumos",IF(C718="","Falta cantidad",IF(IFERROR(INDEX(UnidadesBase,MATCH(D718,Unidades,0)),"")&lt;&gt;INDEX(InsBase,MATCH(B718,ListaInsumos,0)),"Unidad incompatible",IF(F718="","Insumo sin compras","OK")))))</f>
        <v/>
      </c>
      <c r="I718" s="15"/>
    </row>
    <row r="719" customFormat="false" ht="15" hidden="false" customHeight="false" outlineLevel="0" collapsed="false">
      <c r="A719" s="15"/>
      <c r="B719" s="15"/>
      <c r="C719" s="27"/>
      <c r="D719" s="15"/>
      <c r="E719" s="25" t="str">
        <f aca="true">IF(OR(C719="",D719=""),"",IFERROR(C719*INDEX(UnidadesFactor,MATCH(D719,Unidades,0)),""))</f>
        <v/>
      </c>
      <c r="F719" s="18" t="str">
        <f aca="true">IF(B719="","",IFERROR(INDEX(InsCosto,MATCH(B719,ListaInsumos,0)),""))</f>
        <v/>
      </c>
      <c r="G719" s="19" t="str">
        <f aca="false">IF(AND(A719="",B719=""),"",IF(H719="OK",E719*F719,0))</f>
        <v/>
      </c>
      <c r="H719" s="20" t="str">
        <f aca="true">IF(AND(A719="",B719=""),"",IF(ISNA(MATCH(B719,ListaInsumos,0)),"Insumo no está en Insumos",IF(C719="","Falta cantidad",IF(IFERROR(INDEX(UnidadesBase,MATCH(D719,Unidades,0)),"")&lt;&gt;INDEX(InsBase,MATCH(B719,ListaInsumos,0)),"Unidad incompatible",IF(F719="","Insumo sin compras","OK")))))</f>
        <v/>
      </c>
      <c r="I719" s="15"/>
    </row>
    <row r="720" customFormat="false" ht="15" hidden="false" customHeight="false" outlineLevel="0" collapsed="false">
      <c r="A720" s="15"/>
      <c r="B720" s="15"/>
      <c r="C720" s="27"/>
      <c r="D720" s="15"/>
      <c r="E720" s="25" t="str">
        <f aca="true">IF(OR(C720="",D720=""),"",IFERROR(C720*INDEX(UnidadesFactor,MATCH(D720,Unidades,0)),""))</f>
        <v/>
      </c>
      <c r="F720" s="18" t="str">
        <f aca="true">IF(B720="","",IFERROR(INDEX(InsCosto,MATCH(B720,ListaInsumos,0)),""))</f>
        <v/>
      </c>
      <c r="G720" s="19" t="str">
        <f aca="false">IF(AND(A720="",B720=""),"",IF(H720="OK",E720*F720,0))</f>
        <v/>
      </c>
      <c r="H720" s="20" t="str">
        <f aca="true">IF(AND(A720="",B720=""),"",IF(ISNA(MATCH(B720,ListaInsumos,0)),"Insumo no está en Insumos",IF(C720="","Falta cantidad",IF(IFERROR(INDEX(UnidadesBase,MATCH(D720,Unidades,0)),"")&lt;&gt;INDEX(InsBase,MATCH(B720,ListaInsumos,0)),"Unidad incompatible",IF(F720="","Insumo sin compras","OK")))))</f>
        <v/>
      </c>
      <c r="I720" s="15"/>
    </row>
    <row r="721" customFormat="false" ht="15" hidden="false" customHeight="false" outlineLevel="0" collapsed="false">
      <c r="A721" s="15"/>
      <c r="B721" s="15"/>
      <c r="C721" s="27"/>
      <c r="D721" s="15"/>
      <c r="E721" s="25" t="str">
        <f aca="true">IF(OR(C721="",D721=""),"",IFERROR(C721*INDEX(UnidadesFactor,MATCH(D721,Unidades,0)),""))</f>
        <v/>
      </c>
      <c r="F721" s="18" t="str">
        <f aca="true">IF(B721="","",IFERROR(INDEX(InsCosto,MATCH(B721,ListaInsumos,0)),""))</f>
        <v/>
      </c>
      <c r="G721" s="19" t="str">
        <f aca="false">IF(AND(A721="",B721=""),"",IF(H721="OK",E721*F721,0))</f>
        <v/>
      </c>
      <c r="H721" s="20" t="str">
        <f aca="true">IF(AND(A721="",B721=""),"",IF(ISNA(MATCH(B721,ListaInsumos,0)),"Insumo no está en Insumos",IF(C721="","Falta cantidad",IF(IFERROR(INDEX(UnidadesBase,MATCH(D721,Unidades,0)),"")&lt;&gt;INDEX(InsBase,MATCH(B721,ListaInsumos,0)),"Unidad incompatible",IF(F721="","Insumo sin compras","OK")))))</f>
        <v/>
      </c>
      <c r="I721" s="15"/>
    </row>
    <row r="722" customFormat="false" ht="15" hidden="false" customHeight="false" outlineLevel="0" collapsed="false">
      <c r="A722" s="15"/>
      <c r="B722" s="15"/>
      <c r="C722" s="27"/>
      <c r="D722" s="15"/>
      <c r="E722" s="25" t="str">
        <f aca="true">IF(OR(C722="",D722=""),"",IFERROR(C722*INDEX(UnidadesFactor,MATCH(D722,Unidades,0)),""))</f>
        <v/>
      </c>
      <c r="F722" s="18" t="str">
        <f aca="true">IF(B722="","",IFERROR(INDEX(InsCosto,MATCH(B722,ListaInsumos,0)),""))</f>
        <v/>
      </c>
      <c r="G722" s="19" t="str">
        <f aca="false">IF(AND(A722="",B722=""),"",IF(H722="OK",E722*F722,0))</f>
        <v/>
      </c>
      <c r="H722" s="20" t="str">
        <f aca="true">IF(AND(A722="",B722=""),"",IF(ISNA(MATCH(B722,ListaInsumos,0)),"Insumo no está en Insumos",IF(C722="","Falta cantidad",IF(IFERROR(INDEX(UnidadesBase,MATCH(D722,Unidades,0)),"")&lt;&gt;INDEX(InsBase,MATCH(B722,ListaInsumos,0)),"Unidad incompatible",IF(F722="","Insumo sin compras","OK")))))</f>
        <v/>
      </c>
      <c r="I722" s="15"/>
    </row>
    <row r="723" customFormat="false" ht="15" hidden="false" customHeight="false" outlineLevel="0" collapsed="false">
      <c r="A723" s="15"/>
      <c r="B723" s="15"/>
      <c r="C723" s="27"/>
      <c r="D723" s="15"/>
      <c r="E723" s="25" t="str">
        <f aca="true">IF(OR(C723="",D723=""),"",IFERROR(C723*INDEX(UnidadesFactor,MATCH(D723,Unidades,0)),""))</f>
        <v/>
      </c>
      <c r="F723" s="18" t="str">
        <f aca="true">IF(B723="","",IFERROR(INDEX(InsCosto,MATCH(B723,ListaInsumos,0)),""))</f>
        <v/>
      </c>
      <c r="G723" s="19" t="str">
        <f aca="false">IF(AND(A723="",B723=""),"",IF(H723="OK",E723*F723,0))</f>
        <v/>
      </c>
      <c r="H723" s="20" t="str">
        <f aca="true">IF(AND(A723="",B723=""),"",IF(ISNA(MATCH(B723,ListaInsumos,0)),"Insumo no está en Insumos",IF(C723="","Falta cantidad",IF(IFERROR(INDEX(UnidadesBase,MATCH(D723,Unidades,0)),"")&lt;&gt;INDEX(InsBase,MATCH(B723,ListaInsumos,0)),"Unidad incompatible",IF(F723="","Insumo sin compras","OK")))))</f>
        <v/>
      </c>
      <c r="I723" s="15"/>
    </row>
    <row r="724" customFormat="false" ht="15" hidden="false" customHeight="false" outlineLevel="0" collapsed="false">
      <c r="A724" s="15"/>
      <c r="B724" s="15"/>
      <c r="C724" s="27"/>
      <c r="D724" s="15"/>
      <c r="E724" s="25" t="str">
        <f aca="true">IF(OR(C724="",D724=""),"",IFERROR(C724*INDEX(UnidadesFactor,MATCH(D724,Unidades,0)),""))</f>
        <v/>
      </c>
      <c r="F724" s="18" t="str">
        <f aca="true">IF(B724="","",IFERROR(INDEX(InsCosto,MATCH(B724,ListaInsumos,0)),""))</f>
        <v/>
      </c>
      <c r="G724" s="19" t="str">
        <f aca="false">IF(AND(A724="",B724=""),"",IF(H724="OK",E724*F724,0))</f>
        <v/>
      </c>
      <c r="H724" s="20" t="str">
        <f aca="true">IF(AND(A724="",B724=""),"",IF(ISNA(MATCH(B724,ListaInsumos,0)),"Insumo no está en Insumos",IF(C724="","Falta cantidad",IF(IFERROR(INDEX(UnidadesBase,MATCH(D724,Unidades,0)),"")&lt;&gt;INDEX(InsBase,MATCH(B724,ListaInsumos,0)),"Unidad incompatible",IF(F724="","Insumo sin compras","OK")))))</f>
        <v/>
      </c>
      <c r="I724" s="15"/>
    </row>
    <row r="725" customFormat="false" ht="15" hidden="false" customHeight="false" outlineLevel="0" collapsed="false">
      <c r="A725" s="15"/>
      <c r="B725" s="15"/>
      <c r="C725" s="27"/>
      <c r="D725" s="15"/>
      <c r="E725" s="25" t="str">
        <f aca="true">IF(OR(C725="",D725=""),"",IFERROR(C725*INDEX(UnidadesFactor,MATCH(D725,Unidades,0)),""))</f>
        <v/>
      </c>
      <c r="F725" s="18" t="str">
        <f aca="true">IF(B725="","",IFERROR(INDEX(InsCosto,MATCH(B725,ListaInsumos,0)),""))</f>
        <v/>
      </c>
      <c r="G725" s="19" t="str">
        <f aca="false">IF(AND(A725="",B725=""),"",IF(H725="OK",E725*F725,0))</f>
        <v/>
      </c>
      <c r="H725" s="20" t="str">
        <f aca="true">IF(AND(A725="",B725=""),"",IF(ISNA(MATCH(B725,ListaInsumos,0)),"Insumo no está en Insumos",IF(C725="","Falta cantidad",IF(IFERROR(INDEX(UnidadesBase,MATCH(D725,Unidades,0)),"")&lt;&gt;INDEX(InsBase,MATCH(B725,ListaInsumos,0)),"Unidad incompatible",IF(F725="","Insumo sin compras","OK")))))</f>
        <v/>
      </c>
      <c r="I725" s="15"/>
    </row>
    <row r="726" customFormat="false" ht="15" hidden="false" customHeight="false" outlineLevel="0" collapsed="false">
      <c r="A726" s="15"/>
      <c r="B726" s="15"/>
      <c r="C726" s="27"/>
      <c r="D726" s="15"/>
      <c r="E726" s="25" t="str">
        <f aca="true">IF(OR(C726="",D726=""),"",IFERROR(C726*INDEX(UnidadesFactor,MATCH(D726,Unidades,0)),""))</f>
        <v/>
      </c>
      <c r="F726" s="18" t="str">
        <f aca="true">IF(B726="","",IFERROR(INDEX(InsCosto,MATCH(B726,ListaInsumos,0)),""))</f>
        <v/>
      </c>
      <c r="G726" s="19" t="str">
        <f aca="false">IF(AND(A726="",B726=""),"",IF(H726="OK",E726*F726,0))</f>
        <v/>
      </c>
      <c r="H726" s="20" t="str">
        <f aca="true">IF(AND(A726="",B726=""),"",IF(ISNA(MATCH(B726,ListaInsumos,0)),"Insumo no está en Insumos",IF(C726="","Falta cantidad",IF(IFERROR(INDEX(UnidadesBase,MATCH(D726,Unidades,0)),"")&lt;&gt;INDEX(InsBase,MATCH(B726,ListaInsumos,0)),"Unidad incompatible",IF(F726="","Insumo sin compras","OK")))))</f>
        <v/>
      </c>
      <c r="I726" s="15"/>
    </row>
    <row r="727" customFormat="false" ht="15" hidden="false" customHeight="false" outlineLevel="0" collapsed="false">
      <c r="A727" s="15"/>
      <c r="B727" s="15"/>
      <c r="C727" s="27"/>
      <c r="D727" s="15"/>
      <c r="E727" s="25" t="str">
        <f aca="true">IF(OR(C727="",D727=""),"",IFERROR(C727*INDEX(UnidadesFactor,MATCH(D727,Unidades,0)),""))</f>
        <v/>
      </c>
      <c r="F727" s="18" t="str">
        <f aca="true">IF(B727="","",IFERROR(INDEX(InsCosto,MATCH(B727,ListaInsumos,0)),""))</f>
        <v/>
      </c>
      <c r="G727" s="19" t="str">
        <f aca="false">IF(AND(A727="",B727=""),"",IF(H727="OK",E727*F727,0))</f>
        <v/>
      </c>
      <c r="H727" s="20" t="str">
        <f aca="true">IF(AND(A727="",B727=""),"",IF(ISNA(MATCH(B727,ListaInsumos,0)),"Insumo no está en Insumos",IF(C727="","Falta cantidad",IF(IFERROR(INDEX(UnidadesBase,MATCH(D727,Unidades,0)),"")&lt;&gt;INDEX(InsBase,MATCH(B727,ListaInsumos,0)),"Unidad incompatible",IF(F727="","Insumo sin compras","OK")))))</f>
        <v/>
      </c>
      <c r="I727" s="15"/>
    </row>
    <row r="728" customFormat="false" ht="15" hidden="false" customHeight="false" outlineLevel="0" collapsed="false">
      <c r="A728" s="15"/>
      <c r="B728" s="15"/>
      <c r="C728" s="27"/>
      <c r="D728" s="15"/>
      <c r="E728" s="25" t="str">
        <f aca="true">IF(OR(C728="",D728=""),"",IFERROR(C728*INDEX(UnidadesFactor,MATCH(D728,Unidades,0)),""))</f>
        <v/>
      </c>
      <c r="F728" s="18" t="str">
        <f aca="true">IF(B728="","",IFERROR(INDEX(InsCosto,MATCH(B728,ListaInsumos,0)),""))</f>
        <v/>
      </c>
      <c r="G728" s="19" t="str">
        <f aca="false">IF(AND(A728="",B728=""),"",IF(H728="OK",E728*F728,0))</f>
        <v/>
      </c>
      <c r="H728" s="20" t="str">
        <f aca="true">IF(AND(A728="",B728=""),"",IF(ISNA(MATCH(B728,ListaInsumos,0)),"Insumo no está en Insumos",IF(C728="","Falta cantidad",IF(IFERROR(INDEX(UnidadesBase,MATCH(D728,Unidades,0)),"")&lt;&gt;INDEX(InsBase,MATCH(B728,ListaInsumos,0)),"Unidad incompatible",IF(F728="","Insumo sin compras","OK")))))</f>
        <v/>
      </c>
      <c r="I728" s="15"/>
    </row>
    <row r="729" customFormat="false" ht="15" hidden="false" customHeight="false" outlineLevel="0" collapsed="false">
      <c r="A729" s="15"/>
      <c r="B729" s="15"/>
      <c r="C729" s="27"/>
      <c r="D729" s="15"/>
      <c r="E729" s="25" t="str">
        <f aca="true">IF(OR(C729="",D729=""),"",IFERROR(C729*INDEX(UnidadesFactor,MATCH(D729,Unidades,0)),""))</f>
        <v/>
      </c>
      <c r="F729" s="18" t="str">
        <f aca="true">IF(B729="","",IFERROR(INDEX(InsCosto,MATCH(B729,ListaInsumos,0)),""))</f>
        <v/>
      </c>
      <c r="G729" s="19" t="str">
        <f aca="false">IF(AND(A729="",B729=""),"",IF(H729="OK",E729*F729,0))</f>
        <v/>
      </c>
      <c r="H729" s="20" t="str">
        <f aca="true">IF(AND(A729="",B729=""),"",IF(ISNA(MATCH(B729,ListaInsumos,0)),"Insumo no está en Insumos",IF(C729="","Falta cantidad",IF(IFERROR(INDEX(UnidadesBase,MATCH(D729,Unidades,0)),"")&lt;&gt;INDEX(InsBase,MATCH(B729,ListaInsumos,0)),"Unidad incompatible",IF(F729="","Insumo sin compras","OK")))))</f>
        <v/>
      </c>
      <c r="I729" s="15"/>
    </row>
    <row r="730" customFormat="false" ht="15" hidden="false" customHeight="false" outlineLevel="0" collapsed="false">
      <c r="A730" s="15"/>
      <c r="B730" s="15"/>
      <c r="C730" s="27"/>
      <c r="D730" s="15"/>
      <c r="E730" s="25" t="str">
        <f aca="true">IF(OR(C730="",D730=""),"",IFERROR(C730*INDEX(UnidadesFactor,MATCH(D730,Unidades,0)),""))</f>
        <v/>
      </c>
      <c r="F730" s="18" t="str">
        <f aca="true">IF(B730="","",IFERROR(INDEX(InsCosto,MATCH(B730,ListaInsumos,0)),""))</f>
        <v/>
      </c>
      <c r="G730" s="19" t="str">
        <f aca="false">IF(AND(A730="",B730=""),"",IF(H730="OK",E730*F730,0))</f>
        <v/>
      </c>
      <c r="H730" s="20" t="str">
        <f aca="true">IF(AND(A730="",B730=""),"",IF(ISNA(MATCH(B730,ListaInsumos,0)),"Insumo no está en Insumos",IF(C730="","Falta cantidad",IF(IFERROR(INDEX(UnidadesBase,MATCH(D730,Unidades,0)),"")&lt;&gt;INDEX(InsBase,MATCH(B730,ListaInsumos,0)),"Unidad incompatible",IF(F730="","Insumo sin compras","OK")))))</f>
        <v/>
      </c>
      <c r="I730" s="15"/>
    </row>
    <row r="731" customFormat="false" ht="15" hidden="false" customHeight="false" outlineLevel="0" collapsed="false">
      <c r="A731" s="15"/>
      <c r="B731" s="15"/>
      <c r="C731" s="27"/>
      <c r="D731" s="15"/>
      <c r="E731" s="25" t="str">
        <f aca="true">IF(OR(C731="",D731=""),"",IFERROR(C731*INDEX(UnidadesFactor,MATCH(D731,Unidades,0)),""))</f>
        <v/>
      </c>
      <c r="F731" s="18" t="str">
        <f aca="true">IF(B731="","",IFERROR(INDEX(InsCosto,MATCH(B731,ListaInsumos,0)),""))</f>
        <v/>
      </c>
      <c r="G731" s="19" t="str">
        <f aca="false">IF(AND(A731="",B731=""),"",IF(H731="OK",E731*F731,0))</f>
        <v/>
      </c>
      <c r="H731" s="20" t="str">
        <f aca="true">IF(AND(A731="",B731=""),"",IF(ISNA(MATCH(B731,ListaInsumos,0)),"Insumo no está en Insumos",IF(C731="","Falta cantidad",IF(IFERROR(INDEX(UnidadesBase,MATCH(D731,Unidades,0)),"")&lt;&gt;INDEX(InsBase,MATCH(B731,ListaInsumos,0)),"Unidad incompatible",IF(F731="","Insumo sin compras","OK")))))</f>
        <v/>
      </c>
      <c r="I731" s="15"/>
    </row>
    <row r="732" customFormat="false" ht="15" hidden="false" customHeight="false" outlineLevel="0" collapsed="false">
      <c r="A732" s="15"/>
      <c r="B732" s="15"/>
      <c r="C732" s="27"/>
      <c r="D732" s="15"/>
      <c r="E732" s="25" t="str">
        <f aca="true">IF(OR(C732="",D732=""),"",IFERROR(C732*INDEX(UnidadesFactor,MATCH(D732,Unidades,0)),""))</f>
        <v/>
      </c>
      <c r="F732" s="18" t="str">
        <f aca="true">IF(B732="","",IFERROR(INDEX(InsCosto,MATCH(B732,ListaInsumos,0)),""))</f>
        <v/>
      </c>
      <c r="G732" s="19" t="str">
        <f aca="false">IF(AND(A732="",B732=""),"",IF(H732="OK",E732*F732,0))</f>
        <v/>
      </c>
      <c r="H732" s="20" t="str">
        <f aca="true">IF(AND(A732="",B732=""),"",IF(ISNA(MATCH(B732,ListaInsumos,0)),"Insumo no está en Insumos",IF(C732="","Falta cantidad",IF(IFERROR(INDEX(UnidadesBase,MATCH(D732,Unidades,0)),"")&lt;&gt;INDEX(InsBase,MATCH(B732,ListaInsumos,0)),"Unidad incompatible",IF(F732="","Insumo sin compras","OK")))))</f>
        <v/>
      </c>
      <c r="I732" s="15"/>
    </row>
    <row r="733" customFormat="false" ht="15" hidden="false" customHeight="false" outlineLevel="0" collapsed="false">
      <c r="A733" s="15"/>
      <c r="B733" s="15"/>
      <c r="C733" s="27"/>
      <c r="D733" s="15"/>
      <c r="E733" s="25" t="str">
        <f aca="true">IF(OR(C733="",D733=""),"",IFERROR(C733*INDEX(UnidadesFactor,MATCH(D733,Unidades,0)),""))</f>
        <v/>
      </c>
      <c r="F733" s="18" t="str">
        <f aca="true">IF(B733="","",IFERROR(INDEX(InsCosto,MATCH(B733,ListaInsumos,0)),""))</f>
        <v/>
      </c>
      <c r="G733" s="19" t="str">
        <f aca="false">IF(AND(A733="",B733=""),"",IF(H733="OK",E733*F733,0))</f>
        <v/>
      </c>
      <c r="H733" s="20" t="str">
        <f aca="true">IF(AND(A733="",B733=""),"",IF(ISNA(MATCH(B733,ListaInsumos,0)),"Insumo no está en Insumos",IF(C733="","Falta cantidad",IF(IFERROR(INDEX(UnidadesBase,MATCH(D733,Unidades,0)),"")&lt;&gt;INDEX(InsBase,MATCH(B733,ListaInsumos,0)),"Unidad incompatible",IF(F733="","Insumo sin compras","OK")))))</f>
        <v/>
      </c>
      <c r="I733" s="15"/>
    </row>
    <row r="734" customFormat="false" ht="15" hidden="false" customHeight="false" outlineLevel="0" collapsed="false">
      <c r="A734" s="15"/>
      <c r="B734" s="15"/>
      <c r="C734" s="27"/>
      <c r="D734" s="15"/>
      <c r="E734" s="25" t="str">
        <f aca="true">IF(OR(C734="",D734=""),"",IFERROR(C734*INDEX(UnidadesFactor,MATCH(D734,Unidades,0)),""))</f>
        <v/>
      </c>
      <c r="F734" s="18" t="str">
        <f aca="true">IF(B734="","",IFERROR(INDEX(InsCosto,MATCH(B734,ListaInsumos,0)),""))</f>
        <v/>
      </c>
      <c r="G734" s="19" t="str">
        <f aca="false">IF(AND(A734="",B734=""),"",IF(H734="OK",E734*F734,0))</f>
        <v/>
      </c>
      <c r="H734" s="20" t="str">
        <f aca="true">IF(AND(A734="",B734=""),"",IF(ISNA(MATCH(B734,ListaInsumos,0)),"Insumo no está en Insumos",IF(C734="","Falta cantidad",IF(IFERROR(INDEX(UnidadesBase,MATCH(D734,Unidades,0)),"")&lt;&gt;INDEX(InsBase,MATCH(B734,ListaInsumos,0)),"Unidad incompatible",IF(F734="","Insumo sin compras","OK")))))</f>
        <v/>
      </c>
      <c r="I734" s="15"/>
    </row>
    <row r="735" customFormat="false" ht="15" hidden="false" customHeight="false" outlineLevel="0" collapsed="false">
      <c r="A735" s="15"/>
      <c r="B735" s="15"/>
      <c r="C735" s="27"/>
      <c r="D735" s="15"/>
      <c r="E735" s="25" t="str">
        <f aca="true">IF(OR(C735="",D735=""),"",IFERROR(C735*INDEX(UnidadesFactor,MATCH(D735,Unidades,0)),""))</f>
        <v/>
      </c>
      <c r="F735" s="18" t="str">
        <f aca="true">IF(B735="","",IFERROR(INDEX(InsCosto,MATCH(B735,ListaInsumos,0)),""))</f>
        <v/>
      </c>
      <c r="G735" s="19" t="str">
        <f aca="false">IF(AND(A735="",B735=""),"",IF(H735="OK",E735*F735,0))</f>
        <v/>
      </c>
      <c r="H735" s="20" t="str">
        <f aca="true">IF(AND(A735="",B735=""),"",IF(ISNA(MATCH(B735,ListaInsumos,0)),"Insumo no está en Insumos",IF(C735="","Falta cantidad",IF(IFERROR(INDEX(UnidadesBase,MATCH(D735,Unidades,0)),"")&lt;&gt;INDEX(InsBase,MATCH(B735,ListaInsumos,0)),"Unidad incompatible",IF(F735="","Insumo sin compras","OK")))))</f>
        <v/>
      </c>
      <c r="I735" s="15"/>
    </row>
    <row r="736" customFormat="false" ht="15" hidden="false" customHeight="false" outlineLevel="0" collapsed="false">
      <c r="A736" s="15"/>
      <c r="B736" s="15"/>
      <c r="C736" s="27"/>
      <c r="D736" s="15"/>
      <c r="E736" s="25" t="str">
        <f aca="true">IF(OR(C736="",D736=""),"",IFERROR(C736*INDEX(UnidadesFactor,MATCH(D736,Unidades,0)),""))</f>
        <v/>
      </c>
      <c r="F736" s="18" t="str">
        <f aca="true">IF(B736="","",IFERROR(INDEX(InsCosto,MATCH(B736,ListaInsumos,0)),""))</f>
        <v/>
      </c>
      <c r="G736" s="19" t="str">
        <f aca="false">IF(AND(A736="",B736=""),"",IF(H736="OK",E736*F736,0))</f>
        <v/>
      </c>
      <c r="H736" s="20" t="str">
        <f aca="true">IF(AND(A736="",B736=""),"",IF(ISNA(MATCH(B736,ListaInsumos,0)),"Insumo no está en Insumos",IF(C736="","Falta cantidad",IF(IFERROR(INDEX(UnidadesBase,MATCH(D736,Unidades,0)),"")&lt;&gt;INDEX(InsBase,MATCH(B736,ListaInsumos,0)),"Unidad incompatible",IF(F736="","Insumo sin compras","OK")))))</f>
        <v/>
      </c>
      <c r="I736" s="15"/>
    </row>
    <row r="737" customFormat="false" ht="15" hidden="false" customHeight="false" outlineLevel="0" collapsed="false">
      <c r="A737" s="15"/>
      <c r="B737" s="15"/>
      <c r="C737" s="27"/>
      <c r="D737" s="15"/>
      <c r="E737" s="25" t="str">
        <f aca="true">IF(OR(C737="",D737=""),"",IFERROR(C737*INDEX(UnidadesFactor,MATCH(D737,Unidades,0)),""))</f>
        <v/>
      </c>
      <c r="F737" s="18" t="str">
        <f aca="true">IF(B737="","",IFERROR(INDEX(InsCosto,MATCH(B737,ListaInsumos,0)),""))</f>
        <v/>
      </c>
      <c r="G737" s="19" t="str">
        <f aca="false">IF(AND(A737="",B737=""),"",IF(H737="OK",E737*F737,0))</f>
        <v/>
      </c>
      <c r="H737" s="20" t="str">
        <f aca="true">IF(AND(A737="",B737=""),"",IF(ISNA(MATCH(B737,ListaInsumos,0)),"Insumo no está en Insumos",IF(C737="","Falta cantidad",IF(IFERROR(INDEX(UnidadesBase,MATCH(D737,Unidades,0)),"")&lt;&gt;INDEX(InsBase,MATCH(B737,ListaInsumos,0)),"Unidad incompatible",IF(F737="","Insumo sin compras","OK")))))</f>
        <v/>
      </c>
      <c r="I737" s="15"/>
    </row>
    <row r="738" customFormat="false" ht="15" hidden="false" customHeight="false" outlineLevel="0" collapsed="false">
      <c r="A738" s="15"/>
      <c r="B738" s="15"/>
      <c r="C738" s="27"/>
      <c r="D738" s="15"/>
      <c r="E738" s="25" t="str">
        <f aca="true">IF(OR(C738="",D738=""),"",IFERROR(C738*INDEX(UnidadesFactor,MATCH(D738,Unidades,0)),""))</f>
        <v/>
      </c>
      <c r="F738" s="18" t="str">
        <f aca="true">IF(B738="","",IFERROR(INDEX(InsCosto,MATCH(B738,ListaInsumos,0)),""))</f>
        <v/>
      </c>
      <c r="G738" s="19" t="str">
        <f aca="false">IF(AND(A738="",B738=""),"",IF(H738="OK",E738*F738,0))</f>
        <v/>
      </c>
      <c r="H738" s="20" t="str">
        <f aca="true">IF(AND(A738="",B738=""),"",IF(ISNA(MATCH(B738,ListaInsumos,0)),"Insumo no está en Insumos",IF(C738="","Falta cantidad",IF(IFERROR(INDEX(UnidadesBase,MATCH(D738,Unidades,0)),"")&lt;&gt;INDEX(InsBase,MATCH(B738,ListaInsumos,0)),"Unidad incompatible",IF(F738="","Insumo sin compras","OK")))))</f>
        <v/>
      </c>
      <c r="I738" s="15"/>
    </row>
    <row r="739" customFormat="false" ht="15" hidden="false" customHeight="false" outlineLevel="0" collapsed="false">
      <c r="A739" s="15"/>
      <c r="B739" s="15"/>
      <c r="C739" s="27"/>
      <c r="D739" s="15"/>
      <c r="E739" s="25" t="str">
        <f aca="true">IF(OR(C739="",D739=""),"",IFERROR(C739*INDEX(UnidadesFactor,MATCH(D739,Unidades,0)),""))</f>
        <v/>
      </c>
      <c r="F739" s="18" t="str">
        <f aca="true">IF(B739="","",IFERROR(INDEX(InsCosto,MATCH(B739,ListaInsumos,0)),""))</f>
        <v/>
      </c>
      <c r="G739" s="19" t="str">
        <f aca="false">IF(AND(A739="",B739=""),"",IF(H739="OK",E739*F739,0))</f>
        <v/>
      </c>
      <c r="H739" s="20" t="str">
        <f aca="true">IF(AND(A739="",B739=""),"",IF(ISNA(MATCH(B739,ListaInsumos,0)),"Insumo no está en Insumos",IF(C739="","Falta cantidad",IF(IFERROR(INDEX(UnidadesBase,MATCH(D739,Unidades,0)),"")&lt;&gt;INDEX(InsBase,MATCH(B739,ListaInsumos,0)),"Unidad incompatible",IF(F739="","Insumo sin compras","OK")))))</f>
        <v/>
      </c>
      <c r="I739" s="15"/>
    </row>
    <row r="740" customFormat="false" ht="15" hidden="false" customHeight="false" outlineLevel="0" collapsed="false">
      <c r="A740" s="15"/>
      <c r="B740" s="15"/>
      <c r="C740" s="27"/>
      <c r="D740" s="15"/>
      <c r="E740" s="25" t="str">
        <f aca="true">IF(OR(C740="",D740=""),"",IFERROR(C740*INDEX(UnidadesFactor,MATCH(D740,Unidades,0)),""))</f>
        <v/>
      </c>
      <c r="F740" s="18" t="str">
        <f aca="true">IF(B740="","",IFERROR(INDEX(InsCosto,MATCH(B740,ListaInsumos,0)),""))</f>
        <v/>
      </c>
      <c r="G740" s="19" t="str">
        <f aca="false">IF(AND(A740="",B740=""),"",IF(H740="OK",E740*F740,0))</f>
        <v/>
      </c>
      <c r="H740" s="20" t="str">
        <f aca="true">IF(AND(A740="",B740=""),"",IF(ISNA(MATCH(B740,ListaInsumos,0)),"Insumo no está en Insumos",IF(C740="","Falta cantidad",IF(IFERROR(INDEX(UnidadesBase,MATCH(D740,Unidades,0)),"")&lt;&gt;INDEX(InsBase,MATCH(B740,ListaInsumos,0)),"Unidad incompatible",IF(F740="","Insumo sin compras","OK")))))</f>
        <v/>
      </c>
      <c r="I740" s="15"/>
    </row>
    <row r="741" customFormat="false" ht="15" hidden="false" customHeight="false" outlineLevel="0" collapsed="false">
      <c r="A741" s="15"/>
      <c r="B741" s="15"/>
      <c r="C741" s="27"/>
      <c r="D741" s="15"/>
      <c r="E741" s="25" t="str">
        <f aca="true">IF(OR(C741="",D741=""),"",IFERROR(C741*INDEX(UnidadesFactor,MATCH(D741,Unidades,0)),""))</f>
        <v/>
      </c>
      <c r="F741" s="18" t="str">
        <f aca="true">IF(B741="","",IFERROR(INDEX(InsCosto,MATCH(B741,ListaInsumos,0)),""))</f>
        <v/>
      </c>
      <c r="G741" s="19" t="str">
        <f aca="false">IF(AND(A741="",B741=""),"",IF(H741="OK",E741*F741,0))</f>
        <v/>
      </c>
      <c r="H741" s="20" t="str">
        <f aca="true">IF(AND(A741="",B741=""),"",IF(ISNA(MATCH(B741,ListaInsumos,0)),"Insumo no está en Insumos",IF(C741="","Falta cantidad",IF(IFERROR(INDEX(UnidadesBase,MATCH(D741,Unidades,0)),"")&lt;&gt;INDEX(InsBase,MATCH(B741,ListaInsumos,0)),"Unidad incompatible",IF(F741="","Insumo sin compras","OK")))))</f>
        <v/>
      </c>
      <c r="I741" s="15"/>
    </row>
    <row r="742" customFormat="false" ht="15" hidden="false" customHeight="false" outlineLevel="0" collapsed="false">
      <c r="A742" s="15"/>
      <c r="B742" s="15"/>
      <c r="C742" s="27"/>
      <c r="D742" s="15"/>
      <c r="E742" s="25" t="str">
        <f aca="true">IF(OR(C742="",D742=""),"",IFERROR(C742*INDEX(UnidadesFactor,MATCH(D742,Unidades,0)),""))</f>
        <v/>
      </c>
      <c r="F742" s="18" t="str">
        <f aca="true">IF(B742="","",IFERROR(INDEX(InsCosto,MATCH(B742,ListaInsumos,0)),""))</f>
        <v/>
      </c>
      <c r="G742" s="19" t="str">
        <f aca="false">IF(AND(A742="",B742=""),"",IF(H742="OK",E742*F742,0))</f>
        <v/>
      </c>
      <c r="H742" s="20" t="str">
        <f aca="true">IF(AND(A742="",B742=""),"",IF(ISNA(MATCH(B742,ListaInsumos,0)),"Insumo no está en Insumos",IF(C742="","Falta cantidad",IF(IFERROR(INDEX(UnidadesBase,MATCH(D742,Unidades,0)),"")&lt;&gt;INDEX(InsBase,MATCH(B742,ListaInsumos,0)),"Unidad incompatible",IF(F742="","Insumo sin compras","OK")))))</f>
        <v/>
      </c>
      <c r="I742" s="15"/>
    </row>
    <row r="743" customFormat="false" ht="15" hidden="false" customHeight="false" outlineLevel="0" collapsed="false">
      <c r="A743" s="15"/>
      <c r="B743" s="15"/>
      <c r="C743" s="27"/>
      <c r="D743" s="15"/>
      <c r="E743" s="25" t="str">
        <f aca="true">IF(OR(C743="",D743=""),"",IFERROR(C743*INDEX(UnidadesFactor,MATCH(D743,Unidades,0)),""))</f>
        <v/>
      </c>
      <c r="F743" s="18" t="str">
        <f aca="true">IF(B743="","",IFERROR(INDEX(InsCosto,MATCH(B743,ListaInsumos,0)),""))</f>
        <v/>
      </c>
      <c r="G743" s="19" t="str">
        <f aca="false">IF(AND(A743="",B743=""),"",IF(H743="OK",E743*F743,0))</f>
        <v/>
      </c>
      <c r="H743" s="20" t="str">
        <f aca="true">IF(AND(A743="",B743=""),"",IF(ISNA(MATCH(B743,ListaInsumos,0)),"Insumo no está en Insumos",IF(C743="","Falta cantidad",IF(IFERROR(INDEX(UnidadesBase,MATCH(D743,Unidades,0)),"")&lt;&gt;INDEX(InsBase,MATCH(B743,ListaInsumos,0)),"Unidad incompatible",IF(F743="","Insumo sin compras","OK")))))</f>
        <v/>
      </c>
      <c r="I743" s="15"/>
    </row>
    <row r="744" customFormat="false" ht="15" hidden="false" customHeight="false" outlineLevel="0" collapsed="false">
      <c r="A744" s="15"/>
      <c r="B744" s="15"/>
      <c r="C744" s="27"/>
      <c r="D744" s="15"/>
      <c r="E744" s="25" t="str">
        <f aca="true">IF(OR(C744="",D744=""),"",IFERROR(C744*INDEX(UnidadesFactor,MATCH(D744,Unidades,0)),""))</f>
        <v/>
      </c>
      <c r="F744" s="18" t="str">
        <f aca="true">IF(B744="","",IFERROR(INDEX(InsCosto,MATCH(B744,ListaInsumos,0)),""))</f>
        <v/>
      </c>
      <c r="G744" s="19" t="str">
        <f aca="false">IF(AND(A744="",B744=""),"",IF(H744="OK",E744*F744,0))</f>
        <v/>
      </c>
      <c r="H744" s="20" t="str">
        <f aca="true">IF(AND(A744="",B744=""),"",IF(ISNA(MATCH(B744,ListaInsumos,0)),"Insumo no está en Insumos",IF(C744="","Falta cantidad",IF(IFERROR(INDEX(UnidadesBase,MATCH(D744,Unidades,0)),"")&lt;&gt;INDEX(InsBase,MATCH(B744,ListaInsumos,0)),"Unidad incompatible",IF(F744="","Insumo sin compras","OK")))))</f>
        <v/>
      </c>
      <c r="I744" s="15"/>
    </row>
    <row r="745" customFormat="false" ht="15" hidden="false" customHeight="false" outlineLevel="0" collapsed="false">
      <c r="A745" s="15"/>
      <c r="B745" s="15"/>
      <c r="C745" s="27"/>
      <c r="D745" s="15"/>
      <c r="E745" s="25" t="str">
        <f aca="true">IF(OR(C745="",D745=""),"",IFERROR(C745*INDEX(UnidadesFactor,MATCH(D745,Unidades,0)),""))</f>
        <v/>
      </c>
      <c r="F745" s="18" t="str">
        <f aca="true">IF(B745="","",IFERROR(INDEX(InsCosto,MATCH(B745,ListaInsumos,0)),""))</f>
        <v/>
      </c>
      <c r="G745" s="19" t="str">
        <f aca="false">IF(AND(A745="",B745=""),"",IF(H745="OK",E745*F745,0))</f>
        <v/>
      </c>
      <c r="H745" s="20" t="str">
        <f aca="true">IF(AND(A745="",B745=""),"",IF(ISNA(MATCH(B745,ListaInsumos,0)),"Insumo no está en Insumos",IF(C745="","Falta cantidad",IF(IFERROR(INDEX(UnidadesBase,MATCH(D745,Unidades,0)),"")&lt;&gt;INDEX(InsBase,MATCH(B745,ListaInsumos,0)),"Unidad incompatible",IF(F745="","Insumo sin compras","OK")))))</f>
        <v/>
      </c>
      <c r="I745" s="15"/>
    </row>
    <row r="746" customFormat="false" ht="15" hidden="false" customHeight="false" outlineLevel="0" collapsed="false">
      <c r="A746" s="15"/>
      <c r="B746" s="15"/>
      <c r="C746" s="27"/>
      <c r="D746" s="15"/>
      <c r="E746" s="25" t="str">
        <f aca="true">IF(OR(C746="",D746=""),"",IFERROR(C746*INDEX(UnidadesFactor,MATCH(D746,Unidades,0)),""))</f>
        <v/>
      </c>
      <c r="F746" s="18" t="str">
        <f aca="true">IF(B746="","",IFERROR(INDEX(InsCosto,MATCH(B746,ListaInsumos,0)),""))</f>
        <v/>
      </c>
      <c r="G746" s="19" t="str">
        <f aca="false">IF(AND(A746="",B746=""),"",IF(H746="OK",E746*F746,0))</f>
        <v/>
      </c>
      <c r="H746" s="20" t="str">
        <f aca="true">IF(AND(A746="",B746=""),"",IF(ISNA(MATCH(B746,ListaInsumos,0)),"Insumo no está en Insumos",IF(C746="","Falta cantidad",IF(IFERROR(INDEX(UnidadesBase,MATCH(D746,Unidades,0)),"")&lt;&gt;INDEX(InsBase,MATCH(B746,ListaInsumos,0)),"Unidad incompatible",IF(F746="","Insumo sin compras","OK")))))</f>
        <v/>
      </c>
      <c r="I746" s="15"/>
    </row>
    <row r="747" customFormat="false" ht="15" hidden="false" customHeight="false" outlineLevel="0" collapsed="false">
      <c r="A747" s="15"/>
      <c r="B747" s="15"/>
      <c r="C747" s="27"/>
      <c r="D747" s="15"/>
      <c r="E747" s="25" t="str">
        <f aca="true">IF(OR(C747="",D747=""),"",IFERROR(C747*INDEX(UnidadesFactor,MATCH(D747,Unidades,0)),""))</f>
        <v/>
      </c>
      <c r="F747" s="18" t="str">
        <f aca="true">IF(B747="","",IFERROR(INDEX(InsCosto,MATCH(B747,ListaInsumos,0)),""))</f>
        <v/>
      </c>
      <c r="G747" s="19" t="str">
        <f aca="false">IF(AND(A747="",B747=""),"",IF(H747="OK",E747*F747,0))</f>
        <v/>
      </c>
      <c r="H747" s="20" t="str">
        <f aca="true">IF(AND(A747="",B747=""),"",IF(ISNA(MATCH(B747,ListaInsumos,0)),"Insumo no está en Insumos",IF(C747="","Falta cantidad",IF(IFERROR(INDEX(UnidadesBase,MATCH(D747,Unidades,0)),"")&lt;&gt;INDEX(InsBase,MATCH(B747,ListaInsumos,0)),"Unidad incompatible",IF(F747="","Insumo sin compras","OK")))))</f>
        <v/>
      </c>
      <c r="I747" s="15"/>
    </row>
    <row r="748" customFormat="false" ht="15" hidden="false" customHeight="false" outlineLevel="0" collapsed="false">
      <c r="A748" s="15"/>
      <c r="B748" s="15"/>
      <c r="C748" s="27"/>
      <c r="D748" s="15"/>
      <c r="E748" s="25" t="str">
        <f aca="true">IF(OR(C748="",D748=""),"",IFERROR(C748*INDEX(UnidadesFactor,MATCH(D748,Unidades,0)),""))</f>
        <v/>
      </c>
      <c r="F748" s="18" t="str">
        <f aca="true">IF(B748="","",IFERROR(INDEX(InsCosto,MATCH(B748,ListaInsumos,0)),""))</f>
        <v/>
      </c>
      <c r="G748" s="19" t="str">
        <f aca="false">IF(AND(A748="",B748=""),"",IF(H748="OK",E748*F748,0))</f>
        <v/>
      </c>
      <c r="H748" s="20" t="str">
        <f aca="true">IF(AND(A748="",B748=""),"",IF(ISNA(MATCH(B748,ListaInsumos,0)),"Insumo no está en Insumos",IF(C748="","Falta cantidad",IF(IFERROR(INDEX(UnidadesBase,MATCH(D748,Unidades,0)),"")&lt;&gt;INDEX(InsBase,MATCH(B748,ListaInsumos,0)),"Unidad incompatible",IF(F748="","Insumo sin compras","OK")))))</f>
        <v/>
      </c>
      <c r="I748" s="15"/>
    </row>
    <row r="749" customFormat="false" ht="15" hidden="false" customHeight="false" outlineLevel="0" collapsed="false">
      <c r="A749" s="15"/>
      <c r="B749" s="15"/>
      <c r="C749" s="27"/>
      <c r="D749" s="15"/>
      <c r="E749" s="25" t="str">
        <f aca="true">IF(OR(C749="",D749=""),"",IFERROR(C749*INDEX(UnidadesFactor,MATCH(D749,Unidades,0)),""))</f>
        <v/>
      </c>
      <c r="F749" s="18" t="str">
        <f aca="true">IF(B749="","",IFERROR(INDEX(InsCosto,MATCH(B749,ListaInsumos,0)),""))</f>
        <v/>
      </c>
      <c r="G749" s="19" t="str">
        <f aca="false">IF(AND(A749="",B749=""),"",IF(H749="OK",E749*F749,0))</f>
        <v/>
      </c>
      <c r="H749" s="20" t="str">
        <f aca="true">IF(AND(A749="",B749=""),"",IF(ISNA(MATCH(B749,ListaInsumos,0)),"Insumo no está en Insumos",IF(C749="","Falta cantidad",IF(IFERROR(INDEX(UnidadesBase,MATCH(D749,Unidades,0)),"")&lt;&gt;INDEX(InsBase,MATCH(B749,ListaInsumos,0)),"Unidad incompatible",IF(F749="","Insumo sin compras","OK")))))</f>
        <v/>
      </c>
      <c r="I749" s="15"/>
    </row>
    <row r="750" customFormat="false" ht="15" hidden="false" customHeight="false" outlineLevel="0" collapsed="false">
      <c r="A750" s="15"/>
      <c r="B750" s="15"/>
      <c r="C750" s="27"/>
      <c r="D750" s="15"/>
      <c r="E750" s="25" t="str">
        <f aca="true">IF(OR(C750="",D750=""),"",IFERROR(C750*INDEX(UnidadesFactor,MATCH(D750,Unidades,0)),""))</f>
        <v/>
      </c>
      <c r="F750" s="18" t="str">
        <f aca="true">IF(B750="","",IFERROR(INDEX(InsCosto,MATCH(B750,ListaInsumos,0)),""))</f>
        <v/>
      </c>
      <c r="G750" s="19" t="str">
        <f aca="false">IF(AND(A750="",B750=""),"",IF(H750="OK",E750*F750,0))</f>
        <v/>
      </c>
      <c r="H750" s="20" t="str">
        <f aca="true">IF(AND(A750="",B750=""),"",IF(ISNA(MATCH(B750,ListaInsumos,0)),"Insumo no está en Insumos",IF(C750="","Falta cantidad",IF(IFERROR(INDEX(UnidadesBase,MATCH(D750,Unidades,0)),"")&lt;&gt;INDEX(InsBase,MATCH(B750,ListaInsumos,0)),"Unidad incompatible",IF(F750="","Insumo sin compras","OK")))))</f>
        <v/>
      </c>
      <c r="I750" s="15"/>
    </row>
    <row r="751" customFormat="false" ht="15" hidden="false" customHeight="false" outlineLevel="0" collapsed="false">
      <c r="A751" s="15"/>
      <c r="B751" s="15"/>
      <c r="C751" s="27"/>
      <c r="D751" s="15"/>
      <c r="E751" s="25" t="str">
        <f aca="true">IF(OR(C751="",D751=""),"",IFERROR(C751*INDEX(UnidadesFactor,MATCH(D751,Unidades,0)),""))</f>
        <v/>
      </c>
      <c r="F751" s="18" t="str">
        <f aca="true">IF(B751="","",IFERROR(INDEX(InsCosto,MATCH(B751,ListaInsumos,0)),""))</f>
        <v/>
      </c>
      <c r="G751" s="19" t="str">
        <f aca="false">IF(AND(A751="",B751=""),"",IF(H751="OK",E751*F751,0))</f>
        <v/>
      </c>
      <c r="H751" s="20" t="str">
        <f aca="true">IF(AND(A751="",B751=""),"",IF(ISNA(MATCH(B751,ListaInsumos,0)),"Insumo no está en Insumos",IF(C751="","Falta cantidad",IF(IFERROR(INDEX(UnidadesBase,MATCH(D751,Unidades,0)),"")&lt;&gt;INDEX(InsBase,MATCH(B751,ListaInsumos,0)),"Unidad incompatible",IF(F751="","Insumo sin compras","OK")))))</f>
        <v/>
      </c>
      <c r="I751" s="15"/>
    </row>
    <row r="752" customFormat="false" ht="15" hidden="false" customHeight="false" outlineLevel="0" collapsed="false">
      <c r="A752" s="15"/>
      <c r="B752" s="15"/>
      <c r="C752" s="27"/>
      <c r="D752" s="15"/>
      <c r="E752" s="25" t="str">
        <f aca="true">IF(OR(C752="",D752=""),"",IFERROR(C752*INDEX(UnidadesFactor,MATCH(D752,Unidades,0)),""))</f>
        <v/>
      </c>
      <c r="F752" s="18" t="str">
        <f aca="true">IF(B752="","",IFERROR(INDEX(InsCosto,MATCH(B752,ListaInsumos,0)),""))</f>
        <v/>
      </c>
      <c r="G752" s="19" t="str">
        <f aca="false">IF(AND(A752="",B752=""),"",IF(H752="OK",E752*F752,0))</f>
        <v/>
      </c>
      <c r="H752" s="20" t="str">
        <f aca="true">IF(AND(A752="",B752=""),"",IF(ISNA(MATCH(B752,ListaInsumos,0)),"Insumo no está en Insumos",IF(C752="","Falta cantidad",IF(IFERROR(INDEX(UnidadesBase,MATCH(D752,Unidades,0)),"")&lt;&gt;INDEX(InsBase,MATCH(B752,ListaInsumos,0)),"Unidad incompatible",IF(F752="","Insumo sin compras","OK")))))</f>
        <v/>
      </c>
      <c r="I752" s="15"/>
    </row>
    <row r="753" customFormat="false" ht="15" hidden="false" customHeight="false" outlineLevel="0" collapsed="false">
      <c r="A753" s="15"/>
      <c r="B753" s="15"/>
      <c r="C753" s="27"/>
      <c r="D753" s="15"/>
      <c r="E753" s="25" t="str">
        <f aca="true">IF(OR(C753="",D753=""),"",IFERROR(C753*INDEX(UnidadesFactor,MATCH(D753,Unidades,0)),""))</f>
        <v/>
      </c>
      <c r="F753" s="18" t="str">
        <f aca="true">IF(B753="","",IFERROR(INDEX(InsCosto,MATCH(B753,ListaInsumos,0)),""))</f>
        <v/>
      </c>
      <c r="G753" s="19" t="str">
        <f aca="false">IF(AND(A753="",B753=""),"",IF(H753="OK",E753*F753,0))</f>
        <v/>
      </c>
      <c r="H753" s="20" t="str">
        <f aca="true">IF(AND(A753="",B753=""),"",IF(ISNA(MATCH(B753,ListaInsumos,0)),"Insumo no está en Insumos",IF(C753="","Falta cantidad",IF(IFERROR(INDEX(UnidadesBase,MATCH(D753,Unidades,0)),"")&lt;&gt;INDEX(InsBase,MATCH(B753,ListaInsumos,0)),"Unidad incompatible",IF(F753="","Insumo sin compras","OK")))))</f>
        <v/>
      </c>
      <c r="I753" s="15"/>
    </row>
    <row r="754" customFormat="false" ht="15" hidden="false" customHeight="false" outlineLevel="0" collapsed="false">
      <c r="A754" s="15"/>
      <c r="B754" s="15"/>
      <c r="C754" s="27"/>
      <c r="D754" s="15"/>
      <c r="E754" s="25" t="str">
        <f aca="true">IF(OR(C754="",D754=""),"",IFERROR(C754*INDEX(UnidadesFactor,MATCH(D754,Unidades,0)),""))</f>
        <v/>
      </c>
      <c r="F754" s="18" t="str">
        <f aca="true">IF(B754="","",IFERROR(INDEX(InsCosto,MATCH(B754,ListaInsumos,0)),""))</f>
        <v/>
      </c>
      <c r="G754" s="19" t="str">
        <f aca="false">IF(AND(A754="",B754=""),"",IF(H754="OK",E754*F754,0))</f>
        <v/>
      </c>
      <c r="H754" s="20" t="str">
        <f aca="true">IF(AND(A754="",B754=""),"",IF(ISNA(MATCH(B754,ListaInsumos,0)),"Insumo no está en Insumos",IF(C754="","Falta cantidad",IF(IFERROR(INDEX(UnidadesBase,MATCH(D754,Unidades,0)),"")&lt;&gt;INDEX(InsBase,MATCH(B754,ListaInsumos,0)),"Unidad incompatible",IF(F754="","Insumo sin compras","OK")))))</f>
        <v/>
      </c>
      <c r="I754" s="15"/>
    </row>
    <row r="755" customFormat="false" ht="15" hidden="false" customHeight="false" outlineLevel="0" collapsed="false">
      <c r="A755" s="15"/>
      <c r="B755" s="15"/>
      <c r="C755" s="27"/>
      <c r="D755" s="15"/>
      <c r="E755" s="25" t="str">
        <f aca="true">IF(OR(C755="",D755=""),"",IFERROR(C755*INDEX(UnidadesFactor,MATCH(D755,Unidades,0)),""))</f>
        <v/>
      </c>
      <c r="F755" s="18" t="str">
        <f aca="true">IF(B755="","",IFERROR(INDEX(InsCosto,MATCH(B755,ListaInsumos,0)),""))</f>
        <v/>
      </c>
      <c r="G755" s="19" t="str">
        <f aca="false">IF(AND(A755="",B755=""),"",IF(H755="OK",E755*F755,0))</f>
        <v/>
      </c>
      <c r="H755" s="20" t="str">
        <f aca="true">IF(AND(A755="",B755=""),"",IF(ISNA(MATCH(B755,ListaInsumos,0)),"Insumo no está en Insumos",IF(C755="","Falta cantidad",IF(IFERROR(INDEX(UnidadesBase,MATCH(D755,Unidades,0)),"")&lt;&gt;INDEX(InsBase,MATCH(B755,ListaInsumos,0)),"Unidad incompatible",IF(F755="","Insumo sin compras","OK")))))</f>
        <v/>
      </c>
      <c r="I755" s="15"/>
    </row>
    <row r="756" customFormat="false" ht="15" hidden="false" customHeight="false" outlineLevel="0" collapsed="false">
      <c r="A756" s="15"/>
      <c r="B756" s="15"/>
      <c r="C756" s="27"/>
      <c r="D756" s="15"/>
      <c r="E756" s="25" t="str">
        <f aca="true">IF(OR(C756="",D756=""),"",IFERROR(C756*INDEX(UnidadesFactor,MATCH(D756,Unidades,0)),""))</f>
        <v/>
      </c>
      <c r="F756" s="18" t="str">
        <f aca="true">IF(B756="","",IFERROR(INDEX(InsCosto,MATCH(B756,ListaInsumos,0)),""))</f>
        <v/>
      </c>
      <c r="G756" s="19" t="str">
        <f aca="false">IF(AND(A756="",B756=""),"",IF(H756="OK",E756*F756,0))</f>
        <v/>
      </c>
      <c r="H756" s="20" t="str">
        <f aca="true">IF(AND(A756="",B756=""),"",IF(ISNA(MATCH(B756,ListaInsumos,0)),"Insumo no está en Insumos",IF(C756="","Falta cantidad",IF(IFERROR(INDEX(UnidadesBase,MATCH(D756,Unidades,0)),"")&lt;&gt;INDEX(InsBase,MATCH(B756,ListaInsumos,0)),"Unidad incompatible",IF(F756="","Insumo sin compras","OK")))))</f>
        <v/>
      </c>
      <c r="I756" s="15"/>
    </row>
    <row r="757" customFormat="false" ht="15" hidden="false" customHeight="false" outlineLevel="0" collapsed="false">
      <c r="A757" s="15"/>
      <c r="B757" s="15"/>
      <c r="C757" s="27"/>
      <c r="D757" s="15"/>
      <c r="E757" s="25" t="str">
        <f aca="true">IF(OR(C757="",D757=""),"",IFERROR(C757*INDEX(UnidadesFactor,MATCH(D757,Unidades,0)),""))</f>
        <v/>
      </c>
      <c r="F757" s="18" t="str">
        <f aca="true">IF(B757="","",IFERROR(INDEX(InsCosto,MATCH(B757,ListaInsumos,0)),""))</f>
        <v/>
      </c>
      <c r="G757" s="19" t="str">
        <f aca="false">IF(AND(A757="",B757=""),"",IF(H757="OK",E757*F757,0))</f>
        <v/>
      </c>
      <c r="H757" s="20" t="str">
        <f aca="true">IF(AND(A757="",B757=""),"",IF(ISNA(MATCH(B757,ListaInsumos,0)),"Insumo no está en Insumos",IF(C757="","Falta cantidad",IF(IFERROR(INDEX(UnidadesBase,MATCH(D757,Unidades,0)),"")&lt;&gt;INDEX(InsBase,MATCH(B757,ListaInsumos,0)),"Unidad incompatible",IF(F757="","Insumo sin compras","OK")))))</f>
        <v/>
      </c>
      <c r="I757" s="15"/>
    </row>
    <row r="758" customFormat="false" ht="15" hidden="false" customHeight="false" outlineLevel="0" collapsed="false">
      <c r="A758" s="15"/>
      <c r="B758" s="15"/>
      <c r="C758" s="27"/>
      <c r="D758" s="15"/>
      <c r="E758" s="25" t="str">
        <f aca="true">IF(OR(C758="",D758=""),"",IFERROR(C758*INDEX(UnidadesFactor,MATCH(D758,Unidades,0)),""))</f>
        <v/>
      </c>
      <c r="F758" s="18" t="str">
        <f aca="true">IF(B758="","",IFERROR(INDEX(InsCosto,MATCH(B758,ListaInsumos,0)),""))</f>
        <v/>
      </c>
      <c r="G758" s="19" t="str">
        <f aca="false">IF(AND(A758="",B758=""),"",IF(H758="OK",E758*F758,0))</f>
        <v/>
      </c>
      <c r="H758" s="20" t="str">
        <f aca="true">IF(AND(A758="",B758=""),"",IF(ISNA(MATCH(B758,ListaInsumos,0)),"Insumo no está en Insumos",IF(C758="","Falta cantidad",IF(IFERROR(INDEX(UnidadesBase,MATCH(D758,Unidades,0)),"")&lt;&gt;INDEX(InsBase,MATCH(B758,ListaInsumos,0)),"Unidad incompatible",IF(F758="","Insumo sin compras","OK")))))</f>
        <v/>
      </c>
      <c r="I758" s="15"/>
    </row>
    <row r="759" customFormat="false" ht="15" hidden="false" customHeight="false" outlineLevel="0" collapsed="false">
      <c r="A759" s="15"/>
      <c r="B759" s="15"/>
      <c r="C759" s="27"/>
      <c r="D759" s="15"/>
      <c r="E759" s="25" t="str">
        <f aca="true">IF(OR(C759="",D759=""),"",IFERROR(C759*INDEX(UnidadesFactor,MATCH(D759,Unidades,0)),""))</f>
        <v/>
      </c>
      <c r="F759" s="18" t="str">
        <f aca="true">IF(B759="","",IFERROR(INDEX(InsCosto,MATCH(B759,ListaInsumos,0)),""))</f>
        <v/>
      </c>
      <c r="G759" s="19" t="str">
        <f aca="false">IF(AND(A759="",B759=""),"",IF(H759="OK",E759*F759,0))</f>
        <v/>
      </c>
      <c r="H759" s="20" t="str">
        <f aca="true">IF(AND(A759="",B759=""),"",IF(ISNA(MATCH(B759,ListaInsumos,0)),"Insumo no está en Insumos",IF(C759="","Falta cantidad",IF(IFERROR(INDEX(UnidadesBase,MATCH(D759,Unidades,0)),"")&lt;&gt;INDEX(InsBase,MATCH(B759,ListaInsumos,0)),"Unidad incompatible",IF(F759="","Insumo sin compras","OK")))))</f>
        <v/>
      </c>
      <c r="I759" s="15"/>
    </row>
    <row r="760" customFormat="false" ht="15" hidden="false" customHeight="false" outlineLevel="0" collapsed="false">
      <c r="A760" s="15"/>
      <c r="B760" s="15"/>
      <c r="C760" s="27"/>
      <c r="D760" s="15"/>
      <c r="E760" s="25" t="str">
        <f aca="true">IF(OR(C760="",D760=""),"",IFERROR(C760*INDEX(UnidadesFactor,MATCH(D760,Unidades,0)),""))</f>
        <v/>
      </c>
      <c r="F760" s="18" t="str">
        <f aca="true">IF(B760="","",IFERROR(INDEX(InsCosto,MATCH(B760,ListaInsumos,0)),""))</f>
        <v/>
      </c>
      <c r="G760" s="19" t="str">
        <f aca="false">IF(AND(A760="",B760=""),"",IF(H760="OK",E760*F760,0))</f>
        <v/>
      </c>
      <c r="H760" s="20" t="str">
        <f aca="true">IF(AND(A760="",B760=""),"",IF(ISNA(MATCH(B760,ListaInsumos,0)),"Insumo no está en Insumos",IF(C760="","Falta cantidad",IF(IFERROR(INDEX(UnidadesBase,MATCH(D760,Unidades,0)),"")&lt;&gt;INDEX(InsBase,MATCH(B760,ListaInsumos,0)),"Unidad incompatible",IF(F760="","Insumo sin compras","OK")))))</f>
        <v/>
      </c>
      <c r="I760" s="15"/>
    </row>
    <row r="761" customFormat="false" ht="15" hidden="false" customHeight="false" outlineLevel="0" collapsed="false">
      <c r="A761" s="15"/>
      <c r="B761" s="15"/>
      <c r="C761" s="27"/>
      <c r="D761" s="15"/>
      <c r="E761" s="25" t="str">
        <f aca="true">IF(OR(C761="",D761=""),"",IFERROR(C761*INDEX(UnidadesFactor,MATCH(D761,Unidades,0)),""))</f>
        <v/>
      </c>
      <c r="F761" s="18" t="str">
        <f aca="true">IF(B761="","",IFERROR(INDEX(InsCosto,MATCH(B761,ListaInsumos,0)),""))</f>
        <v/>
      </c>
      <c r="G761" s="19" t="str">
        <f aca="false">IF(AND(A761="",B761=""),"",IF(H761="OK",E761*F761,0))</f>
        <v/>
      </c>
      <c r="H761" s="20" t="str">
        <f aca="true">IF(AND(A761="",B761=""),"",IF(ISNA(MATCH(B761,ListaInsumos,0)),"Insumo no está en Insumos",IF(C761="","Falta cantidad",IF(IFERROR(INDEX(UnidadesBase,MATCH(D761,Unidades,0)),"")&lt;&gt;INDEX(InsBase,MATCH(B761,ListaInsumos,0)),"Unidad incompatible",IF(F761="","Insumo sin compras","OK")))))</f>
        <v/>
      </c>
      <c r="I761" s="15"/>
    </row>
    <row r="762" customFormat="false" ht="15" hidden="false" customHeight="false" outlineLevel="0" collapsed="false">
      <c r="A762" s="15"/>
      <c r="B762" s="15"/>
      <c r="C762" s="27"/>
      <c r="D762" s="15"/>
      <c r="E762" s="25" t="str">
        <f aca="true">IF(OR(C762="",D762=""),"",IFERROR(C762*INDEX(UnidadesFactor,MATCH(D762,Unidades,0)),""))</f>
        <v/>
      </c>
      <c r="F762" s="18" t="str">
        <f aca="true">IF(B762="","",IFERROR(INDEX(InsCosto,MATCH(B762,ListaInsumos,0)),""))</f>
        <v/>
      </c>
      <c r="G762" s="19" t="str">
        <f aca="false">IF(AND(A762="",B762=""),"",IF(H762="OK",E762*F762,0))</f>
        <v/>
      </c>
      <c r="H762" s="20" t="str">
        <f aca="true">IF(AND(A762="",B762=""),"",IF(ISNA(MATCH(B762,ListaInsumos,0)),"Insumo no está en Insumos",IF(C762="","Falta cantidad",IF(IFERROR(INDEX(UnidadesBase,MATCH(D762,Unidades,0)),"")&lt;&gt;INDEX(InsBase,MATCH(B762,ListaInsumos,0)),"Unidad incompatible",IF(F762="","Insumo sin compras","OK")))))</f>
        <v/>
      </c>
      <c r="I762" s="15"/>
    </row>
    <row r="763" customFormat="false" ht="15" hidden="false" customHeight="false" outlineLevel="0" collapsed="false">
      <c r="A763" s="15"/>
      <c r="B763" s="15"/>
      <c r="C763" s="27"/>
      <c r="D763" s="15"/>
      <c r="E763" s="25" t="str">
        <f aca="true">IF(OR(C763="",D763=""),"",IFERROR(C763*INDEX(UnidadesFactor,MATCH(D763,Unidades,0)),""))</f>
        <v/>
      </c>
      <c r="F763" s="18" t="str">
        <f aca="true">IF(B763="","",IFERROR(INDEX(InsCosto,MATCH(B763,ListaInsumos,0)),""))</f>
        <v/>
      </c>
      <c r="G763" s="19" t="str">
        <f aca="false">IF(AND(A763="",B763=""),"",IF(H763="OK",E763*F763,0))</f>
        <v/>
      </c>
      <c r="H763" s="20" t="str">
        <f aca="true">IF(AND(A763="",B763=""),"",IF(ISNA(MATCH(B763,ListaInsumos,0)),"Insumo no está en Insumos",IF(C763="","Falta cantidad",IF(IFERROR(INDEX(UnidadesBase,MATCH(D763,Unidades,0)),"")&lt;&gt;INDEX(InsBase,MATCH(B763,ListaInsumos,0)),"Unidad incompatible",IF(F763="","Insumo sin compras","OK")))))</f>
        <v/>
      </c>
      <c r="I763" s="15"/>
    </row>
    <row r="764" customFormat="false" ht="15" hidden="false" customHeight="false" outlineLevel="0" collapsed="false">
      <c r="A764" s="15"/>
      <c r="B764" s="15"/>
      <c r="C764" s="27"/>
      <c r="D764" s="15"/>
      <c r="E764" s="25" t="str">
        <f aca="true">IF(OR(C764="",D764=""),"",IFERROR(C764*INDEX(UnidadesFactor,MATCH(D764,Unidades,0)),""))</f>
        <v/>
      </c>
      <c r="F764" s="18" t="str">
        <f aca="true">IF(B764="","",IFERROR(INDEX(InsCosto,MATCH(B764,ListaInsumos,0)),""))</f>
        <v/>
      </c>
      <c r="G764" s="19" t="str">
        <f aca="false">IF(AND(A764="",B764=""),"",IF(H764="OK",E764*F764,0))</f>
        <v/>
      </c>
      <c r="H764" s="20" t="str">
        <f aca="true">IF(AND(A764="",B764=""),"",IF(ISNA(MATCH(B764,ListaInsumos,0)),"Insumo no está en Insumos",IF(C764="","Falta cantidad",IF(IFERROR(INDEX(UnidadesBase,MATCH(D764,Unidades,0)),"")&lt;&gt;INDEX(InsBase,MATCH(B764,ListaInsumos,0)),"Unidad incompatible",IF(F764="","Insumo sin compras","OK")))))</f>
        <v/>
      </c>
      <c r="I764" s="15"/>
    </row>
    <row r="765" customFormat="false" ht="15" hidden="false" customHeight="false" outlineLevel="0" collapsed="false">
      <c r="A765" s="15"/>
      <c r="B765" s="15"/>
      <c r="C765" s="27"/>
      <c r="D765" s="15"/>
      <c r="E765" s="25" t="str">
        <f aca="true">IF(OR(C765="",D765=""),"",IFERROR(C765*INDEX(UnidadesFactor,MATCH(D765,Unidades,0)),""))</f>
        <v/>
      </c>
      <c r="F765" s="18" t="str">
        <f aca="true">IF(B765="","",IFERROR(INDEX(InsCosto,MATCH(B765,ListaInsumos,0)),""))</f>
        <v/>
      </c>
      <c r="G765" s="19" t="str">
        <f aca="false">IF(AND(A765="",B765=""),"",IF(H765="OK",E765*F765,0))</f>
        <v/>
      </c>
      <c r="H765" s="20" t="str">
        <f aca="true">IF(AND(A765="",B765=""),"",IF(ISNA(MATCH(B765,ListaInsumos,0)),"Insumo no está en Insumos",IF(C765="","Falta cantidad",IF(IFERROR(INDEX(UnidadesBase,MATCH(D765,Unidades,0)),"")&lt;&gt;INDEX(InsBase,MATCH(B765,ListaInsumos,0)),"Unidad incompatible",IF(F765="","Insumo sin compras","OK")))))</f>
        <v/>
      </c>
      <c r="I765" s="15"/>
    </row>
    <row r="766" customFormat="false" ht="15" hidden="false" customHeight="false" outlineLevel="0" collapsed="false">
      <c r="A766" s="15"/>
      <c r="B766" s="15"/>
      <c r="C766" s="27"/>
      <c r="D766" s="15"/>
      <c r="E766" s="25" t="str">
        <f aca="true">IF(OR(C766="",D766=""),"",IFERROR(C766*INDEX(UnidadesFactor,MATCH(D766,Unidades,0)),""))</f>
        <v/>
      </c>
      <c r="F766" s="18" t="str">
        <f aca="true">IF(B766="","",IFERROR(INDEX(InsCosto,MATCH(B766,ListaInsumos,0)),""))</f>
        <v/>
      </c>
      <c r="G766" s="19" t="str">
        <f aca="false">IF(AND(A766="",B766=""),"",IF(H766="OK",E766*F766,0))</f>
        <v/>
      </c>
      <c r="H766" s="20" t="str">
        <f aca="true">IF(AND(A766="",B766=""),"",IF(ISNA(MATCH(B766,ListaInsumos,0)),"Insumo no está en Insumos",IF(C766="","Falta cantidad",IF(IFERROR(INDEX(UnidadesBase,MATCH(D766,Unidades,0)),"")&lt;&gt;INDEX(InsBase,MATCH(B766,ListaInsumos,0)),"Unidad incompatible",IF(F766="","Insumo sin compras","OK")))))</f>
        <v/>
      </c>
      <c r="I766" s="15"/>
    </row>
    <row r="767" customFormat="false" ht="15" hidden="false" customHeight="false" outlineLevel="0" collapsed="false">
      <c r="A767" s="15"/>
      <c r="B767" s="15"/>
      <c r="C767" s="27"/>
      <c r="D767" s="15"/>
      <c r="E767" s="25" t="str">
        <f aca="true">IF(OR(C767="",D767=""),"",IFERROR(C767*INDEX(UnidadesFactor,MATCH(D767,Unidades,0)),""))</f>
        <v/>
      </c>
      <c r="F767" s="18" t="str">
        <f aca="true">IF(B767="","",IFERROR(INDEX(InsCosto,MATCH(B767,ListaInsumos,0)),""))</f>
        <v/>
      </c>
      <c r="G767" s="19" t="str">
        <f aca="false">IF(AND(A767="",B767=""),"",IF(H767="OK",E767*F767,0))</f>
        <v/>
      </c>
      <c r="H767" s="20" t="str">
        <f aca="true">IF(AND(A767="",B767=""),"",IF(ISNA(MATCH(B767,ListaInsumos,0)),"Insumo no está en Insumos",IF(C767="","Falta cantidad",IF(IFERROR(INDEX(UnidadesBase,MATCH(D767,Unidades,0)),"")&lt;&gt;INDEX(InsBase,MATCH(B767,ListaInsumos,0)),"Unidad incompatible",IF(F767="","Insumo sin compras","OK")))))</f>
        <v/>
      </c>
      <c r="I767" s="15"/>
    </row>
    <row r="768" customFormat="false" ht="15" hidden="false" customHeight="false" outlineLevel="0" collapsed="false">
      <c r="A768" s="15"/>
      <c r="B768" s="15"/>
      <c r="C768" s="27"/>
      <c r="D768" s="15"/>
      <c r="E768" s="25" t="str">
        <f aca="true">IF(OR(C768="",D768=""),"",IFERROR(C768*INDEX(UnidadesFactor,MATCH(D768,Unidades,0)),""))</f>
        <v/>
      </c>
      <c r="F768" s="18" t="str">
        <f aca="true">IF(B768="","",IFERROR(INDEX(InsCosto,MATCH(B768,ListaInsumos,0)),""))</f>
        <v/>
      </c>
      <c r="G768" s="19" t="str">
        <f aca="false">IF(AND(A768="",B768=""),"",IF(H768="OK",E768*F768,0))</f>
        <v/>
      </c>
      <c r="H768" s="20" t="str">
        <f aca="true">IF(AND(A768="",B768=""),"",IF(ISNA(MATCH(B768,ListaInsumos,0)),"Insumo no está en Insumos",IF(C768="","Falta cantidad",IF(IFERROR(INDEX(UnidadesBase,MATCH(D768,Unidades,0)),"")&lt;&gt;INDEX(InsBase,MATCH(B768,ListaInsumos,0)),"Unidad incompatible",IF(F768="","Insumo sin compras","OK")))))</f>
        <v/>
      </c>
      <c r="I768" s="15"/>
    </row>
    <row r="769" customFormat="false" ht="15" hidden="false" customHeight="false" outlineLevel="0" collapsed="false">
      <c r="A769" s="15"/>
      <c r="B769" s="15"/>
      <c r="C769" s="27"/>
      <c r="D769" s="15"/>
      <c r="E769" s="25" t="str">
        <f aca="true">IF(OR(C769="",D769=""),"",IFERROR(C769*INDEX(UnidadesFactor,MATCH(D769,Unidades,0)),""))</f>
        <v/>
      </c>
      <c r="F769" s="18" t="str">
        <f aca="true">IF(B769="","",IFERROR(INDEX(InsCosto,MATCH(B769,ListaInsumos,0)),""))</f>
        <v/>
      </c>
      <c r="G769" s="19" t="str">
        <f aca="false">IF(AND(A769="",B769=""),"",IF(H769="OK",E769*F769,0))</f>
        <v/>
      </c>
      <c r="H769" s="20" t="str">
        <f aca="true">IF(AND(A769="",B769=""),"",IF(ISNA(MATCH(B769,ListaInsumos,0)),"Insumo no está en Insumos",IF(C769="","Falta cantidad",IF(IFERROR(INDEX(UnidadesBase,MATCH(D769,Unidades,0)),"")&lt;&gt;INDEX(InsBase,MATCH(B769,ListaInsumos,0)),"Unidad incompatible",IF(F769="","Insumo sin compras","OK")))))</f>
        <v/>
      </c>
      <c r="I769" s="15"/>
    </row>
    <row r="770" customFormat="false" ht="15" hidden="false" customHeight="false" outlineLevel="0" collapsed="false">
      <c r="A770" s="15"/>
      <c r="B770" s="15"/>
      <c r="C770" s="27"/>
      <c r="D770" s="15"/>
      <c r="E770" s="25" t="str">
        <f aca="true">IF(OR(C770="",D770=""),"",IFERROR(C770*INDEX(UnidadesFactor,MATCH(D770,Unidades,0)),""))</f>
        <v/>
      </c>
      <c r="F770" s="18" t="str">
        <f aca="true">IF(B770="","",IFERROR(INDEX(InsCosto,MATCH(B770,ListaInsumos,0)),""))</f>
        <v/>
      </c>
      <c r="G770" s="19" t="str">
        <f aca="false">IF(AND(A770="",B770=""),"",IF(H770="OK",E770*F770,0))</f>
        <v/>
      </c>
      <c r="H770" s="20" t="str">
        <f aca="true">IF(AND(A770="",B770=""),"",IF(ISNA(MATCH(B770,ListaInsumos,0)),"Insumo no está en Insumos",IF(C770="","Falta cantidad",IF(IFERROR(INDEX(UnidadesBase,MATCH(D770,Unidades,0)),"")&lt;&gt;INDEX(InsBase,MATCH(B770,ListaInsumos,0)),"Unidad incompatible",IF(F770="","Insumo sin compras","OK")))))</f>
        <v/>
      </c>
      <c r="I770" s="15"/>
    </row>
    <row r="771" customFormat="false" ht="15" hidden="false" customHeight="false" outlineLevel="0" collapsed="false">
      <c r="A771" s="15"/>
      <c r="B771" s="15"/>
      <c r="C771" s="27"/>
      <c r="D771" s="15"/>
      <c r="E771" s="25" t="str">
        <f aca="true">IF(OR(C771="",D771=""),"",IFERROR(C771*INDEX(UnidadesFactor,MATCH(D771,Unidades,0)),""))</f>
        <v/>
      </c>
      <c r="F771" s="18" t="str">
        <f aca="true">IF(B771="","",IFERROR(INDEX(InsCosto,MATCH(B771,ListaInsumos,0)),""))</f>
        <v/>
      </c>
      <c r="G771" s="19" t="str">
        <f aca="false">IF(AND(A771="",B771=""),"",IF(H771="OK",E771*F771,0))</f>
        <v/>
      </c>
      <c r="H771" s="20" t="str">
        <f aca="true">IF(AND(A771="",B771=""),"",IF(ISNA(MATCH(B771,ListaInsumos,0)),"Insumo no está en Insumos",IF(C771="","Falta cantidad",IF(IFERROR(INDEX(UnidadesBase,MATCH(D771,Unidades,0)),"")&lt;&gt;INDEX(InsBase,MATCH(B771,ListaInsumos,0)),"Unidad incompatible",IF(F771="","Insumo sin compras","OK")))))</f>
        <v/>
      </c>
      <c r="I771" s="15"/>
    </row>
    <row r="772" customFormat="false" ht="15" hidden="false" customHeight="false" outlineLevel="0" collapsed="false">
      <c r="A772" s="15"/>
      <c r="B772" s="15"/>
      <c r="C772" s="27"/>
      <c r="D772" s="15"/>
      <c r="E772" s="25" t="str">
        <f aca="true">IF(OR(C772="",D772=""),"",IFERROR(C772*INDEX(UnidadesFactor,MATCH(D772,Unidades,0)),""))</f>
        <v/>
      </c>
      <c r="F772" s="18" t="str">
        <f aca="true">IF(B772="","",IFERROR(INDEX(InsCosto,MATCH(B772,ListaInsumos,0)),""))</f>
        <v/>
      </c>
      <c r="G772" s="19" t="str">
        <f aca="false">IF(AND(A772="",B772=""),"",IF(H772="OK",E772*F772,0))</f>
        <v/>
      </c>
      <c r="H772" s="20" t="str">
        <f aca="true">IF(AND(A772="",B772=""),"",IF(ISNA(MATCH(B772,ListaInsumos,0)),"Insumo no está en Insumos",IF(C772="","Falta cantidad",IF(IFERROR(INDEX(UnidadesBase,MATCH(D772,Unidades,0)),"")&lt;&gt;INDEX(InsBase,MATCH(B772,ListaInsumos,0)),"Unidad incompatible",IF(F772="","Insumo sin compras","OK")))))</f>
        <v/>
      </c>
      <c r="I772" s="15"/>
    </row>
    <row r="773" customFormat="false" ht="15" hidden="false" customHeight="false" outlineLevel="0" collapsed="false">
      <c r="A773" s="15"/>
      <c r="B773" s="15"/>
      <c r="C773" s="27"/>
      <c r="D773" s="15"/>
      <c r="E773" s="25" t="str">
        <f aca="true">IF(OR(C773="",D773=""),"",IFERROR(C773*INDEX(UnidadesFactor,MATCH(D773,Unidades,0)),""))</f>
        <v/>
      </c>
      <c r="F773" s="18" t="str">
        <f aca="true">IF(B773="","",IFERROR(INDEX(InsCosto,MATCH(B773,ListaInsumos,0)),""))</f>
        <v/>
      </c>
      <c r="G773" s="19" t="str">
        <f aca="false">IF(AND(A773="",B773=""),"",IF(H773="OK",E773*F773,0))</f>
        <v/>
      </c>
      <c r="H773" s="20" t="str">
        <f aca="true">IF(AND(A773="",B773=""),"",IF(ISNA(MATCH(B773,ListaInsumos,0)),"Insumo no está en Insumos",IF(C773="","Falta cantidad",IF(IFERROR(INDEX(UnidadesBase,MATCH(D773,Unidades,0)),"")&lt;&gt;INDEX(InsBase,MATCH(B773,ListaInsumos,0)),"Unidad incompatible",IF(F773="","Insumo sin compras","OK")))))</f>
        <v/>
      </c>
      <c r="I773" s="15"/>
    </row>
    <row r="774" customFormat="false" ht="15" hidden="false" customHeight="false" outlineLevel="0" collapsed="false">
      <c r="A774" s="15"/>
      <c r="B774" s="15"/>
      <c r="C774" s="27"/>
      <c r="D774" s="15"/>
      <c r="E774" s="25" t="str">
        <f aca="true">IF(OR(C774="",D774=""),"",IFERROR(C774*INDEX(UnidadesFactor,MATCH(D774,Unidades,0)),""))</f>
        <v/>
      </c>
      <c r="F774" s="18" t="str">
        <f aca="true">IF(B774="","",IFERROR(INDEX(InsCosto,MATCH(B774,ListaInsumos,0)),""))</f>
        <v/>
      </c>
      <c r="G774" s="19" t="str">
        <f aca="false">IF(AND(A774="",B774=""),"",IF(H774="OK",E774*F774,0))</f>
        <v/>
      </c>
      <c r="H774" s="20" t="str">
        <f aca="true">IF(AND(A774="",B774=""),"",IF(ISNA(MATCH(B774,ListaInsumos,0)),"Insumo no está en Insumos",IF(C774="","Falta cantidad",IF(IFERROR(INDEX(UnidadesBase,MATCH(D774,Unidades,0)),"")&lt;&gt;INDEX(InsBase,MATCH(B774,ListaInsumos,0)),"Unidad incompatible",IF(F774="","Insumo sin compras","OK")))))</f>
        <v/>
      </c>
      <c r="I774" s="15"/>
    </row>
    <row r="775" customFormat="false" ht="15" hidden="false" customHeight="false" outlineLevel="0" collapsed="false">
      <c r="A775" s="15"/>
      <c r="B775" s="15"/>
      <c r="C775" s="27"/>
      <c r="D775" s="15"/>
      <c r="E775" s="25" t="str">
        <f aca="true">IF(OR(C775="",D775=""),"",IFERROR(C775*INDEX(UnidadesFactor,MATCH(D775,Unidades,0)),""))</f>
        <v/>
      </c>
      <c r="F775" s="18" t="str">
        <f aca="true">IF(B775="","",IFERROR(INDEX(InsCosto,MATCH(B775,ListaInsumos,0)),""))</f>
        <v/>
      </c>
      <c r="G775" s="19" t="str">
        <f aca="false">IF(AND(A775="",B775=""),"",IF(H775="OK",E775*F775,0))</f>
        <v/>
      </c>
      <c r="H775" s="20" t="str">
        <f aca="true">IF(AND(A775="",B775=""),"",IF(ISNA(MATCH(B775,ListaInsumos,0)),"Insumo no está en Insumos",IF(C775="","Falta cantidad",IF(IFERROR(INDEX(UnidadesBase,MATCH(D775,Unidades,0)),"")&lt;&gt;INDEX(InsBase,MATCH(B775,ListaInsumos,0)),"Unidad incompatible",IF(F775="","Insumo sin compras","OK")))))</f>
        <v/>
      </c>
      <c r="I775" s="15"/>
    </row>
    <row r="776" customFormat="false" ht="15" hidden="false" customHeight="false" outlineLevel="0" collapsed="false">
      <c r="A776" s="15"/>
      <c r="B776" s="15"/>
      <c r="C776" s="27"/>
      <c r="D776" s="15"/>
      <c r="E776" s="25" t="str">
        <f aca="true">IF(OR(C776="",D776=""),"",IFERROR(C776*INDEX(UnidadesFactor,MATCH(D776,Unidades,0)),""))</f>
        <v/>
      </c>
      <c r="F776" s="18" t="str">
        <f aca="true">IF(B776="","",IFERROR(INDEX(InsCosto,MATCH(B776,ListaInsumos,0)),""))</f>
        <v/>
      </c>
      <c r="G776" s="19" t="str">
        <f aca="false">IF(AND(A776="",B776=""),"",IF(H776="OK",E776*F776,0))</f>
        <v/>
      </c>
      <c r="H776" s="20" t="str">
        <f aca="true">IF(AND(A776="",B776=""),"",IF(ISNA(MATCH(B776,ListaInsumos,0)),"Insumo no está en Insumos",IF(C776="","Falta cantidad",IF(IFERROR(INDEX(UnidadesBase,MATCH(D776,Unidades,0)),"")&lt;&gt;INDEX(InsBase,MATCH(B776,ListaInsumos,0)),"Unidad incompatible",IF(F776="","Insumo sin compras","OK")))))</f>
        <v/>
      </c>
      <c r="I776" s="15"/>
    </row>
    <row r="777" customFormat="false" ht="15" hidden="false" customHeight="false" outlineLevel="0" collapsed="false">
      <c r="A777" s="15"/>
      <c r="B777" s="15"/>
      <c r="C777" s="27"/>
      <c r="D777" s="15"/>
      <c r="E777" s="25" t="str">
        <f aca="true">IF(OR(C777="",D777=""),"",IFERROR(C777*INDEX(UnidadesFactor,MATCH(D777,Unidades,0)),""))</f>
        <v/>
      </c>
      <c r="F777" s="18" t="str">
        <f aca="true">IF(B777="","",IFERROR(INDEX(InsCosto,MATCH(B777,ListaInsumos,0)),""))</f>
        <v/>
      </c>
      <c r="G777" s="19" t="str">
        <f aca="false">IF(AND(A777="",B777=""),"",IF(H777="OK",E777*F777,0))</f>
        <v/>
      </c>
      <c r="H777" s="20" t="str">
        <f aca="true">IF(AND(A777="",B777=""),"",IF(ISNA(MATCH(B777,ListaInsumos,0)),"Insumo no está en Insumos",IF(C777="","Falta cantidad",IF(IFERROR(INDEX(UnidadesBase,MATCH(D777,Unidades,0)),"")&lt;&gt;INDEX(InsBase,MATCH(B777,ListaInsumos,0)),"Unidad incompatible",IF(F777="","Insumo sin compras","OK")))))</f>
        <v/>
      </c>
      <c r="I777" s="15"/>
    </row>
    <row r="778" customFormat="false" ht="15" hidden="false" customHeight="false" outlineLevel="0" collapsed="false">
      <c r="A778" s="15"/>
      <c r="B778" s="15"/>
      <c r="C778" s="27"/>
      <c r="D778" s="15"/>
      <c r="E778" s="25" t="str">
        <f aca="true">IF(OR(C778="",D778=""),"",IFERROR(C778*INDEX(UnidadesFactor,MATCH(D778,Unidades,0)),""))</f>
        <v/>
      </c>
      <c r="F778" s="18" t="str">
        <f aca="true">IF(B778="","",IFERROR(INDEX(InsCosto,MATCH(B778,ListaInsumos,0)),""))</f>
        <v/>
      </c>
      <c r="G778" s="19" t="str">
        <f aca="false">IF(AND(A778="",B778=""),"",IF(H778="OK",E778*F778,0))</f>
        <v/>
      </c>
      <c r="H778" s="20" t="str">
        <f aca="true">IF(AND(A778="",B778=""),"",IF(ISNA(MATCH(B778,ListaInsumos,0)),"Insumo no está en Insumos",IF(C778="","Falta cantidad",IF(IFERROR(INDEX(UnidadesBase,MATCH(D778,Unidades,0)),"")&lt;&gt;INDEX(InsBase,MATCH(B778,ListaInsumos,0)),"Unidad incompatible",IF(F778="","Insumo sin compras","OK")))))</f>
        <v/>
      </c>
      <c r="I778" s="15"/>
    </row>
    <row r="779" customFormat="false" ht="15" hidden="false" customHeight="false" outlineLevel="0" collapsed="false">
      <c r="A779" s="15"/>
      <c r="B779" s="15"/>
      <c r="C779" s="27"/>
      <c r="D779" s="15"/>
      <c r="E779" s="25" t="str">
        <f aca="true">IF(OR(C779="",D779=""),"",IFERROR(C779*INDEX(UnidadesFactor,MATCH(D779,Unidades,0)),""))</f>
        <v/>
      </c>
      <c r="F779" s="18" t="str">
        <f aca="true">IF(B779="","",IFERROR(INDEX(InsCosto,MATCH(B779,ListaInsumos,0)),""))</f>
        <v/>
      </c>
      <c r="G779" s="19" t="str">
        <f aca="false">IF(AND(A779="",B779=""),"",IF(H779="OK",E779*F779,0))</f>
        <v/>
      </c>
      <c r="H779" s="20" t="str">
        <f aca="true">IF(AND(A779="",B779=""),"",IF(ISNA(MATCH(B779,ListaInsumos,0)),"Insumo no está en Insumos",IF(C779="","Falta cantidad",IF(IFERROR(INDEX(UnidadesBase,MATCH(D779,Unidades,0)),"")&lt;&gt;INDEX(InsBase,MATCH(B779,ListaInsumos,0)),"Unidad incompatible",IF(F779="","Insumo sin compras","OK")))))</f>
        <v/>
      </c>
      <c r="I779" s="15"/>
    </row>
    <row r="780" customFormat="false" ht="15" hidden="false" customHeight="false" outlineLevel="0" collapsed="false">
      <c r="A780" s="15"/>
      <c r="B780" s="15"/>
      <c r="C780" s="27"/>
      <c r="D780" s="15"/>
      <c r="E780" s="25" t="str">
        <f aca="true">IF(OR(C780="",D780=""),"",IFERROR(C780*INDEX(UnidadesFactor,MATCH(D780,Unidades,0)),""))</f>
        <v/>
      </c>
      <c r="F780" s="18" t="str">
        <f aca="true">IF(B780="","",IFERROR(INDEX(InsCosto,MATCH(B780,ListaInsumos,0)),""))</f>
        <v/>
      </c>
      <c r="G780" s="19" t="str">
        <f aca="false">IF(AND(A780="",B780=""),"",IF(H780="OK",E780*F780,0))</f>
        <v/>
      </c>
      <c r="H780" s="20" t="str">
        <f aca="true">IF(AND(A780="",B780=""),"",IF(ISNA(MATCH(B780,ListaInsumos,0)),"Insumo no está en Insumos",IF(C780="","Falta cantidad",IF(IFERROR(INDEX(UnidadesBase,MATCH(D780,Unidades,0)),"")&lt;&gt;INDEX(InsBase,MATCH(B780,ListaInsumos,0)),"Unidad incompatible",IF(F780="","Insumo sin compras","OK")))))</f>
        <v/>
      </c>
      <c r="I780" s="15"/>
    </row>
    <row r="781" customFormat="false" ht="15" hidden="false" customHeight="false" outlineLevel="0" collapsed="false">
      <c r="A781" s="15"/>
      <c r="B781" s="15"/>
      <c r="C781" s="27"/>
      <c r="D781" s="15"/>
      <c r="E781" s="25" t="str">
        <f aca="true">IF(OR(C781="",D781=""),"",IFERROR(C781*INDEX(UnidadesFactor,MATCH(D781,Unidades,0)),""))</f>
        <v/>
      </c>
      <c r="F781" s="18" t="str">
        <f aca="true">IF(B781="","",IFERROR(INDEX(InsCosto,MATCH(B781,ListaInsumos,0)),""))</f>
        <v/>
      </c>
      <c r="G781" s="19" t="str">
        <f aca="false">IF(AND(A781="",B781=""),"",IF(H781="OK",E781*F781,0))</f>
        <v/>
      </c>
      <c r="H781" s="20" t="str">
        <f aca="true">IF(AND(A781="",B781=""),"",IF(ISNA(MATCH(B781,ListaInsumos,0)),"Insumo no está en Insumos",IF(C781="","Falta cantidad",IF(IFERROR(INDEX(UnidadesBase,MATCH(D781,Unidades,0)),"")&lt;&gt;INDEX(InsBase,MATCH(B781,ListaInsumos,0)),"Unidad incompatible",IF(F781="","Insumo sin compras","OK")))))</f>
        <v/>
      </c>
      <c r="I781" s="15"/>
    </row>
    <row r="782" customFormat="false" ht="15" hidden="false" customHeight="false" outlineLevel="0" collapsed="false">
      <c r="A782" s="15"/>
      <c r="B782" s="15"/>
      <c r="C782" s="27"/>
      <c r="D782" s="15"/>
      <c r="E782" s="25" t="str">
        <f aca="true">IF(OR(C782="",D782=""),"",IFERROR(C782*INDEX(UnidadesFactor,MATCH(D782,Unidades,0)),""))</f>
        <v/>
      </c>
      <c r="F782" s="18" t="str">
        <f aca="true">IF(B782="","",IFERROR(INDEX(InsCosto,MATCH(B782,ListaInsumos,0)),""))</f>
        <v/>
      </c>
      <c r="G782" s="19" t="str">
        <f aca="false">IF(AND(A782="",B782=""),"",IF(H782="OK",E782*F782,0))</f>
        <v/>
      </c>
      <c r="H782" s="20" t="str">
        <f aca="true">IF(AND(A782="",B782=""),"",IF(ISNA(MATCH(B782,ListaInsumos,0)),"Insumo no está en Insumos",IF(C782="","Falta cantidad",IF(IFERROR(INDEX(UnidadesBase,MATCH(D782,Unidades,0)),"")&lt;&gt;INDEX(InsBase,MATCH(B782,ListaInsumos,0)),"Unidad incompatible",IF(F782="","Insumo sin compras","OK")))))</f>
        <v/>
      </c>
      <c r="I782" s="15"/>
    </row>
    <row r="783" customFormat="false" ht="15" hidden="false" customHeight="false" outlineLevel="0" collapsed="false">
      <c r="A783" s="15"/>
      <c r="B783" s="15"/>
      <c r="C783" s="27"/>
      <c r="D783" s="15"/>
      <c r="E783" s="25" t="str">
        <f aca="true">IF(OR(C783="",D783=""),"",IFERROR(C783*INDEX(UnidadesFactor,MATCH(D783,Unidades,0)),""))</f>
        <v/>
      </c>
      <c r="F783" s="18" t="str">
        <f aca="true">IF(B783="","",IFERROR(INDEX(InsCosto,MATCH(B783,ListaInsumos,0)),""))</f>
        <v/>
      </c>
      <c r="G783" s="19" t="str">
        <f aca="false">IF(AND(A783="",B783=""),"",IF(H783="OK",E783*F783,0))</f>
        <v/>
      </c>
      <c r="H783" s="20" t="str">
        <f aca="true">IF(AND(A783="",B783=""),"",IF(ISNA(MATCH(B783,ListaInsumos,0)),"Insumo no está en Insumos",IF(C783="","Falta cantidad",IF(IFERROR(INDEX(UnidadesBase,MATCH(D783,Unidades,0)),"")&lt;&gt;INDEX(InsBase,MATCH(B783,ListaInsumos,0)),"Unidad incompatible",IF(F783="","Insumo sin compras","OK")))))</f>
        <v/>
      </c>
      <c r="I783" s="15"/>
    </row>
    <row r="784" customFormat="false" ht="15" hidden="false" customHeight="false" outlineLevel="0" collapsed="false">
      <c r="A784" s="15"/>
      <c r="B784" s="15"/>
      <c r="C784" s="27"/>
      <c r="D784" s="15"/>
      <c r="E784" s="25" t="str">
        <f aca="true">IF(OR(C784="",D784=""),"",IFERROR(C784*INDEX(UnidadesFactor,MATCH(D784,Unidades,0)),""))</f>
        <v/>
      </c>
      <c r="F784" s="18" t="str">
        <f aca="true">IF(B784="","",IFERROR(INDEX(InsCosto,MATCH(B784,ListaInsumos,0)),""))</f>
        <v/>
      </c>
      <c r="G784" s="19" t="str">
        <f aca="false">IF(AND(A784="",B784=""),"",IF(H784="OK",E784*F784,0))</f>
        <v/>
      </c>
      <c r="H784" s="20" t="str">
        <f aca="true">IF(AND(A784="",B784=""),"",IF(ISNA(MATCH(B784,ListaInsumos,0)),"Insumo no está en Insumos",IF(C784="","Falta cantidad",IF(IFERROR(INDEX(UnidadesBase,MATCH(D784,Unidades,0)),"")&lt;&gt;INDEX(InsBase,MATCH(B784,ListaInsumos,0)),"Unidad incompatible",IF(F784="","Insumo sin compras","OK")))))</f>
        <v/>
      </c>
      <c r="I784" s="15"/>
    </row>
    <row r="785" customFormat="false" ht="15" hidden="false" customHeight="false" outlineLevel="0" collapsed="false">
      <c r="A785" s="15"/>
      <c r="B785" s="15"/>
      <c r="C785" s="27"/>
      <c r="D785" s="15"/>
      <c r="E785" s="25" t="str">
        <f aca="true">IF(OR(C785="",D785=""),"",IFERROR(C785*INDEX(UnidadesFactor,MATCH(D785,Unidades,0)),""))</f>
        <v/>
      </c>
      <c r="F785" s="18" t="str">
        <f aca="true">IF(B785="","",IFERROR(INDEX(InsCosto,MATCH(B785,ListaInsumos,0)),""))</f>
        <v/>
      </c>
      <c r="G785" s="19" t="str">
        <f aca="false">IF(AND(A785="",B785=""),"",IF(H785="OK",E785*F785,0))</f>
        <v/>
      </c>
      <c r="H785" s="20" t="str">
        <f aca="true">IF(AND(A785="",B785=""),"",IF(ISNA(MATCH(B785,ListaInsumos,0)),"Insumo no está en Insumos",IF(C785="","Falta cantidad",IF(IFERROR(INDEX(UnidadesBase,MATCH(D785,Unidades,0)),"")&lt;&gt;INDEX(InsBase,MATCH(B785,ListaInsumos,0)),"Unidad incompatible",IF(F785="","Insumo sin compras","OK")))))</f>
        <v/>
      </c>
      <c r="I785" s="15"/>
    </row>
    <row r="786" customFormat="false" ht="15" hidden="false" customHeight="false" outlineLevel="0" collapsed="false">
      <c r="A786" s="15"/>
      <c r="B786" s="15"/>
      <c r="C786" s="27"/>
      <c r="D786" s="15"/>
      <c r="E786" s="25" t="str">
        <f aca="true">IF(OR(C786="",D786=""),"",IFERROR(C786*INDEX(UnidadesFactor,MATCH(D786,Unidades,0)),""))</f>
        <v/>
      </c>
      <c r="F786" s="18" t="str">
        <f aca="true">IF(B786="","",IFERROR(INDEX(InsCosto,MATCH(B786,ListaInsumos,0)),""))</f>
        <v/>
      </c>
      <c r="G786" s="19" t="str">
        <f aca="false">IF(AND(A786="",B786=""),"",IF(H786="OK",E786*F786,0))</f>
        <v/>
      </c>
      <c r="H786" s="20" t="str">
        <f aca="true">IF(AND(A786="",B786=""),"",IF(ISNA(MATCH(B786,ListaInsumos,0)),"Insumo no está en Insumos",IF(C786="","Falta cantidad",IF(IFERROR(INDEX(UnidadesBase,MATCH(D786,Unidades,0)),"")&lt;&gt;INDEX(InsBase,MATCH(B786,ListaInsumos,0)),"Unidad incompatible",IF(F786="","Insumo sin compras","OK")))))</f>
        <v/>
      </c>
      <c r="I786" s="15"/>
    </row>
    <row r="787" customFormat="false" ht="15" hidden="false" customHeight="false" outlineLevel="0" collapsed="false">
      <c r="A787" s="15"/>
      <c r="B787" s="15"/>
      <c r="C787" s="27"/>
      <c r="D787" s="15"/>
      <c r="E787" s="25" t="str">
        <f aca="true">IF(OR(C787="",D787=""),"",IFERROR(C787*INDEX(UnidadesFactor,MATCH(D787,Unidades,0)),""))</f>
        <v/>
      </c>
      <c r="F787" s="18" t="str">
        <f aca="true">IF(B787="","",IFERROR(INDEX(InsCosto,MATCH(B787,ListaInsumos,0)),""))</f>
        <v/>
      </c>
      <c r="G787" s="19" t="str">
        <f aca="false">IF(AND(A787="",B787=""),"",IF(H787="OK",E787*F787,0))</f>
        <v/>
      </c>
      <c r="H787" s="20" t="str">
        <f aca="true">IF(AND(A787="",B787=""),"",IF(ISNA(MATCH(B787,ListaInsumos,0)),"Insumo no está en Insumos",IF(C787="","Falta cantidad",IF(IFERROR(INDEX(UnidadesBase,MATCH(D787,Unidades,0)),"")&lt;&gt;INDEX(InsBase,MATCH(B787,ListaInsumos,0)),"Unidad incompatible",IF(F787="","Insumo sin compras","OK")))))</f>
        <v/>
      </c>
      <c r="I787" s="15"/>
    </row>
    <row r="788" customFormat="false" ht="15" hidden="false" customHeight="false" outlineLevel="0" collapsed="false">
      <c r="A788" s="15"/>
      <c r="B788" s="15"/>
      <c r="C788" s="27"/>
      <c r="D788" s="15"/>
      <c r="E788" s="25" t="str">
        <f aca="true">IF(OR(C788="",D788=""),"",IFERROR(C788*INDEX(UnidadesFactor,MATCH(D788,Unidades,0)),""))</f>
        <v/>
      </c>
      <c r="F788" s="18" t="str">
        <f aca="true">IF(B788="","",IFERROR(INDEX(InsCosto,MATCH(B788,ListaInsumos,0)),""))</f>
        <v/>
      </c>
      <c r="G788" s="19" t="str">
        <f aca="false">IF(AND(A788="",B788=""),"",IF(H788="OK",E788*F788,0))</f>
        <v/>
      </c>
      <c r="H788" s="20" t="str">
        <f aca="true">IF(AND(A788="",B788=""),"",IF(ISNA(MATCH(B788,ListaInsumos,0)),"Insumo no está en Insumos",IF(C788="","Falta cantidad",IF(IFERROR(INDEX(UnidadesBase,MATCH(D788,Unidades,0)),"")&lt;&gt;INDEX(InsBase,MATCH(B788,ListaInsumos,0)),"Unidad incompatible",IF(F788="","Insumo sin compras","OK")))))</f>
        <v/>
      </c>
      <c r="I788" s="15"/>
    </row>
    <row r="789" customFormat="false" ht="15" hidden="false" customHeight="false" outlineLevel="0" collapsed="false">
      <c r="A789" s="15"/>
      <c r="B789" s="15"/>
      <c r="C789" s="27"/>
      <c r="D789" s="15"/>
      <c r="E789" s="25" t="str">
        <f aca="true">IF(OR(C789="",D789=""),"",IFERROR(C789*INDEX(UnidadesFactor,MATCH(D789,Unidades,0)),""))</f>
        <v/>
      </c>
      <c r="F789" s="18" t="str">
        <f aca="true">IF(B789="","",IFERROR(INDEX(InsCosto,MATCH(B789,ListaInsumos,0)),""))</f>
        <v/>
      </c>
      <c r="G789" s="19" t="str">
        <f aca="false">IF(AND(A789="",B789=""),"",IF(H789="OK",E789*F789,0))</f>
        <v/>
      </c>
      <c r="H789" s="20" t="str">
        <f aca="true">IF(AND(A789="",B789=""),"",IF(ISNA(MATCH(B789,ListaInsumos,0)),"Insumo no está en Insumos",IF(C789="","Falta cantidad",IF(IFERROR(INDEX(UnidadesBase,MATCH(D789,Unidades,0)),"")&lt;&gt;INDEX(InsBase,MATCH(B789,ListaInsumos,0)),"Unidad incompatible",IF(F789="","Insumo sin compras","OK")))))</f>
        <v/>
      </c>
      <c r="I789" s="15"/>
    </row>
    <row r="790" customFormat="false" ht="15" hidden="false" customHeight="false" outlineLevel="0" collapsed="false">
      <c r="A790" s="15"/>
      <c r="B790" s="15"/>
      <c r="C790" s="27"/>
      <c r="D790" s="15"/>
      <c r="E790" s="25" t="str">
        <f aca="true">IF(OR(C790="",D790=""),"",IFERROR(C790*INDEX(UnidadesFactor,MATCH(D790,Unidades,0)),""))</f>
        <v/>
      </c>
      <c r="F790" s="18" t="str">
        <f aca="true">IF(B790="","",IFERROR(INDEX(InsCosto,MATCH(B790,ListaInsumos,0)),""))</f>
        <v/>
      </c>
      <c r="G790" s="19" t="str">
        <f aca="false">IF(AND(A790="",B790=""),"",IF(H790="OK",E790*F790,0))</f>
        <v/>
      </c>
      <c r="H790" s="20" t="str">
        <f aca="true">IF(AND(A790="",B790=""),"",IF(ISNA(MATCH(B790,ListaInsumos,0)),"Insumo no está en Insumos",IF(C790="","Falta cantidad",IF(IFERROR(INDEX(UnidadesBase,MATCH(D790,Unidades,0)),"")&lt;&gt;INDEX(InsBase,MATCH(B790,ListaInsumos,0)),"Unidad incompatible",IF(F790="","Insumo sin compras","OK")))))</f>
        <v/>
      </c>
      <c r="I790" s="15"/>
    </row>
    <row r="791" customFormat="false" ht="15" hidden="false" customHeight="false" outlineLevel="0" collapsed="false">
      <c r="A791" s="15"/>
      <c r="B791" s="15"/>
      <c r="C791" s="27"/>
      <c r="D791" s="15"/>
      <c r="E791" s="25" t="str">
        <f aca="true">IF(OR(C791="",D791=""),"",IFERROR(C791*INDEX(UnidadesFactor,MATCH(D791,Unidades,0)),""))</f>
        <v/>
      </c>
      <c r="F791" s="18" t="str">
        <f aca="true">IF(B791="","",IFERROR(INDEX(InsCosto,MATCH(B791,ListaInsumos,0)),""))</f>
        <v/>
      </c>
      <c r="G791" s="19" t="str">
        <f aca="false">IF(AND(A791="",B791=""),"",IF(H791="OK",E791*F791,0))</f>
        <v/>
      </c>
      <c r="H791" s="20" t="str">
        <f aca="true">IF(AND(A791="",B791=""),"",IF(ISNA(MATCH(B791,ListaInsumos,0)),"Insumo no está en Insumos",IF(C791="","Falta cantidad",IF(IFERROR(INDEX(UnidadesBase,MATCH(D791,Unidades,0)),"")&lt;&gt;INDEX(InsBase,MATCH(B791,ListaInsumos,0)),"Unidad incompatible",IF(F791="","Insumo sin compras","OK")))))</f>
        <v/>
      </c>
      <c r="I791" s="15"/>
    </row>
    <row r="792" customFormat="false" ht="15" hidden="false" customHeight="false" outlineLevel="0" collapsed="false">
      <c r="A792" s="15"/>
      <c r="B792" s="15"/>
      <c r="C792" s="27"/>
      <c r="D792" s="15"/>
      <c r="E792" s="25" t="str">
        <f aca="true">IF(OR(C792="",D792=""),"",IFERROR(C792*INDEX(UnidadesFactor,MATCH(D792,Unidades,0)),""))</f>
        <v/>
      </c>
      <c r="F792" s="18" t="str">
        <f aca="true">IF(B792="","",IFERROR(INDEX(InsCosto,MATCH(B792,ListaInsumos,0)),""))</f>
        <v/>
      </c>
      <c r="G792" s="19" t="str">
        <f aca="false">IF(AND(A792="",B792=""),"",IF(H792="OK",E792*F792,0))</f>
        <v/>
      </c>
      <c r="H792" s="20" t="str">
        <f aca="true">IF(AND(A792="",B792=""),"",IF(ISNA(MATCH(B792,ListaInsumos,0)),"Insumo no está en Insumos",IF(C792="","Falta cantidad",IF(IFERROR(INDEX(UnidadesBase,MATCH(D792,Unidades,0)),"")&lt;&gt;INDEX(InsBase,MATCH(B792,ListaInsumos,0)),"Unidad incompatible",IF(F792="","Insumo sin compras","OK")))))</f>
        <v/>
      </c>
      <c r="I792" s="15"/>
    </row>
    <row r="793" customFormat="false" ht="15" hidden="false" customHeight="false" outlineLevel="0" collapsed="false">
      <c r="A793" s="15"/>
      <c r="B793" s="15"/>
      <c r="C793" s="27"/>
      <c r="D793" s="15"/>
      <c r="E793" s="25" t="str">
        <f aca="true">IF(OR(C793="",D793=""),"",IFERROR(C793*INDEX(UnidadesFactor,MATCH(D793,Unidades,0)),""))</f>
        <v/>
      </c>
      <c r="F793" s="18" t="str">
        <f aca="true">IF(B793="","",IFERROR(INDEX(InsCosto,MATCH(B793,ListaInsumos,0)),""))</f>
        <v/>
      </c>
      <c r="G793" s="19" t="str">
        <f aca="false">IF(AND(A793="",B793=""),"",IF(H793="OK",E793*F793,0))</f>
        <v/>
      </c>
      <c r="H793" s="20" t="str">
        <f aca="true">IF(AND(A793="",B793=""),"",IF(ISNA(MATCH(B793,ListaInsumos,0)),"Insumo no está en Insumos",IF(C793="","Falta cantidad",IF(IFERROR(INDEX(UnidadesBase,MATCH(D793,Unidades,0)),"")&lt;&gt;INDEX(InsBase,MATCH(B793,ListaInsumos,0)),"Unidad incompatible",IF(F793="","Insumo sin compras","OK")))))</f>
        <v/>
      </c>
      <c r="I793" s="15"/>
    </row>
    <row r="794" customFormat="false" ht="15" hidden="false" customHeight="false" outlineLevel="0" collapsed="false">
      <c r="A794" s="15"/>
      <c r="B794" s="15"/>
      <c r="C794" s="27"/>
      <c r="D794" s="15"/>
      <c r="E794" s="25" t="str">
        <f aca="true">IF(OR(C794="",D794=""),"",IFERROR(C794*INDEX(UnidadesFactor,MATCH(D794,Unidades,0)),""))</f>
        <v/>
      </c>
      <c r="F794" s="18" t="str">
        <f aca="true">IF(B794="","",IFERROR(INDEX(InsCosto,MATCH(B794,ListaInsumos,0)),""))</f>
        <v/>
      </c>
      <c r="G794" s="19" t="str">
        <f aca="false">IF(AND(A794="",B794=""),"",IF(H794="OK",E794*F794,0))</f>
        <v/>
      </c>
      <c r="H794" s="20" t="str">
        <f aca="true">IF(AND(A794="",B794=""),"",IF(ISNA(MATCH(B794,ListaInsumos,0)),"Insumo no está en Insumos",IF(C794="","Falta cantidad",IF(IFERROR(INDEX(UnidadesBase,MATCH(D794,Unidades,0)),"")&lt;&gt;INDEX(InsBase,MATCH(B794,ListaInsumos,0)),"Unidad incompatible",IF(F794="","Insumo sin compras","OK")))))</f>
        <v/>
      </c>
      <c r="I794" s="15"/>
    </row>
    <row r="795" customFormat="false" ht="15" hidden="false" customHeight="false" outlineLevel="0" collapsed="false">
      <c r="A795" s="15"/>
      <c r="B795" s="15"/>
      <c r="C795" s="27"/>
      <c r="D795" s="15"/>
      <c r="E795" s="25" t="str">
        <f aca="true">IF(OR(C795="",D795=""),"",IFERROR(C795*INDEX(UnidadesFactor,MATCH(D795,Unidades,0)),""))</f>
        <v/>
      </c>
      <c r="F795" s="18" t="str">
        <f aca="true">IF(B795="","",IFERROR(INDEX(InsCosto,MATCH(B795,ListaInsumos,0)),""))</f>
        <v/>
      </c>
      <c r="G795" s="19" t="str">
        <f aca="false">IF(AND(A795="",B795=""),"",IF(H795="OK",E795*F795,0))</f>
        <v/>
      </c>
      <c r="H795" s="20" t="str">
        <f aca="true">IF(AND(A795="",B795=""),"",IF(ISNA(MATCH(B795,ListaInsumos,0)),"Insumo no está en Insumos",IF(C795="","Falta cantidad",IF(IFERROR(INDEX(UnidadesBase,MATCH(D795,Unidades,0)),"")&lt;&gt;INDEX(InsBase,MATCH(B795,ListaInsumos,0)),"Unidad incompatible",IF(F795="","Insumo sin compras","OK")))))</f>
        <v/>
      </c>
      <c r="I795" s="15"/>
    </row>
    <row r="796" customFormat="false" ht="15" hidden="false" customHeight="false" outlineLevel="0" collapsed="false">
      <c r="A796" s="15"/>
      <c r="B796" s="15"/>
      <c r="C796" s="27"/>
      <c r="D796" s="15"/>
      <c r="E796" s="25" t="str">
        <f aca="true">IF(OR(C796="",D796=""),"",IFERROR(C796*INDEX(UnidadesFactor,MATCH(D796,Unidades,0)),""))</f>
        <v/>
      </c>
      <c r="F796" s="18" t="str">
        <f aca="true">IF(B796="","",IFERROR(INDEX(InsCosto,MATCH(B796,ListaInsumos,0)),""))</f>
        <v/>
      </c>
      <c r="G796" s="19" t="str">
        <f aca="false">IF(AND(A796="",B796=""),"",IF(H796="OK",E796*F796,0))</f>
        <v/>
      </c>
      <c r="H796" s="20" t="str">
        <f aca="true">IF(AND(A796="",B796=""),"",IF(ISNA(MATCH(B796,ListaInsumos,0)),"Insumo no está en Insumos",IF(C796="","Falta cantidad",IF(IFERROR(INDEX(UnidadesBase,MATCH(D796,Unidades,0)),"")&lt;&gt;INDEX(InsBase,MATCH(B796,ListaInsumos,0)),"Unidad incompatible",IF(F796="","Insumo sin compras","OK")))))</f>
        <v/>
      </c>
      <c r="I796" s="15"/>
    </row>
    <row r="797" customFormat="false" ht="15" hidden="false" customHeight="false" outlineLevel="0" collapsed="false">
      <c r="A797" s="15"/>
      <c r="B797" s="15"/>
      <c r="C797" s="27"/>
      <c r="D797" s="15"/>
      <c r="E797" s="25" t="str">
        <f aca="true">IF(OR(C797="",D797=""),"",IFERROR(C797*INDEX(UnidadesFactor,MATCH(D797,Unidades,0)),""))</f>
        <v/>
      </c>
      <c r="F797" s="18" t="str">
        <f aca="true">IF(B797="","",IFERROR(INDEX(InsCosto,MATCH(B797,ListaInsumos,0)),""))</f>
        <v/>
      </c>
      <c r="G797" s="19" t="str">
        <f aca="false">IF(AND(A797="",B797=""),"",IF(H797="OK",E797*F797,0))</f>
        <v/>
      </c>
      <c r="H797" s="20" t="str">
        <f aca="true">IF(AND(A797="",B797=""),"",IF(ISNA(MATCH(B797,ListaInsumos,0)),"Insumo no está en Insumos",IF(C797="","Falta cantidad",IF(IFERROR(INDEX(UnidadesBase,MATCH(D797,Unidades,0)),"")&lt;&gt;INDEX(InsBase,MATCH(B797,ListaInsumos,0)),"Unidad incompatible",IF(F797="","Insumo sin compras","OK")))))</f>
        <v/>
      </c>
      <c r="I797" s="15"/>
    </row>
    <row r="798" customFormat="false" ht="15" hidden="false" customHeight="false" outlineLevel="0" collapsed="false">
      <c r="A798" s="15"/>
      <c r="B798" s="15"/>
      <c r="C798" s="27"/>
      <c r="D798" s="15"/>
      <c r="E798" s="25" t="str">
        <f aca="true">IF(OR(C798="",D798=""),"",IFERROR(C798*INDEX(UnidadesFactor,MATCH(D798,Unidades,0)),""))</f>
        <v/>
      </c>
      <c r="F798" s="18" t="str">
        <f aca="true">IF(B798="","",IFERROR(INDEX(InsCosto,MATCH(B798,ListaInsumos,0)),""))</f>
        <v/>
      </c>
      <c r="G798" s="19" t="str">
        <f aca="false">IF(AND(A798="",B798=""),"",IF(H798="OK",E798*F798,0))</f>
        <v/>
      </c>
      <c r="H798" s="20" t="str">
        <f aca="true">IF(AND(A798="",B798=""),"",IF(ISNA(MATCH(B798,ListaInsumos,0)),"Insumo no está en Insumos",IF(C798="","Falta cantidad",IF(IFERROR(INDEX(UnidadesBase,MATCH(D798,Unidades,0)),"")&lt;&gt;INDEX(InsBase,MATCH(B798,ListaInsumos,0)),"Unidad incompatible",IF(F798="","Insumo sin compras","OK")))))</f>
        <v/>
      </c>
      <c r="I798" s="15"/>
    </row>
    <row r="799" customFormat="false" ht="15" hidden="false" customHeight="false" outlineLevel="0" collapsed="false">
      <c r="A799" s="15"/>
      <c r="B799" s="15"/>
      <c r="C799" s="27"/>
      <c r="D799" s="15"/>
      <c r="E799" s="25" t="str">
        <f aca="true">IF(OR(C799="",D799=""),"",IFERROR(C799*INDEX(UnidadesFactor,MATCH(D799,Unidades,0)),""))</f>
        <v/>
      </c>
      <c r="F799" s="18" t="str">
        <f aca="true">IF(B799="","",IFERROR(INDEX(InsCosto,MATCH(B799,ListaInsumos,0)),""))</f>
        <v/>
      </c>
      <c r="G799" s="19" t="str">
        <f aca="false">IF(AND(A799="",B799=""),"",IF(H799="OK",E799*F799,0))</f>
        <v/>
      </c>
      <c r="H799" s="20" t="str">
        <f aca="true">IF(AND(A799="",B799=""),"",IF(ISNA(MATCH(B799,ListaInsumos,0)),"Insumo no está en Insumos",IF(C799="","Falta cantidad",IF(IFERROR(INDEX(UnidadesBase,MATCH(D799,Unidades,0)),"")&lt;&gt;INDEX(InsBase,MATCH(B799,ListaInsumos,0)),"Unidad incompatible",IF(F799="","Insumo sin compras","OK")))))</f>
        <v/>
      </c>
      <c r="I799" s="15"/>
    </row>
    <row r="800" customFormat="false" ht="15" hidden="false" customHeight="false" outlineLevel="0" collapsed="false">
      <c r="A800" s="15"/>
      <c r="B800" s="15"/>
      <c r="C800" s="27"/>
      <c r="D800" s="15"/>
      <c r="E800" s="25" t="str">
        <f aca="true">IF(OR(C800="",D800=""),"",IFERROR(C800*INDEX(UnidadesFactor,MATCH(D800,Unidades,0)),""))</f>
        <v/>
      </c>
      <c r="F800" s="18" t="str">
        <f aca="true">IF(B800="","",IFERROR(INDEX(InsCosto,MATCH(B800,ListaInsumos,0)),""))</f>
        <v/>
      </c>
      <c r="G800" s="19" t="str">
        <f aca="false">IF(AND(A800="",B800=""),"",IF(H800="OK",E800*F800,0))</f>
        <v/>
      </c>
      <c r="H800" s="20" t="str">
        <f aca="true">IF(AND(A800="",B800=""),"",IF(ISNA(MATCH(B800,ListaInsumos,0)),"Insumo no está en Insumos",IF(C800="","Falta cantidad",IF(IFERROR(INDEX(UnidadesBase,MATCH(D800,Unidades,0)),"")&lt;&gt;INDEX(InsBase,MATCH(B800,ListaInsumos,0)),"Unidad incompatible",IF(F800="","Insumo sin compras","OK")))))</f>
        <v/>
      </c>
      <c r="I800" s="15"/>
    </row>
    <row r="801" customFormat="false" ht="15" hidden="false" customHeight="false" outlineLevel="0" collapsed="false">
      <c r="A801" s="15"/>
      <c r="B801" s="15"/>
      <c r="C801" s="27"/>
      <c r="D801" s="15"/>
      <c r="E801" s="25" t="str">
        <f aca="true">IF(OR(C801="",D801=""),"",IFERROR(C801*INDEX(UnidadesFactor,MATCH(D801,Unidades,0)),""))</f>
        <v/>
      </c>
      <c r="F801" s="18" t="str">
        <f aca="true">IF(B801="","",IFERROR(INDEX(InsCosto,MATCH(B801,ListaInsumos,0)),""))</f>
        <v/>
      </c>
      <c r="G801" s="19" t="str">
        <f aca="false">IF(AND(A801="",B801=""),"",IF(H801="OK",E801*F801,0))</f>
        <v/>
      </c>
      <c r="H801" s="20" t="str">
        <f aca="true">IF(AND(A801="",B801=""),"",IF(ISNA(MATCH(B801,ListaInsumos,0)),"Insumo no está en Insumos",IF(C801="","Falta cantidad",IF(IFERROR(INDEX(UnidadesBase,MATCH(D801,Unidades,0)),"")&lt;&gt;INDEX(InsBase,MATCH(B801,ListaInsumos,0)),"Unidad incompatible",IF(F801="","Insumo sin compras","OK")))))</f>
        <v/>
      </c>
      <c r="I801" s="15"/>
    </row>
    <row r="802" customFormat="false" ht="15" hidden="false" customHeight="false" outlineLevel="0" collapsed="false">
      <c r="A802" s="15"/>
      <c r="B802" s="15"/>
      <c r="C802" s="27"/>
      <c r="D802" s="15"/>
      <c r="E802" s="25" t="str">
        <f aca="true">IF(OR(C802="",D802=""),"",IFERROR(C802*INDEX(UnidadesFactor,MATCH(D802,Unidades,0)),""))</f>
        <v/>
      </c>
      <c r="F802" s="18" t="str">
        <f aca="true">IF(B802="","",IFERROR(INDEX(InsCosto,MATCH(B802,ListaInsumos,0)),""))</f>
        <v/>
      </c>
      <c r="G802" s="19" t="str">
        <f aca="false">IF(AND(A802="",B802=""),"",IF(H802="OK",E802*F802,0))</f>
        <v/>
      </c>
      <c r="H802" s="20" t="str">
        <f aca="true">IF(AND(A802="",B802=""),"",IF(ISNA(MATCH(B802,ListaInsumos,0)),"Insumo no está en Insumos",IF(C802="","Falta cantidad",IF(IFERROR(INDEX(UnidadesBase,MATCH(D802,Unidades,0)),"")&lt;&gt;INDEX(InsBase,MATCH(B802,ListaInsumos,0)),"Unidad incompatible",IF(F802="","Insumo sin compras","OK")))))</f>
        <v/>
      </c>
      <c r="I802" s="15"/>
    </row>
    <row r="803" customFormat="false" ht="15" hidden="false" customHeight="false" outlineLevel="0" collapsed="false">
      <c r="A803" s="15"/>
      <c r="B803" s="15"/>
      <c r="C803" s="27"/>
      <c r="D803" s="15"/>
      <c r="E803" s="25" t="str">
        <f aca="true">IF(OR(C803="",D803=""),"",IFERROR(C803*INDEX(UnidadesFactor,MATCH(D803,Unidades,0)),""))</f>
        <v/>
      </c>
      <c r="F803" s="18" t="str">
        <f aca="true">IF(B803="","",IFERROR(INDEX(InsCosto,MATCH(B803,ListaInsumos,0)),""))</f>
        <v/>
      </c>
      <c r="G803" s="19" t="str">
        <f aca="false">IF(AND(A803="",B803=""),"",IF(H803="OK",E803*F803,0))</f>
        <v/>
      </c>
      <c r="H803" s="20" t="str">
        <f aca="true">IF(AND(A803="",B803=""),"",IF(ISNA(MATCH(B803,ListaInsumos,0)),"Insumo no está en Insumos",IF(C803="","Falta cantidad",IF(IFERROR(INDEX(UnidadesBase,MATCH(D803,Unidades,0)),"")&lt;&gt;INDEX(InsBase,MATCH(B803,ListaInsumos,0)),"Unidad incompatible",IF(F803="","Insumo sin compras","OK")))))</f>
        <v/>
      </c>
      <c r="I803" s="15"/>
    </row>
    <row r="804" customFormat="false" ht="15" hidden="false" customHeight="false" outlineLevel="0" collapsed="false">
      <c r="A804" s="15"/>
      <c r="B804" s="15"/>
      <c r="C804" s="27"/>
      <c r="D804" s="15"/>
      <c r="E804" s="25" t="str">
        <f aca="true">IF(OR(C804="",D804=""),"",IFERROR(C804*INDEX(UnidadesFactor,MATCH(D804,Unidades,0)),""))</f>
        <v/>
      </c>
      <c r="F804" s="18" t="str">
        <f aca="true">IF(B804="","",IFERROR(INDEX(InsCosto,MATCH(B804,ListaInsumos,0)),""))</f>
        <v/>
      </c>
      <c r="G804" s="19" t="str">
        <f aca="false">IF(AND(A804="",B804=""),"",IF(H804="OK",E804*F804,0))</f>
        <v/>
      </c>
      <c r="H804" s="20" t="str">
        <f aca="true">IF(AND(A804="",B804=""),"",IF(ISNA(MATCH(B804,ListaInsumos,0)),"Insumo no está en Insumos",IF(C804="","Falta cantidad",IF(IFERROR(INDEX(UnidadesBase,MATCH(D804,Unidades,0)),"")&lt;&gt;INDEX(InsBase,MATCH(B804,ListaInsumos,0)),"Unidad incompatible",IF(F804="","Insumo sin compras","OK")))))</f>
        <v/>
      </c>
      <c r="I804" s="15"/>
    </row>
    <row r="805" customFormat="false" ht="15" hidden="false" customHeight="false" outlineLevel="0" collapsed="false">
      <c r="A805" s="15"/>
      <c r="B805" s="15"/>
      <c r="C805" s="27"/>
      <c r="D805" s="15"/>
      <c r="E805" s="25" t="str">
        <f aca="true">IF(OR(C805="",D805=""),"",IFERROR(C805*INDEX(UnidadesFactor,MATCH(D805,Unidades,0)),""))</f>
        <v/>
      </c>
      <c r="F805" s="18" t="str">
        <f aca="true">IF(B805="","",IFERROR(INDEX(InsCosto,MATCH(B805,ListaInsumos,0)),""))</f>
        <v/>
      </c>
      <c r="G805" s="19" t="str">
        <f aca="false">IF(AND(A805="",B805=""),"",IF(H805="OK",E805*F805,0))</f>
        <v/>
      </c>
      <c r="H805" s="20" t="str">
        <f aca="true">IF(AND(A805="",B805=""),"",IF(ISNA(MATCH(B805,ListaInsumos,0)),"Insumo no está en Insumos",IF(C805="","Falta cantidad",IF(IFERROR(INDEX(UnidadesBase,MATCH(D805,Unidades,0)),"")&lt;&gt;INDEX(InsBase,MATCH(B805,ListaInsumos,0)),"Unidad incompatible",IF(F805="","Insumo sin compras","OK")))))</f>
        <v/>
      </c>
      <c r="I805" s="15"/>
    </row>
    <row r="806" customFormat="false" ht="15" hidden="false" customHeight="false" outlineLevel="0" collapsed="false">
      <c r="A806" s="15"/>
      <c r="B806" s="15"/>
      <c r="C806" s="27"/>
      <c r="D806" s="15"/>
      <c r="E806" s="25" t="str">
        <f aca="true">IF(OR(C806="",D806=""),"",IFERROR(C806*INDEX(UnidadesFactor,MATCH(D806,Unidades,0)),""))</f>
        <v/>
      </c>
      <c r="F806" s="18" t="str">
        <f aca="true">IF(B806="","",IFERROR(INDEX(InsCosto,MATCH(B806,ListaInsumos,0)),""))</f>
        <v/>
      </c>
      <c r="G806" s="19" t="str">
        <f aca="false">IF(AND(A806="",B806=""),"",IF(H806="OK",E806*F806,0))</f>
        <v/>
      </c>
      <c r="H806" s="20" t="str">
        <f aca="true">IF(AND(A806="",B806=""),"",IF(ISNA(MATCH(B806,ListaInsumos,0)),"Insumo no está en Insumos",IF(C806="","Falta cantidad",IF(IFERROR(INDEX(UnidadesBase,MATCH(D806,Unidades,0)),"")&lt;&gt;INDEX(InsBase,MATCH(B806,ListaInsumos,0)),"Unidad incompatible",IF(F806="","Insumo sin compras","OK")))))</f>
        <v/>
      </c>
      <c r="I806" s="15"/>
    </row>
    <row r="807" customFormat="false" ht="15" hidden="false" customHeight="false" outlineLevel="0" collapsed="false">
      <c r="A807" s="15"/>
      <c r="B807" s="15"/>
      <c r="C807" s="27"/>
      <c r="D807" s="15"/>
      <c r="E807" s="25" t="str">
        <f aca="true">IF(OR(C807="",D807=""),"",IFERROR(C807*INDEX(UnidadesFactor,MATCH(D807,Unidades,0)),""))</f>
        <v/>
      </c>
      <c r="F807" s="18" t="str">
        <f aca="true">IF(B807="","",IFERROR(INDEX(InsCosto,MATCH(B807,ListaInsumos,0)),""))</f>
        <v/>
      </c>
      <c r="G807" s="19" t="str">
        <f aca="false">IF(AND(A807="",B807=""),"",IF(H807="OK",E807*F807,0))</f>
        <v/>
      </c>
      <c r="H807" s="20" t="str">
        <f aca="true">IF(AND(A807="",B807=""),"",IF(ISNA(MATCH(B807,ListaInsumos,0)),"Insumo no está en Insumos",IF(C807="","Falta cantidad",IF(IFERROR(INDEX(UnidadesBase,MATCH(D807,Unidades,0)),"")&lt;&gt;INDEX(InsBase,MATCH(B807,ListaInsumos,0)),"Unidad incompatible",IF(F807="","Insumo sin compras","OK")))))</f>
        <v/>
      </c>
      <c r="I807" s="15"/>
    </row>
    <row r="808" customFormat="false" ht="15" hidden="false" customHeight="false" outlineLevel="0" collapsed="false">
      <c r="A808" s="15"/>
      <c r="B808" s="15"/>
      <c r="C808" s="27"/>
      <c r="D808" s="15"/>
      <c r="E808" s="25" t="str">
        <f aca="true">IF(OR(C808="",D808=""),"",IFERROR(C808*INDEX(UnidadesFactor,MATCH(D808,Unidades,0)),""))</f>
        <v/>
      </c>
      <c r="F808" s="18" t="str">
        <f aca="true">IF(B808="","",IFERROR(INDEX(InsCosto,MATCH(B808,ListaInsumos,0)),""))</f>
        <v/>
      </c>
      <c r="G808" s="19" t="str">
        <f aca="false">IF(AND(A808="",B808=""),"",IF(H808="OK",E808*F808,0))</f>
        <v/>
      </c>
      <c r="H808" s="20" t="str">
        <f aca="true">IF(AND(A808="",B808=""),"",IF(ISNA(MATCH(B808,ListaInsumos,0)),"Insumo no está en Insumos",IF(C808="","Falta cantidad",IF(IFERROR(INDEX(UnidadesBase,MATCH(D808,Unidades,0)),"")&lt;&gt;INDEX(InsBase,MATCH(B808,ListaInsumos,0)),"Unidad incompatible",IF(F808="","Insumo sin compras","OK")))))</f>
        <v/>
      </c>
      <c r="I808" s="15"/>
    </row>
    <row r="809" customFormat="false" ht="15" hidden="false" customHeight="false" outlineLevel="0" collapsed="false">
      <c r="A809" s="15"/>
      <c r="B809" s="15"/>
      <c r="C809" s="27"/>
      <c r="D809" s="15"/>
      <c r="E809" s="25" t="str">
        <f aca="true">IF(OR(C809="",D809=""),"",IFERROR(C809*INDEX(UnidadesFactor,MATCH(D809,Unidades,0)),""))</f>
        <v/>
      </c>
      <c r="F809" s="18" t="str">
        <f aca="true">IF(B809="","",IFERROR(INDEX(InsCosto,MATCH(B809,ListaInsumos,0)),""))</f>
        <v/>
      </c>
      <c r="G809" s="19" t="str">
        <f aca="false">IF(AND(A809="",B809=""),"",IF(H809="OK",E809*F809,0))</f>
        <v/>
      </c>
      <c r="H809" s="20" t="str">
        <f aca="true">IF(AND(A809="",B809=""),"",IF(ISNA(MATCH(B809,ListaInsumos,0)),"Insumo no está en Insumos",IF(C809="","Falta cantidad",IF(IFERROR(INDEX(UnidadesBase,MATCH(D809,Unidades,0)),"")&lt;&gt;INDEX(InsBase,MATCH(B809,ListaInsumos,0)),"Unidad incompatible",IF(F809="","Insumo sin compras","OK")))))</f>
        <v/>
      </c>
      <c r="I809" s="15"/>
    </row>
    <row r="810" customFormat="false" ht="15" hidden="false" customHeight="false" outlineLevel="0" collapsed="false">
      <c r="A810" s="15"/>
      <c r="B810" s="15"/>
      <c r="C810" s="27"/>
      <c r="D810" s="15"/>
      <c r="E810" s="25" t="str">
        <f aca="true">IF(OR(C810="",D810=""),"",IFERROR(C810*INDEX(UnidadesFactor,MATCH(D810,Unidades,0)),""))</f>
        <v/>
      </c>
      <c r="F810" s="18" t="str">
        <f aca="true">IF(B810="","",IFERROR(INDEX(InsCosto,MATCH(B810,ListaInsumos,0)),""))</f>
        <v/>
      </c>
      <c r="G810" s="19" t="str">
        <f aca="false">IF(AND(A810="",B810=""),"",IF(H810="OK",E810*F810,0))</f>
        <v/>
      </c>
      <c r="H810" s="20" t="str">
        <f aca="true">IF(AND(A810="",B810=""),"",IF(ISNA(MATCH(B810,ListaInsumos,0)),"Insumo no está en Insumos",IF(C810="","Falta cantidad",IF(IFERROR(INDEX(UnidadesBase,MATCH(D810,Unidades,0)),"")&lt;&gt;INDEX(InsBase,MATCH(B810,ListaInsumos,0)),"Unidad incompatible",IF(F810="","Insumo sin compras","OK")))))</f>
        <v/>
      </c>
      <c r="I810" s="15"/>
    </row>
    <row r="811" customFormat="false" ht="15" hidden="false" customHeight="false" outlineLevel="0" collapsed="false">
      <c r="A811" s="15"/>
      <c r="B811" s="15"/>
      <c r="C811" s="27"/>
      <c r="D811" s="15"/>
      <c r="E811" s="25" t="str">
        <f aca="true">IF(OR(C811="",D811=""),"",IFERROR(C811*INDEX(UnidadesFactor,MATCH(D811,Unidades,0)),""))</f>
        <v/>
      </c>
      <c r="F811" s="18" t="str">
        <f aca="true">IF(B811="","",IFERROR(INDEX(InsCosto,MATCH(B811,ListaInsumos,0)),""))</f>
        <v/>
      </c>
      <c r="G811" s="19" t="str">
        <f aca="false">IF(AND(A811="",B811=""),"",IF(H811="OK",E811*F811,0))</f>
        <v/>
      </c>
      <c r="H811" s="20" t="str">
        <f aca="true">IF(AND(A811="",B811=""),"",IF(ISNA(MATCH(B811,ListaInsumos,0)),"Insumo no está en Insumos",IF(C811="","Falta cantidad",IF(IFERROR(INDEX(UnidadesBase,MATCH(D811,Unidades,0)),"")&lt;&gt;INDEX(InsBase,MATCH(B811,ListaInsumos,0)),"Unidad incompatible",IF(F811="","Insumo sin compras","OK")))))</f>
        <v/>
      </c>
      <c r="I811" s="15"/>
    </row>
    <row r="812" customFormat="false" ht="15" hidden="false" customHeight="false" outlineLevel="0" collapsed="false">
      <c r="A812" s="15"/>
      <c r="B812" s="15"/>
      <c r="C812" s="27"/>
      <c r="D812" s="15"/>
      <c r="E812" s="25" t="str">
        <f aca="true">IF(OR(C812="",D812=""),"",IFERROR(C812*INDEX(UnidadesFactor,MATCH(D812,Unidades,0)),""))</f>
        <v/>
      </c>
      <c r="F812" s="18" t="str">
        <f aca="true">IF(B812="","",IFERROR(INDEX(InsCosto,MATCH(B812,ListaInsumos,0)),""))</f>
        <v/>
      </c>
      <c r="G812" s="19" t="str">
        <f aca="false">IF(AND(A812="",B812=""),"",IF(H812="OK",E812*F812,0))</f>
        <v/>
      </c>
      <c r="H812" s="20" t="str">
        <f aca="true">IF(AND(A812="",B812=""),"",IF(ISNA(MATCH(B812,ListaInsumos,0)),"Insumo no está en Insumos",IF(C812="","Falta cantidad",IF(IFERROR(INDEX(UnidadesBase,MATCH(D812,Unidades,0)),"")&lt;&gt;INDEX(InsBase,MATCH(B812,ListaInsumos,0)),"Unidad incompatible",IF(F812="","Insumo sin compras","OK")))))</f>
        <v/>
      </c>
      <c r="I812" s="15"/>
    </row>
    <row r="813" customFormat="false" ht="15" hidden="false" customHeight="false" outlineLevel="0" collapsed="false">
      <c r="A813" s="15"/>
      <c r="B813" s="15"/>
      <c r="C813" s="27"/>
      <c r="D813" s="15"/>
      <c r="E813" s="25" t="str">
        <f aca="true">IF(OR(C813="",D813=""),"",IFERROR(C813*INDEX(UnidadesFactor,MATCH(D813,Unidades,0)),""))</f>
        <v/>
      </c>
      <c r="F813" s="18" t="str">
        <f aca="true">IF(B813="","",IFERROR(INDEX(InsCosto,MATCH(B813,ListaInsumos,0)),""))</f>
        <v/>
      </c>
      <c r="G813" s="19" t="str">
        <f aca="false">IF(AND(A813="",B813=""),"",IF(H813="OK",E813*F813,0))</f>
        <v/>
      </c>
      <c r="H813" s="20" t="str">
        <f aca="true">IF(AND(A813="",B813=""),"",IF(ISNA(MATCH(B813,ListaInsumos,0)),"Insumo no está en Insumos",IF(C813="","Falta cantidad",IF(IFERROR(INDEX(UnidadesBase,MATCH(D813,Unidades,0)),"")&lt;&gt;INDEX(InsBase,MATCH(B813,ListaInsumos,0)),"Unidad incompatible",IF(F813="","Insumo sin compras","OK")))))</f>
        <v/>
      </c>
      <c r="I813" s="15"/>
    </row>
    <row r="814" customFormat="false" ht="15" hidden="false" customHeight="false" outlineLevel="0" collapsed="false">
      <c r="A814" s="15"/>
      <c r="B814" s="15"/>
      <c r="C814" s="27"/>
      <c r="D814" s="15"/>
      <c r="E814" s="25" t="str">
        <f aca="true">IF(OR(C814="",D814=""),"",IFERROR(C814*INDEX(UnidadesFactor,MATCH(D814,Unidades,0)),""))</f>
        <v/>
      </c>
      <c r="F814" s="18" t="str">
        <f aca="true">IF(B814="","",IFERROR(INDEX(InsCosto,MATCH(B814,ListaInsumos,0)),""))</f>
        <v/>
      </c>
      <c r="G814" s="19" t="str">
        <f aca="false">IF(AND(A814="",B814=""),"",IF(H814="OK",E814*F814,0))</f>
        <v/>
      </c>
      <c r="H814" s="20" t="str">
        <f aca="true">IF(AND(A814="",B814=""),"",IF(ISNA(MATCH(B814,ListaInsumos,0)),"Insumo no está en Insumos",IF(C814="","Falta cantidad",IF(IFERROR(INDEX(UnidadesBase,MATCH(D814,Unidades,0)),"")&lt;&gt;INDEX(InsBase,MATCH(B814,ListaInsumos,0)),"Unidad incompatible",IF(F814="","Insumo sin compras","OK")))))</f>
        <v/>
      </c>
      <c r="I814" s="15"/>
    </row>
    <row r="815" customFormat="false" ht="15" hidden="false" customHeight="false" outlineLevel="0" collapsed="false">
      <c r="A815" s="15"/>
      <c r="B815" s="15"/>
      <c r="C815" s="27"/>
      <c r="D815" s="15"/>
      <c r="E815" s="25" t="str">
        <f aca="true">IF(OR(C815="",D815=""),"",IFERROR(C815*INDEX(UnidadesFactor,MATCH(D815,Unidades,0)),""))</f>
        <v/>
      </c>
      <c r="F815" s="18" t="str">
        <f aca="true">IF(B815="","",IFERROR(INDEX(InsCosto,MATCH(B815,ListaInsumos,0)),""))</f>
        <v/>
      </c>
      <c r="G815" s="19" t="str">
        <f aca="false">IF(AND(A815="",B815=""),"",IF(H815="OK",E815*F815,0))</f>
        <v/>
      </c>
      <c r="H815" s="20" t="str">
        <f aca="true">IF(AND(A815="",B815=""),"",IF(ISNA(MATCH(B815,ListaInsumos,0)),"Insumo no está en Insumos",IF(C815="","Falta cantidad",IF(IFERROR(INDEX(UnidadesBase,MATCH(D815,Unidades,0)),"")&lt;&gt;INDEX(InsBase,MATCH(B815,ListaInsumos,0)),"Unidad incompatible",IF(F815="","Insumo sin compras","OK")))))</f>
        <v/>
      </c>
      <c r="I815" s="15"/>
    </row>
    <row r="816" customFormat="false" ht="15" hidden="false" customHeight="false" outlineLevel="0" collapsed="false">
      <c r="A816" s="15"/>
      <c r="B816" s="15"/>
      <c r="C816" s="27"/>
      <c r="D816" s="15"/>
      <c r="E816" s="25" t="str">
        <f aca="true">IF(OR(C816="",D816=""),"",IFERROR(C816*INDEX(UnidadesFactor,MATCH(D816,Unidades,0)),""))</f>
        <v/>
      </c>
      <c r="F816" s="18" t="str">
        <f aca="true">IF(B816="","",IFERROR(INDEX(InsCosto,MATCH(B816,ListaInsumos,0)),""))</f>
        <v/>
      </c>
      <c r="G816" s="19" t="str">
        <f aca="false">IF(AND(A816="",B816=""),"",IF(H816="OK",E816*F816,0))</f>
        <v/>
      </c>
      <c r="H816" s="20" t="str">
        <f aca="true">IF(AND(A816="",B816=""),"",IF(ISNA(MATCH(B816,ListaInsumos,0)),"Insumo no está en Insumos",IF(C816="","Falta cantidad",IF(IFERROR(INDEX(UnidadesBase,MATCH(D816,Unidades,0)),"")&lt;&gt;INDEX(InsBase,MATCH(B816,ListaInsumos,0)),"Unidad incompatible",IF(F816="","Insumo sin compras","OK")))))</f>
        <v/>
      </c>
      <c r="I816" s="15"/>
    </row>
    <row r="817" customFormat="false" ht="15" hidden="false" customHeight="false" outlineLevel="0" collapsed="false">
      <c r="A817" s="15"/>
      <c r="B817" s="15"/>
      <c r="C817" s="27"/>
      <c r="D817" s="15"/>
      <c r="E817" s="25" t="str">
        <f aca="true">IF(OR(C817="",D817=""),"",IFERROR(C817*INDEX(UnidadesFactor,MATCH(D817,Unidades,0)),""))</f>
        <v/>
      </c>
      <c r="F817" s="18" t="str">
        <f aca="true">IF(B817="","",IFERROR(INDEX(InsCosto,MATCH(B817,ListaInsumos,0)),""))</f>
        <v/>
      </c>
      <c r="G817" s="19" t="str">
        <f aca="false">IF(AND(A817="",B817=""),"",IF(H817="OK",E817*F817,0))</f>
        <v/>
      </c>
      <c r="H817" s="20" t="str">
        <f aca="true">IF(AND(A817="",B817=""),"",IF(ISNA(MATCH(B817,ListaInsumos,0)),"Insumo no está en Insumos",IF(C817="","Falta cantidad",IF(IFERROR(INDEX(UnidadesBase,MATCH(D817,Unidades,0)),"")&lt;&gt;INDEX(InsBase,MATCH(B817,ListaInsumos,0)),"Unidad incompatible",IF(F817="","Insumo sin compras","OK")))))</f>
        <v/>
      </c>
      <c r="I817" s="15"/>
    </row>
    <row r="818" customFormat="false" ht="15" hidden="false" customHeight="false" outlineLevel="0" collapsed="false">
      <c r="A818" s="15"/>
      <c r="B818" s="15"/>
      <c r="C818" s="27"/>
      <c r="D818" s="15"/>
      <c r="E818" s="25" t="str">
        <f aca="true">IF(OR(C818="",D818=""),"",IFERROR(C818*INDEX(UnidadesFactor,MATCH(D818,Unidades,0)),""))</f>
        <v/>
      </c>
      <c r="F818" s="18" t="str">
        <f aca="true">IF(B818="","",IFERROR(INDEX(InsCosto,MATCH(B818,ListaInsumos,0)),""))</f>
        <v/>
      </c>
      <c r="G818" s="19" t="str">
        <f aca="false">IF(AND(A818="",B818=""),"",IF(H818="OK",E818*F818,0))</f>
        <v/>
      </c>
      <c r="H818" s="20" t="str">
        <f aca="true">IF(AND(A818="",B818=""),"",IF(ISNA(MATCH(B818,ListaInsumos,0)),"Insumo no está en Insumos",IF(C818="","Falta cantidad",IF(IFERROR(INDEX(UnidadesBase,MATCH(D818,Unidades,0)),"")&lt;&gt;INDEX(InsBase,MATCH(B818,ListaInsumos,0)),"Unidad incompatible",IF(F818="","Insumo sin compras","OK")))))</f>
        <v/>
      </c>
      <c r="I818" s="15"/>
    </row>
    <row r="819" customFormat="false" ht="15" hidden="false" customHeight="false" outlineLevel="0" collapsed="false">
      <c r="A819" s="15"/>
      <c r="B819" s="15"/>
      <c r="C819" s="27"/>
      <c r="D819" s="15"/>
      <c r="E819" s="25" t="str">
        <f aca="true">IF(OR(C819="",D819=""),"",IFERROR(C819*INDEX(UnidadesFactor,MATCH(D819,Unidades,0)),""))</f>
        <v/>
      </c>
      <c r="F819" s="18" t="str">
        <f aca="true">IF(B819="","",IFERROR(INDEX(InsCosto,MATCH(B819,ListaInsumos,0)),""))</f>
        <v/>
      </c>
      <c r="G819" s="19" t="str">
        <f aca="false">IF(AND(A819="",B819=""),"",IF(H819="OK",E819*F819,0))</f>
        <v/>
      </c>
      <c r="H819" s="20" t="str">
        <f aca="true">IF(AND(A819="",B819=""),"",IF(ISNA(MATCH(B819,ListaInsumos,0)),"Insumo no está en Insumos",IF(C819="","Falta cantidad",IF(IFERROR(INDEX(UnidadesBase,MATCH(D819,Unidades,0)),"")&lt;&gt;INDEX(InsBase,MATCH(B819,ListaInsumos,0)),"Unidad incompatible",IF(F819="","Insumo sin compras","OK")))))</f>
        <v/>
      </c>
      <c r="I819" s="15"/>
    </row>
    <row r="820" customFormat="false" ht="15" hidden="false" customHeight="false" outlineLevel="0" collapsed="false">
      <c r="A820" s="15"/>
      <c r="B820" s="15"/>
      <c r="C820" s="27"/>
      <c r="D820" s="15"/>
      <c r="E820" s="25" t="str">
        <f aca="true">IF(OR(C820="",D820=""),"",IFERROR(C820*INDEX(UnidadesFactor,MATCH(D820,Unidades,0)),""))</f>
        <v/>
      </c>
      <c r="F820" s="18" t="str">
        <f aca="true">IF(B820="","",IFERROR(INDEX(InsCosto,MATCH(B820,ListaInsumos,0)),""))</f>
        <v/>
      </c>
      <c r="G820" s="19" t="str">
        <f aca="false">IF(AND(A820="",B820=""),"",IF(H820="OK",E820*F820,0))</f>
        <v/>
      </c>
      <c r="H820" s="20" t="str">
        <f aca="true">IF(AND(A820="",B820=""),"",IF(ISNA(MATCH(B820,ListaInsumos,0)),"Insumo no está en Insumos",IF(C820="","Falta cantidad",IF(IFERROR(INDEX(UnidadesBase,MATCH(D820,Unidades,0)),"")&lt;&gt;INDEX(InsBase,MATCH(B820,ListaInsumos,0)),"Unidad incompatible",IF(F820="","Insumo sin compras","OK")))))</f>
        <v/>
      </c>
      <c r="I820" s="15"/>
    </row>
    <row r="821" customFormat="false" ht="15" hidden="false" customHeight="false" outlineLevel="0" collapsed="false">
      <c r="A821" s="15"/>
      <c r="B821" s="15"/>
      <c r="C821" s="27"/>
      <c r="D821" s="15"/>
      <c r="E821" s="25" t="str">
        <f aca="true">IF(OR(C821="",D821=""),"",IFERROR(C821*INDEX(UnidadesFactor,MATCH(D821,Unidades,0)),""))</f>
        <v/>
      </c>
      <c r="F821" s="18" t="str">
        <f aca="true">IF(B821="","",IFERROR(INDEX(InsCosto,MATCH(B821,ListaInsumos,0)),""))</f>
        <v/>
      </c>
      <c r="G821" s="19" t="str">
        <f aca="false">IF(AND(A821="",B821=""),"",IF(H821="OK",E821*F821,0))</f>
        <v/>
      </c>
      <c r="H821" s="20" t="str">
        <f aca="true">IF(AND(A821="",B821=""),"",IF(ISNA(MATCH(B821,ListaInsumos,0)),"Insumo no está en Insumos",IF(C821="","Falta cantidad",IF(IFERROR(INDEX(UnidadesBase,MATCH(D821,Unidades,0)),"")&lt;&gt;INDEX(InsBase,MATCH(B821,ListaInsumos,0)),"Unidad incompatible",IF(F821="","Insumo sin compras","OK")))))</f>
        <v/>
      </c>
      <c r="I821" s="15"/>
    </row>
    <row r="822" customFormat="false" ht="15" hidden="false" customHeight="false" outlineLevel="0" collapsed="false">
      <c r="A822" s="15"/>
      <c r="B822" s="15"/>
      <c r="C822" s="27"/>
      <c r="D822" s="15"/>
      <c r="E822" s="25" t="str">
        <f aca="true">IF(OR(C822="",D822=""),"",IFERROR(C822*INDEX(UnidadesFactor,MATCH(D822,Unidades,0)),""))</f>
        <v/>
      </c>
      <c r="F822" s="18" t="str">
        <f aca="true">IF(B822="","",IFERROR(INDEX(InsCosto,MATCH(B822,ListaInsumos,0)),""))</f>
        <v/>
      </c>
      <c r="G822" s="19" t="str">
        <f aca="false">IF(AND(A822="",B822=""),"",IF(H822="OK",E822*F822,0))</f>
        <v/>
      </c>
      <c r="H822" s="20" t="str">
        <f aca="true">IF(AND(A822="",B822=""),"",IF(ISNA(MATCH(B822,ListaInsumos,0)),"Insumo no está en Insumos",IF(C822="","Falta cantidad",IF(IFERROR(INDEX(UnidadesBase,MATCH(D822,Unidades,0)),"")&lt;&gt;INDEX(InsBase,MATCH(B822,ListaInsumos,0)),"Unidad incompatible",IF(F822="","Insumo sin compras","OK")))))</f>
        <v/>
      </c>
      <c r="I822" s="15"/>
    </row>
    <row r="823" customFormat="false" ht="15" hidden="false" customHeight="false" outlineLevel="0" collapsed="false">
      <c r="A823" s="15"/>
      <c r="B823" s="15"/>
      <c r="C823" s="27"/>
      <c r="D823" s="15"/>
      <c r="E823" s="25" t="str">
        <f aca="true">IF(OR(C823="",D823=""),"",IFERROR(C823*INDEX(UnidadesFactor,MATCH(D823,Unidades,0)),""))</f>
        <v/>
      </c>
      <c r="F823" s="18" t="str">
        <f aca="true">IF(B823="","",IFERROR(INDEX(InsCosto,MATCH(B823,ListaInsumos,0)),""))</f>
        <v/>
      </c>
      <c r="G823" s="19" t="str">
        <f aca="false">IF(AND(A823="",B823=""),"",IF(H823="OK",E823*F823,0))</f>
        <v/>
      </c>
      <c r="H823" s="20" t="str">
        <f aca="true">IF(AND(A823="",B823=""),"",IF(ISNA(MATCH(B823,ListaInsumos,0)),"Insumo no está en Insumos",IF(C823="","Falta cantidad",IF(IFERROR(INDEX(UnidadesBase,MATCH(D823,Unidades,0)),"")&lt;&gt;INDEX(InsBase,MATCH(B823,ListaInsumos,0)),"Unidad incompatible",IF(F823="","Insumo sin compras","OK")))))</f>
        <v/>
      </c>
      <c r="I823" s="15"/>
    </row>
    <row r="824" customFormat="false" ht="15" hidden="false" customHeight="false" outlineLevel="0" collapsed="false">
      <c r="A824" s="15"/>
      <c r="B824" s="15"/>
      <c r="C824" s="27"/>
      <c r="D824" s="15"/>
      <c r="E824" s="25" t="str">
        <f aca="true">IF(OR(C824="",D824=""),"",IFERROR(C824*INDEX(UnidadesFactor,MATCH(D824,Unidades,0)),""))</f>
        <v/>
      </c>
      <c r="F824" s="18" t="str">
        <f aca="true">IF(B824="","",IFERROR(INDEX(InsCosto,MATCH(B824,ListaInsumos,0)),""))</f>
        <v/>
      </c>
      <c r="G824" s="19" t="str">
        <f aca="false">IF(AND(A824="",B824=""),"",IF(H824="OK",E824*F824,0))</f>
        <v/>
      </c>
      <c r="H824" s="20" t="str">
        <f aca="true">IF(AND(A824="",B824=""),"",IF(ISNA(MATCH(B824,ListaInsumos,0)),"Insumo no está en Insumos",IF(C824="","Falta cantidad",IF(IFERROR(INDEX(UnidadesBase,MATCH(D824,Unidades,0)),"")&lt;&gt;INDEX(InsBase,MATCH(B824,ListaInsumos,0)),"Unidad incompatible",IF(F824="","Insumo sin compras","OK")))))</f>
        <v/>
      </c>
      <c r="I824" s="15"/>
    </row>
    <row r="825" customFormat="false" ht="15" hidden="false" customHeight="false" outlineLevel="0" collapsed="false">
      <c r="A825" s="15"/>
      <c r="B825" s="15"/>
      <c r="C825" s="27"/>
      <c r="D825" s="15"/>
      <c r="E825" s="25" t="str">
        <f aca="true">IF(OR(C825="",D825=""),"",IFERROR(C825*INDEX(UnidadesFactor,MATCH(D825,Unidades,0)),""))</f>
        <v/>
      </c>
      <c r="F825" s="18" t="str">
        <f aca="true">IF(B825="","",IFERROR(INDEX(InsCosto,MATCH(B825,ListaInsumos,0)),""))</f>
        <v/>
      </c>
      <c r="G825" s="19" t="str">
        <f aca="false">IF(AND(A825="",B825=""),"",IF(H825="OK",E825*F825,0))</f>
        <v/>
      </c>
      <c r="H825" s="20" t="str">
        <f aca="true">IF(AND(A825="",B825=""),"",IF(ISNA(MATCH(B825,ListaInsumos,0)),"Insumo no está en Insumos",IF(C825="","Falta cantidad",IF(IFERROR(INDEX(UnidadesBase,MATCH(D825,Unidades,0)),"")&lt;&gt;INDEX(InsBase,MATCH(B825,ListaInsumos,0)),"Unidad incompatible",IF(F825="","Insumo sin compras","OK")))))</f>
        <v/>
      </c>
      <c r="I825" s="15"/>
    </row>
    <row r="826" customFormat="false" ht="15" hidden="false" customHeight="false" outlineLevel="0" collapsed="false">
      <c r="A826" s="15"/>
      <c r="B826" s="15"/>
      <c r="C826" s="27"/>
      <c r="D826" s="15"/>
      <c r="E826" s="25" t="str">
        <f aca="true">IF(OR(C826="",D826=""),"",IFERROR(C826*INDEX(UnidadesFactor,MATCH(D826,Unidades,0)),""))</f>
        <v/>
      </c>
      <c r="F826" s="18" t="str">
        <f aca="true">IF(B826="","",IFERROR(INDEX(InsCosto,MATCH(B826,ListaInsumos,0)),""))</f>
        <v/>
      </c>
      <c r="G826" s="19" t="str">
        <f aca="false">IF(AND(A826="",B826=""),"",IF(H826="OK",E826*F826,0))</f>
        <v/>
      </c>
      <c r="H826" s="20" t="str">
        <f aca="true">IF(AND(A826="",B826=""),"",IF(ISNA(MATCH(B826,ListaInsumos,0)),"Insumo no está en Insumos",IF(C826="","Falta cantidad",IF(IFERROR(INDEX(UnidadesBase,MATCH(D826,Unidades,0)),"")&lt;&gt;INDEX(InsBase,MATCH(B826,ListaInsumos,0)),"Unidad incompatible",IF(F826="","Insumo sin compras","OK")))))</f>
        <v/>
      </c>
      <c r="I826" s="15"/>
    </row>
    <row r="827" customFormat="false" ht="15" hidden="false" customHeight="false" outlineLevel="0" collapsed="false">
      <c r="A827" s="15"/>
      <c r="B827" s="15"/>
      <c r="C827" s="27"/>
      <c r="D827" s="15"/>
      <c r="E827" s="25" t="str">
        <f aca="true">IF(OR(C827="",D827=""),"",IFERROR(C827*INDEX(UnidadesFactor,MATCH(D827,Unidades,0)),""))</f>
        <v/>
      </c>
      <c r="F827" s="18" t="str">
        <f aca="true">IF(B827="","",IFERROR(INDEX(InsCosto,MATCH(B827,ListaInsumos,0)),""))</f>
        <v/>
      </c>
      <c r="G827" s="19" t="str">
        <f aca="false">IF(AND(A827="",B827=""),"",IF(H827="OK",E827*F827,0))</f>
        <v/>
      </c>
      <c r="H827" s="20" t="str">
        <f aca="true">IF(AND(A827="",B827=""),"",IF(ISNA(MATCH(B827,ListaInsumos,0)),"Insumo no está en Insumos",IF(C827="","Falta cantidad",IF(IFERROR(INDEX(UnidadesBase,MATCH(D827,Unidades,0)),"")&lt;&gt;INDEX(InsBase,MATCH(B827,ListaInsumos,0)),"Unidad incompatible",IF(F827="","Insumo sin compras","OK")))))</f>
        <v/>
      </c>
      <c r="I827" s="15"/>
    </row>
    <row r="828" customFormat="false" ht="15" hidden="false" customHeight="false" outlineLevel="0" collapsed="false">
      <c r="A828" s="15"/>
      <c r="B828" s="15"/>
      <c r="C828" s="27"/>
      <c r="D828" s="15"/>
      <c r="E828" s="25" t="str">
        <f aca="true">IF(OR(C828="",D828=""),"",IFERROR(C828*INDEX(UnidadesFactor,MATCH(D828,Unidades,0)),""))</f>
        <v/>
      </c>
      <c r="F828" s="18" t="str">
        <f aca="true">IF(B828="","",IFERROR(INDEX(InsCosto,MATCH(B828,ListaInsumos,0)),""))</f>
        <v/>
      </c>
      <c r="G828" s="19" t="str">
        <f aca="false">IF(AND(A828="",B828=""),"",IF(H828="OK",E828*F828,0))</f>
        <v/>
      </c>
      <c r="H828" s="20" t="str">
        <f aca="true">IF(AND(A828="",B828=""),"",IF(ISNA(MATCH(B828,ListaInsumos,0)),"Insumo no está en Insumos",IF(C828="","Falta cantidad",IF(IFERROR(INDEX(UnidadesBase,MATCH(D828,Unidades,0)),"")&lt;&gt;INDEX(InsBase,MATCH(B828,ListaInsumos,0)),"Unidad incompatible",IF(F828="","Insumo sin compras","OK")))))</f>
        <v/>
      </c>
      <c r="I828" s="15"/>
    </row>
    <row r="829" customFormat="false" ht="15" hidden="false" customHeight="false" outlineLevel="0" collapsed="false">
      <c r="A829" s="15"/>
      <c r="B829" s="15"/>
      <c r="C829" s="27"/>
      <c r="D829" s="15"/>
      <c r="E829" s="25" t="str">
        <f aca="true">IF(OR(C829="",D829=""),"",IFERROR(C829*INDEX(UnidadesFactor,MATCH(D829,Unidades,0)),""))</f>
        <v/>
      </c>
      <c r="F829" s="18" t="str">
        <f aca="true">IF(B829="","",IFERROR(INDEX(InsCosto,MATCH(B829,ListaInsumos,0)),""))</f>
        <v/>
      </c>
      <c r="G829" s="19" t="str">
        <f aca="false">IF(AND(A829="",B829=""),"",IF(H829="OK",E829*F829,0))</f>
        <v/>
      </c>
      <c r="H829" s="20" t="str">
        <f aca="true">IF(AND(A829="",B829=""),"",IF(ISNA(MATCH(B829,ListaInsumos,0)),"Insumo no está en Insumos",IF(C829="","Falta cantidad",IF(IFERROR(INDEX(UnidadesBase,MATCH(D829,Unidades,0)),"")&lt;&gt;INDEX(InsBase,MATCH(B829,ListaInsumos,0)),"Unidad incompatible",IF(F829="","Insumo sin compras","OK")))))</f>
        <v/>
      </c>
      <c r="I829" s="15"/>
    </row>
    <row r="830" customFormat="false" ht="15" hidden="false" customHeight="false" outlineLevel="0" collapsed="false">
      <c r="A830" s="15"/>
      <c r="B830" s="15"/>
      <c r="C830" s="27"/>
      <c r="D830" s="15"/>
      <c r="E830" s="25" t="str">
        <f aca="true">IF(OR(C830="",D830=""),"",IFERROR(C830*INDEX(UnidadesFactor,MATCH(D830,Unidades,0)),""))</f>
        <v/>
      </c>
      <c r="F830" s="18" t="str">
        <f aca="true">IF(B830="","",IFERROR(INDEX(InsCosto,MATCH(B830,ListaInsumos,0)),""))</f>
        <v/>
      </c>
      <c r="G830" s="19" t="str">
        <f aca="false">IF(AND(A830="",B830=""),"",IF(H830="OK",E830*F830,0))</f>
        <v/>
      </c>
      <c r="H830" s="20" t="str">
        <f aca="true">IF(AND(A830="",B830=""),"",IF(ISNA(MATCH(B830,ListaInsumos,0)),"Insumo no está en Insumos",IF(C830="","Falta cantidad",IF(IFERROR(INDEX(UnidadesBase,MATCH(D830,Unidades,0)),"")&lt;&gt;INDEX(InsBase,MATCH(B830,ListaInsumos,0)),"Unidad incompatible",IF(F830="","Insumo sin compras","OK")))))</f>
        <v/>
      </c>
      <c r="I830" s="15"/>
    </row>
    <row r="831" customFormat="false" ht="15" hidden="false" customHeight="false" outlineLevel="0" collapsed="false">
      <c r="A831" s="15"/>
      <c r="B831" s="15"/>
      <c r="C831" s="27"/>
      <c r="D831" s="15"/>
      <c r="E831" s="25" t="str">
        <f aca="true">IF(OR(C831="",D831=""),"",IFERROR(C831*INDEX(UnidadesFactor,MATCH(D831,Unidades,0)),""))</f>
        <v/>
      </c>
      <c r="F831" s="18" t="str">
        <f aca="true">IF(B831="","",IFERROR(INDEX(InsCosto,MATCH(B831,ListaInsumos,0)),""))</f>
        <v/>
      </c>
      <c r="G831" s="19" t="str">
        <f aca="false">IF(AND(A831="",B831=""),"",IF(H831="OK",E831*F831,0))</f>
        <v/>
      </c>
      <c r="H831" s="20" t="str">
        <f aca="true">IF(AND(A831="",B831=""),"",IF(ISNA(MATCH(B831,ListaInsumos,0)),"Insumo no está en Insumos",IF(C831="","Falta cantidad",IF(IFERROR(INDEX(UnidadesBase,MATCH(D831,Unidades,0)),"")&lt;&gt;INDEX(InsBase,MATCH(B831,ListaInsumos,0)),"Unidad incompatible",IF(F831="","Insumo sin compras","OK")))))</f>
        <v/>
      </c>
      <c r="I831" s="15"/>
    </row>
    <row r="832" customFormat="false" ht="15" hidden="false" customHeight="false" outlineLevel="0" collapsed="false">
      <c r="A832" s="15"/>
      <c r="B832" s="15"/>
      <c r="C832" s="27"/>
      <c r="D832" s="15"/>
      <c r="E832" s="25" t="str">
        <f aca="true">IF(OR(C832="",D832=""),"",IFERROR(C832*INDEX(UnidadesFactor,MATCH(D832,Unidades,0)),""))</f>
        <v/>
      </c>
      <c r="F832" s="18" t="str">
        <f aca="true">IF(B832="","",IFERROR(INDEX(InsCosto,MATCH(B832,ListaInsumos,0)),""))</f>
        <v/>
      </c>
      <c r="G832" s="19" t="str">
        <f aca="false">IF(AND(A832="",B832=""),"",IF(H832="OK",E832*F832,0))</f>
        <v/>
      </c>
      <c r="H832" s="20" t="str">
        <f aca="true">IF(AND(A832="",B832=""),"",IF(ISNA(MATCH(B832,ListaInsumos,0)),"Insumo no está en Insumos",IF(C832="","Falta cantidad",IF(IFERROR(INDEX(UnidadesBase,MATCH(D832,Unidades,0)),"")&lt;&gt;INDEX(InsBase,MATCH(B832,ListaInsumos,0)),"Unidad incompatible",IF(F832="","Insumo sin compras","OK")))))</f>
        <v/>
      </c>
      <c r="I832" s="15"/>
    </row>
    <row r="833" customFormat="false" ht="15" hidden="false" customHeight="false" outlineLevel="0" collapsed="false">
      <c r="A833" s="15"/>
      <c r="B833" s="15"/>
      <c r="C833" s="27"/>
      <c r="D833" s="15"/>
      <c r="E833" s="25" t="str">
        <f aca="true">IF(OR(C833="",D833=""),"",IFERROR(C833*INDEX(UnidadesFactor,MATCH(D833,Unidades,0)),""))</f>
        <v/>
      </c>
      <c r="F833" s="18" t="str">
        <f aca="true">IF(B833="","",IFERROR(INDEX(InsCosto,MATCH(B833,ListaInsumos,0)),""))</f>
        <v/>
      </c>
      <c r="G833" s="19" t="str">
        <f aca="false">IF(AND(A833="",B833=""),"",IF(H833="OK",E833*F833,0))</f>
        <v/>
      </c>
      <c r="H833" s="20" t="str">
        <f aca="true">IF(AND(A833="",B833=""),"",IF(ISNA(MATCH(B833,ListaInsumos,0)),"Insumo no está en Insumos",IF(C833="","Falta cantidad",IF(IFERROR(INDEX(UnidadesBase,MATCH(D833,Unidades,0)),"")&lt;&gt;INDEX(InsBase,MATCH(B833,ListaInsumos,0)),"Unidad incompatible",IF(F833="","Insumo sin compras","OK")))))</f>
        <v/>
      </c>
      <c r="I833" s="15"/>
    </row>
    <row r="834" customFormat="false" ht="15" hidden="false" customHeight="false" outlineLevel="0" collapsed="false">
      <c r="A834" s="15"/>
      <c r="B834" s="15"/>
      <c r="C834" s="27"/>
      <c r="D834" s="15"/>
      <c r="E834" s="25" t="str">
        <f aca="true">IF(OR(C834="",D834=""),"",IFERROR(C834*INDEX(UnidadesFactor,MATCH(D834,Unidades,0)),""))</f>
        <v/>
      </c>
      <c r="F834" s="18" t="str">
        <f aca="true">IF(B834="","",IFERROR(INDEX(InsCosto,MATCH(B834,ListaInsumos,0)),""))</f>
        <v/>
      </c>
      <c r="G834" s="19" t="str">
        <f aca="false">IF(AND(A834="",B834=""),"",IF(H834="OK",E834*F834,0))</f>
        <v/>
      </c>
      <c r="H834" s="20" t="str">
        <f aca="true">IF(AND(A834="",B834=""),"",IF(ISNA(MATCH(B834,ListaInsumos,0)),"Insumo no está en Insumos",IF(C834="","Falta cantidad",IF(IFERROR(INDEX(UnidadesBase,MATCH(D834,Unidades,0)),"")&lt;&gt;INDEX(InsBase,MATCH(B834,ListaInsumos,0)),"Unidad incompatible",IF(F834="","Insumo sin compras","OK")))))</f>
        <v/>
      </c>
      <c r="I834" s="15"/>
    </row>
    <row r="835" customFormat="false" ht="15" hidden="false" customHeight="false" outlineLevel="0" collapsed="false">
      <c r="A835" s="15"/>
      <c r="B835" s="15"/>
      <c r="C835" s="27"/>
      <c r="D835" s="15"/>
      <c r="E835" s="25" t="str">
        <f aca="true">IF(OR(C835="",D835=""),"",IFERROR(C835*INDEX(UnidadesFactor,MATCH(D835,Unidades,0)),""))</f>
        <v/>
      </c>
      <c r="F835" s="18" t="str">
        <f aca="true">IF(B835="","",IFERROR(INDEX(InsCosto,MATCH(B835,ListaInsumos,0)),""))</f>
        <v/>
      </c>
      <c r="G835" s="19" t="str">
        <f aca="false">IF(AND(A835="",B835=""),"",IF(H835="OK",E835*F835,0))</f>
        <v/>
      </c>
      <c r="H835" s="20" t="str">
        <f aca="true">IF(AND(A835="",B835=""),"",IF(ISNA(MATCH(B835,ListaInsumos,0)),"Insumo no está en Insumos",IF(C835="","Falta cantidad",IF(IFERROR(INDEX(UnidadesBase,MATCH(D835,Unidades,0)),"")&lt;&gt;INDEX(InsBase,MATCH(B835,ListaInsumos,0)),"Unidad incompatible",IF(F835="","Insumo sin compras","OK")))))</f>
        <v/>
      </c>
      <c r="I835" s="15"/>
    </row>
    <row r="836" customFormat="false" ht="15" hidden="false" customHeight="false" outlineLevel="0" collapsed="false">
      <c r="A836" s="15"/>
      <c r="B836" s="15"/>
      <c r="C836" s="27"/>
      <c r="D836" s="15"/>
      <c r="E836" s="25" t="str">
        <f aca="true">IF(OR(C836="",D836=""),"",IFERROR(C836*INDEX(UnidadesFactor,MATCH(D836,Unidades,0)),""))</f>
        <v/>
      </c>
      <c r="F836" s="18" t="str">
        <f aca="true">IF(B836="","",IFERROR(INDEX(InsCosto,MATCH(B836,ListaInsumos,0)),""))</f>
        <v/>
      </c>
      <c r="G836" s="19" t="str">
        <f aca="false">IF(AND(A836="",B836=""),"",IF(H836="OK",E836*F836,0))</f>
        <v/>
      </c>
      <c r="H836" s="20" t="str">
        <f aca="true">IF(AND(A836="",B836=""),"",IF(ISNA(MATCH(B836,ListaInsumos,0)),"Insumo no está en Insumos",IF(C836="","Falta cantidad",IF(IFERROR(INDEX(UnidadesBase,MATCH(D836,Unidades,0)),"")&lt;&gt;INDEX(InsBase,MATCH(B836,ListaInsumos,0)),"Unidad incompatible",IF(F836="","Insumo sin compras","OK")))))</f>
        <v/>
      </c>
      <c r="I836" s="15"/>
    </row>
    <row r="837" customFormat="false" ht="15" hidden="false" customHeight="false" outlineLevel="0" collapsed="false">
      <c r="A837" s="15"/>
      <c r="B837" s="15"/>
      <c r="C837" s="27"/>
      <c r="D837" s="15"/>
      <c r="E837" s="25" t="str">
        <f aca="true">IF(OR(C837="",D837=""),"",IFERROR(C837*INDEX(UnidadesFactor,MATCH(D837,Unidades,0)),""))</f>
        <v/>
      </c>
      <c r="F837" s="18" t="str">
        <f aca="true">IF(B837="","",IFERROR(INDEX(InsCosto,MATCH(B837,ListaInsumos,0)),""))</f>
        <v/>
      </c>
      <c r="G837" s="19" t="str">
        <f aca="false">IF(AND(A837="",B837=""),"",IF(H837="OK",E837*F837,0))</f>
        <v/>
      </c>
      <c r="H837" s="20" t="str">
        <f aca="true">IF(AND(A837="",B837=""),"",IF(ISNA(MATCH(B837,ListaInsumos,0)),"Insumo no está en Insumos",IF(C837="","Falta cantidad",IF(IFERROR(INDEX(UnidadesBase,MATCH(D837,Unidades,0)),"")&lt;&gt;INDEX(InsBase,MATCH(B837,ListaInsumos,0)),"Unidad incompatible",IF(F837="","Insumo sin compras","OK")))))</f>
        <v/>
      </c>
      <c r="I837" s="15"/>
    </row>
    <row r="838" customFormat="false" ht="15" hidden="false" customHeight="false" outlineLevel="0" collapsed="false">
      <c r="A838" s="15"/>
      <c r="B838" s="15"/>
      <c r="C838" s="27"/>
      <c r="D838" s="15"/>
      <c r="E838" s="25" t="str">
        <f aca="true">IF(OR(C838="",D838=""),"",IFERROR(C838*INDEX(UnidadesFactor,MATCH(D838,Unidades,0)),""))</f>
        <v/>
      </c>
      <c r="F838" s="18" t="str">
        <f aca="true">IF(B838="","",IFERROR(INDEX(InsCosto,MATCH(B838,ListaInsumos,0)),""))</f>
        <v/>
      </c>
      <c r="G838" s="19" t="str">
        <f aca="false">IF(AND(A838="",B838=""),"",IF(H838="OK",E838*F838,0))</f>
        <v/>
      </c>
      <c r="H838" s="20" t="str">
        <f aca="true">IF(AND(A838="",B838=""),"",IF(ISNA(MATCH(B838,ListaInsumos,0)),"Insumo no está en Insumos",IF(C838="","Falta cantidad",IF(IFERROR(INDEX(UnidadesBase,MATCH(D838,Unidades,0)),"")&lt;&gt;INDEX(InsBase,MATCH(B838,ListaInsumos,0)),"Unidad incompatible",IF(F838="","Insumo sin compras","OK")))))</f>
        <v/>
      </c>
      <c r="I838" s="15"/>
    </row>
    <row r="839" customFormat="false" ht="15" hidden="false" customHeight="false" outlineLevel="0" collapsed="false">
      <c r="A839" s="15"/>
      <c r="B839" s="15"/>
      <c r="C839" s="27"/>
      <c r="D839" s="15"/>
      <c r="E839" s="25" t="str">
        <f aca="true">IF(OR(C839="",D839=""),"",IFERROR(C839*INDEX(UnidadesFactor,MATCH(D839,Unidades,0)),""))</f>
        <v/>
      </c>
      <c r="F839" s="18" t="str">
        <f aca="true">IF(B839="","",IFERROR(INDEX(InsCosto,MATCH(B839,ListaInsumos,0)),""))</f>
        <v/>
      </c>
      <c r="G839" s="19" t="str">
        <f aca="false">IF(AND(A839="",B839=""),"",IF(H839="OK",E839*F839,0))</f>
        <v/>
      </c>
      <c r="H839" s="20" t="str">
        <f aca="true">IF(AND(A839="",B839=""),"",IF(ISNA(MATCH(B839,ListaInsumos,0)),"Insumo no está en Insumos",IF(C839="","Falta cantidad",IF(IFERROR(INDEX(UnidadesBase,MATCH(D839,Unidades,0)),"")&lt;&gt;INDEX(InsBase,MATCH(B839,ListaInsumos,0)),"Unidad incompatible",IF(F839="","Insumo sin compras","OK")))))</f>
        <v/>
      </c>
      <c r="I839" s="15"/>
    </row>
    <row r="840" customFormat="false" ht="15" hidden="false" customHeight="false" outlineLevel="0" collapsed="false">
      <c r="A840" s="15"/>
      <c r="B840" s="15"/>
      <c r="C840" s="27"/>
      <c r="D840" s="15"/>
      <c r="E840" s="25" t="str">
        <f aca="true">IF(OR(C840="",D840=""),"",IFERROR(C840*INDEX(UnidadesFactor,MATCH(D840,Unidades,0)),""))</f>
        <v/>
      </c>
      <c r="F840" s="18" t="str">
        <f aca="true">IF(B840="","",IFERROR(INDEX(InsCosto,MATCH(B840,ListaInsumos,0)),""))</f>
        <v/>
      </c>
      <c r="G840" s="19" t="str">
        <f aca="false">IF(AND(A840="",B840=""),"",IF(H840="OK",E840*F840,0))</f>
        <v/>
      </c>
      <c r="H840" s="20" t="str">
        <f aca="true">IF(AND(A840="",B840=""),"",IF(ISNA(MATCH(B840,ListaInsumos,0)),"Insumo no está en Insumos",IF(C840="","Falta cantidad",IF(IFERROR(INDEX(UnidadesBase,MATCH(D840,Unidades,0)),"")&lt;&gt;INDEX(InsBase,MATCH(B840,ListaInsumos,0)),"Unidad incompatible",IF(F840="","Insumo sin compras","OK")))))</f>
        <v/>
      </c>
      <c r="I840" s="15"/>
    </row>
    <row r="841" customFormat="false" ht="15" hidden="false" customHeight="false" outlineLevel="0" collapsed="false">
      <c r="A841" s="15"/>
      <c r="B841" s="15"/>
      <c r="C841" s="27"/>
      <c r="D841" s="15"/>
      <c r="E841" s="25" t="str">
        <f aca="true">IF(OR(C841="",D841=""),"",IFERROR(C841*INDEX(UnidadesFactor,MATCH(D841,Unidades,0)),""))</f>
        <v/>
      </c>
      <c r="F841" s="18" t="str">
        <f aca="true">IF(B841="","",IFERROR(INDEX(InsCosto,MATCH(B841,ListaInsumos,0)),""))</f>
        <v/>
      </c>
      <c r="G841" s="19" t="str">
        <f aca="false">IF(AND(A841="",B841=""),"",IF(H841="OK",E841*F841,0))</f>
        <v/>
      </c>
      <c r="H841" s="20" t="str">
        <f aca="true">IF(AND(A841="",B841=""),"",IF(ISNA(MATCH(B841,ListaInsumos,0)),"Insumo no está en Insumos",IF(C841="","Falta cantidad",IF(IFERROR(INDEX(UnidadesBase,MATCH(D841,Unidades,0)),"")&lt;&gt;INDEX(InsBase,MATCH(B841,ListaInsumos,0)),"Unidad incompatible",IF(F841="","Insumo sin compras","OK")))))</f>
        <v/>
      </c>
      <c r="I841" s="15"/>
    </row>
    <row r="842" customFormat="false" ht="15" hidden="false" customHeight="false" outlineLevel="0" collapsed="false">
      <c r="A842" s="15"/>
      <c r="B842" s="15"/>
      <c r="C842" s="27"/>
      <c r="D842" s="15"/>
      <c r="E842" s="25" t="str">
        <f aca="true">IF(OR(C842="",D842=""),"",IFERROR(C842*INDEX(UnidadesFactor,MATCH(D842,Unidades,0)),""))</f>
        <v/>
      </c>
      <c r="F842" s="18" t="str">
        <f aca="true">IF(B842="","",IFERROR(INDEX(InsCosto,MATCH(B842,ListaInsumos,0)),""))</f>
        <v/>
      </c>
      <c r="G842" s="19" t="str">
        <f aca="false">IF(AND(A842="",B842=""),"",IF(H842="OK",E842*F842,0))</f>
        <v/>
      </c>
      <c r="H842" s="20" t="str">
        <f aca="true">IF(AND(A842="",B842=""),"",IF(ISNA(MATCH(B842,ListaInsumos,0)),"Insumo no está en Insumos",IF(C842="","Falta cantidad",IF(IFERROR(INDEX(UnidadesBase,MATCH(D842,Unidades,0)),"")&lt;&gt;INDEX(InsBase,MATCH(B842,ListaInsumos,0)),"Unidad incompatible",IF(F842="","Insumo sin compras","OK")))))</f>
        <v/>
      </c>
      <c r="I842" s="15"/>
    </row>
    <row r="843" customFormat="false" ht="15" hidden="false" customHeight="false" outlineLevel="0" collapsed="false">
      <c r="A843" s="15"/>
      <c r="B843" s="15"/>
      <c r="C843" s="27"/>
      <c r="D843" s="15"/>
      <c r="E843" s="25" t="str">
        <f aca="true">IF(OR(C843="",D843=""),"",IFERROR(C843*INDEX(UnidadesFactor,MATCH(D843,Unidades,0)),""))</f>
        <v/>
      </c>
      <c r="F843" s="18" t="str">
        <f aca="true">IF(B843="","",IFERROR(INDEX(InsCosto,MATCH(B843,ListaInsumos,0)),""))</f>
        <v/>
      </c>
      <c r="G843" s="19" t="str">
        <f aca="false">IF(AND(A843="",B843=""),"",IF(H843="OK",E843*F843,0))</f>
        <v/>
      </c>
      <c r="H843" s="20" t="str">
        <f aca="true">IF(AND(A843="",B843=""),"",IF(ISNA(MATCH(B843,ListaInsumos,0)),"Insumo no está en Insumos",IF(C843="","Falta cantidad",IF(IFERROR(INDEX(UnidadesBase,MATCH(D843,Unidades,0)),"")&lt;&gt;INDEX(InsBase,MATCH(B843,ListaInsumos,0)),"Unidad incompatible",IF(F843="","Insumo sin compras","OK")))))</f>
        <v/>
      </c>
      <c r="I843" s="15"/>
    </row>
    <row r="844" customFormat="false" ht="15" hidden="false" customHeight="false" outlineLevel="0" collapsed="false">
      <c r="A844" s="15"/>
      <c r="B844" s="15"/>
      <c r="C844" s="27"/>
      <c r="D844" s="15"/>
      <c r="E844" s="25" t="str">
        <f aca="true">IF(OR(C844="",D844=""),"",IFERROR(C844*INDEX(UnidadesFactor,MATCH(D844,Unidades,0)),""))</f>
        <v/>
      </c>
      <c r="F844" s="18" t="str">
        <f aca="true">IF(B844="","",IFERROR(INDEX(InsCosto,MATCH(B844,ListaInsumos,0)),""))</f>
        <v/>
      </c>
      <c r="G844" s="19" t="str">
        <f aca="false">IF(AND(A844="",B844=""),"",IF(H844="OK",E844*F844,0))</f>
        <v/>
      </c>
      <c r="H844" s="20" t="str">
        <f aca="true">IF(AND(A844="",B844=""),"",IF(ISNA(MATCH(B844,ListaInsumos,0)),"Insumo no está en Insumos",IF(C844="","Falta cantidad",IF(IFERROR(INDEX(UnidadesBase,MATCH(D844,Unidades,0)),"")&lt;&gt;INDEX(InsBase,MATCH(B844,ListaInsumos,0)),"Unidad incompatible",IF(F844="","Insumo sin compras","OK")))))</f>
        <v/>
      </c>
      <c r="I844" s="15"/>
    </row>
    <row r="845" customFormat="false" ht="15" hidden="false" customHeight="false" outlineLevel="0" collapsed="false">
      <c r="A845" s="15"/>
      <c r="B845" s="15"/>
      <c r="C845" s="27"/>
      <c r="D845" s="15"/>
      <c r="E845" s="25" t="str">
        <f aca="true">IF(OR(C845="",D845=""),"",IFERROR(C845*INDEX(UnidadesFactor,MATCH(D845,Unidades,0)),""))</f>
        <v/>
      </c>
      <c r="F845" s="18" t="str">
        <f aca="true">IF(B845="","",IFERROR(INDEX(InsCosto,MATCH(B845,ListaInsumos,0)),""))</f>
        <v/>
      </c>
      <c r="G845" s="19" t="str">
        <f aca="false">IF(AND(A845="",B845=""),"",IF(H845="OK",E845*F845,0))</f>
        <v/>
      </c>
      <c r="H845" s="20" t="str">
        <f aca="true">IF(AND(A845="",B845=""),"",IF(ISNA(MATCH(B845,ListaInsumos,0)),"Insumo no está en Insumos",IF(C845="","Falta cantidad",IF(IFERROR(INDEX(UnidadesBase,MATCH(D845,Unidades,0)),"")&lt;&gt;INDEX(InsBase,MATCH(B845,ListaInsumos,0)),"Unidad incompatible",IF(F845="","Insumo sin compras","OK")))))</f>
        <v/>
      </c>
      <c r="I845" s="15"/>
    </row>
    <row r="846" customFormat="false" ht="15" hidden="false" customHeight="false" outlineLevel="0" collapsed="false">
      <c r="A846" s="15"/>
      <c r="B846" s="15"/>
      <c r="C846" s="27"/>
      <c r="D846" s="15"/>
      <c r="E846" s="25" t="str">
        <f aca="true">IF(OR(C846="",D846=""),"",IFERROR(C846*INDEX(UnidadesFactor,MATCH(D846,Unidades,0)),""))</f>
        <v/>
      </c>
      <c r="F846" s="18" t="str">
        <f aca="true">IF(B846="","",IFERROR(INDEX(InsCosto,MATCH(B846,ListaInsumos,0)),""))</f>
        <v/>
      </c>
      <c r="G846" s="19" t="str">
        <f aca="false">IF(AND(A846="",B846=""),"",IF(H846="OK",E846*F846,0))</f>
        <v/>
      </c>
      <c r="H846" s="20" t="str">
        <f aca="true">IF(AND(A846="",B846=""),"",IF(ISNA(MATCH(B846,ListaInsumos,0)),"Insumo no está en Insumos",IF(C846="","Falta cantidad",IF(IFERROR(INDEX(UnidadesBase,MATCH(D846,Unidades,0)),"")&lt;&gt;INDEX(InsBase,MATCH(B846,ListaInsumos,0)),"Unidad incompatible",IF(F846="","Insumo sin compras","OK")))))</f>
        <v/>
      </c>
      <c r="I846" s="15"/>
    </row>
    <row r="847" customFormat="false" ht="15" hidden="false" customHeight="false" outlineLevel="0" collapsed="false">
      <c r="A847" s="15"/>
      <c r="B847" s="15"/>
      <c r="C847" s="27"/>
      <c r="D847" s="15"/>
      <c r="E847" s="25" t="str">
        <f aca="true">IF(OR(C847="",D847=""),"",IFERROR(C847*INDEX(UnidadesFactor,MATCH(D847,Unidades,0)),""))</f>
        <v/>
      </c>
      <c r="F847" s="18" t="str">
        <f aca="true">IF(B847="","",IFERROR(INDEX(InsCosto,MATCH(B847,ListaInsumos,0)),""))</f>
        <v/>
      </c>
      <c r="G847" s="19" t="str">
        <f aca="false">IF(AND(A847="",B847=""),"",IF(H847="OK",E847*F847,0))</f>
        <v/>
      </c>
      <c r="H847" s="20" t="str">
        <f aca="true">IF(AND(A847="",B847=""),"",IF(ISNA(MATCH(B847,ListaInsumos,0)),"Insumo no está en Insumos",IF(C847="","Falta cantidad",IF(IFERROR(INDEX(UnidadesBase,MATCH(D847,Unidades,0)),"")&lt;&gt;INDEX(InsBase,MATCH(B847,ListaInsumos,0)),"Unidad incompatible",IF(F847="","Insumo sin compras","OK")))))</f>
        <v/>
      </c>
      <c r="I847" s="15"/>
    </row>
    <row r="848" customFormat="false" ht="15" hidden="false" customHeight="false" outlineLevel="0" collapsed="false">
      <c r="A848" s="15"/>
      <c r="B848" s="15"/>
      <c r="C848" s="27"/>
      <c r="D848" s="15"/>
      <c r="E848" s="25" t="str">
        <f aca="true">IF(OR(C848="",D848=""),"",IFERROR(C848*INDEX(UnidadesFactor,MATCH(D848,Unidades,0)),""))</f>
        <v/>
      </c>
      <c r="F848" s="18" t="str">
        <f aca="true">IF(B848="","",IFERROR(INDEX(InsCosto,MATCH(B848,ListaInsumos,0)),""))</f>
        <v/>
      </c>
      <c r="G848" s="19" t="str">
        <f aca="false">IF(AND(A848="",B848=""),"",IF(H848="OK",E848*F848,0))</f>
        <v/>
      </c>
      <c r="H848" s="20" t="str">
        <f aca="true">IF(AND(A848="",B848=""),"",IF(ISNA(MATCH(B848,ListaInsumos,0)),"Insumo no está en Insumos",IF(C848="","Falta cantidad",IF(IFERROR(INDEX(UnidadesBase,MATCH(D848,Unidades,0)),"")&lt;&gt;INDEX(InsBase,MATCH(B848,ListaInsumos,0)),"Unidad incompatible",IF(F848="","Insumo sin compras","OK")))))</f>
        <v/>
      </c>
      <c r="I848" s="15"/>
    </row>
    <row r="849" customFormat="false" ht="15" hidden="false" customHeight="false" outlineLevel="0" collapsed="false">
      <c r="A849" s="15"/>
      <c r="B849" s="15"/>
      <c r="C849" s="27"/>
      <c r="D849" s="15"/>
      <c r="E849" s="25" t="str">
        <f aca="true">IF(OR(C849="",D849=""),"",IFERROR(C849*INDEX(UnidadesFactor,MATCH(D849,Unidades,0)),""))</f>
        <v/>
      </c>
      <c r="F849" s="18" t="str">
        <f aca="true">IF(B849="","",IFERROR(INDEX(InsCosto,MATCH(B849,ListaInsumos,0)),""))</f>
        <v/>
      </c>
      <c r="G849" s="19" t="str">
        <f aca="false">IF(AND(A849="",B849=""),"",IF(H849="OK",E849*F849,0))</f>
        <v/>
      </c>
      <c r="H849" s="20" t="str">
        <f aca="true">IF(AND(A849="",B849=""),"",IF(ISNA(MATCH(B849,ListaInsumos,0)),"Insumo no está en Insumos",IF(C849="","Falta cantidad",IF(IFERROR(INDEX(UnidadesBase,MATCH(D849,Unidades,0)),"")&lt;&gt;INDEX(InsBase,MATCH(B849,ListaInsumos,0)),"Unidad incompatible",IF(F849="","Insumo sin compras","OK")))))</f>
        <v/>
      </c>
      <c r="I849" s="15"/>
    </row>
    <row r="850" customFormat="false" ht="15" hidden="false" customHeight="false" outlineLevel="0" collapsed="false">
      <c r="A850" s="15"/>
      <c r="B850" s="15"/>
      <c r="C850" s="27"/>
      <c r="D850" s="15"/>
      <c r="E850" s="25" t="str">
        <f aca="true">IF(OR(C850="",D850=""),"",IFERROR(C850*INDEX(UnidadesFactor,MATCH(D850,Unidades,0)),""))</f>
        <v/>
      </c>
      <c r="F850" s="18" t="str">
        <f aca="true">IF(B850="","",IFERROR(INDEX(InsCosto,MATCH(B850,ListaInsumos,0)),""))</f>
        <v/>
      </c>
      <c r="G850" s="19" t="str">
        <f aca="false">IF(AND(A850="",B850=""),"",IF(H850="OK",E850*F850,0))</f>
        <v/>
      </c>
      <c r="H850" s="20" t="str">
        <f aca="true">IF(AND(A850="",B850=""),"",IF(ISNA(MATCH(B850,ListaInsumos,0)),"Insumo no está en Insumos",IF(C850="","Falta cantidad",IF(IFERROR(INDEX(UnidadesBase,MATCH(D850,Unidades,0)),"")&lt;&gt;INDEX(InsBase,MATCH(B850,ListaInsumos,0)),"Unidad incompatible",IF(F850="","Insumo sin compras","OK")))))</f>
        <v/>
      </c>
      <c r="I850" s="15"/>
    </row>
    <row r="851" customFormat="false" ht="15" hidden="false" customHeight="false" outlineLevel="0" collapsed="false">
      <c r="A851" s="15"/>
      <c r="B851" s="15"/>
      <c r="C851" s="27"/>
      <c r="D851" s="15"/>
      <c r="E851" s="25" t="str">
        <f aca="true">IF(OR(C851="",D851=""),"",IFERROR(C851*INDEX(UnidadesFactor,MATCH(D851,Unidades,0)),""))</f>
        <v/>
      </c>
      <c r="F851" s="18" t="str">
        <f aca="true">IF(B851="","",IFERROR(INDEX(InsCosto,MATCH(B851,ListaInsumos,0)),""))</f>
        <v/>
      </c>
      <c r="G851" s="19" t="str">
        <f aca="false">IF(AND(A851="",B851=""),"",IF(H851="OK",E851*F851,0))</f>
        <v/>
      </c>
      <c r="H851" s="20" t="str">
        <f aca="true">IF(AND(A851="",B851=""),"",IF(ISNA(MATCH(B851,ListaInsumos,0)),"Insumo no está en Insumos",IF(C851="","Falta cantidad",IF(IFERROR(INDEX(UnidadesBase,MATCH(D851,Unidades,0)),"")&lt;&gt;INDEX(InsBase,MATCH(B851,ListaInsumos,0)),"Unidad incompatible",IF(F851="","Insumo sin compras","OK")))))</f>
        <v/>
      </c>
      <c r="I851" s="15"/>
    </row>
    <row r="852" customFormat="false" ht="15" hidden="false" customHeight="false" outlineLevel="0" collapsed="false">
      <c r="A852" s="15"/>
      <c r="B852" s="15"/>
      <c r="C852" s="27"/>
      <c r="D852" s="15"/>
      <c r="E852" s="25" t="str">
        <f aca="true">IF(OR(C852="",D852=""),"",IFERROR(C852*INDEX(UnidadesFactor,MATCH(D852,Unidades,0)),""))</f>
        <v/>
      </c>
      <c r="F852" s="18" t="str">
        <f aca="true">IF(B852="","",IFERROR(INDEX(InsCosto,MATCH(B852,ListaInsumos,0)),""))</f>
        <v/>
      </c>
      <c r="G852" s="19" t="str">
        <f aca="false">IF(AND(A852="",B852=""),"",IF(H852="OK",E852*F852,0))</f>
        <v/>
      </c>
      <c r="H852" s="20" t="str">
        <f aca="true">IF(AND(A852="",B852=""),"",IF(ISNA(MATCH(B852,ListaInsumos,0)),"Insumo no está en Insumos",IF(C852="","Falta cantidad",IF(IFERROR(INDEX(UnidadesBase,MATCH(D852,Unidades,0)),"")&lt;&gt;INDEX(InsBase,MATCH(B852,ListaInsumos,0)),"Unidad incompatible",IF(F852="","Insumo sin compras","OK")))))</f>
        <v/>
      </c>
      <c r="I852" s="15"/>
    </row>
    <row r="853" customFormat="false" ht="15" hidden="false" customHeight="false" outlineLevel="0" collapsed="false">
      <c r="A853" s="15"/>
      <c r="B853" s="15"/>
      <c r="C853" s="27"/>
      <c r="D853" s="15"/>
      <c r="E853" s="25" t="str">
        <f aca="true">IF(OR(C853="",D853=""),"",IFERROR(C853*INDEX(UnidadesFactor,MATCH(D853,Unidades,0)),""))</f>
        <v/>
      </c>
      <c r="F853" s="18" t="str">
        <f aca="true">IF(B853="","",IFERROR(INDEX(InsCosto,MATCH(B853,ListaInsumos,0)),""))</f>
        <v/>
      </c>
      <c r="G853" s="19" t="str">
        <f aca="false">IF(AND(A853="",B853=""),"",IF(H853="OK",E853*F853,0))</f>
        <v/>
      </c>
      <c r="H853" s="20" t="str">
        <f aca="true">IF(AND(A853="",B853=""),"",IF(ISNA(MATCH(B853,ListaInsumos,0)),"Insumo no está en Insumos",IF(C853="","Falta cantidad",IF(IFERROR(INDEX(UnidadesBase,MATCH(D853,Unidades,0)),"")&lt;&gt;INDEX(InsBase,MATCH(B853,ListaInsumos,0)),"Unidad incompatible",IF(F853="","Insumo sin compras","OK")))))</f>
        <v/>
      </c>
      <c r="I853" s="15"/>
    </row>
    <row r="854" customFormat="false" ht="15" hidden="false" customHeight="false" outlineLevel="0" collapsed="false">
      <c r="A854" s="15"/>
      <c r="B854" s="15"/>
      <c r="C854" s="27"/>
      <c r="D854" s="15"/>
      <c r="E854" s="25" t="str">
        <f aca="true">IF(OR(C854="",D854=""),"",IFERROR(C854*INDEX(UnidadesFactor,MATCH(D854,Unidades,0)),""))</f>
        <v/>
      </c>
      <c r="F854" s="18" t="str">
        <f aca="true">IF(B854="","",IFERROR(INDEX(InsCosto,MATCH(B854,ListaInsumos,0)),""))</f>
        <v/>
      </c>
      <c r="G854" s="19" t="str">
        <f aca="false">IF(AND(A854="",B854=""),"",IF(H854="OK",E854*F854,0))</f>
        <v/>
      </c>
      <c r="H854" s="20" t="str">
        <f aca="true">IF(AND(A854="",B854=""),"",IF(ISNA(MATCH(B854,ListaInsumos,0)),"Insumo no está en Insumos",IF(C854="","Falta cantidad",IF(IFERROR(INDEX(UnidadesBase,MATCH(D854,Unidades,0)),"")&lt;&gt;INDEX(InsBase,MATCH(B854,ListaInsumos,0)),"Unidad incompatible",IF(F854="","Insumo sin compras","OK")))))</f>
        <v/>
      </c>
      <c r="I854" s="15"/>
    </row>
    <row r="855" customFormat="false" ht="15" hidden="false" customHeight="false" outlineLevel="0" collapsed="false">
      <c r="A855" s="15"/>
      <c r="B855" s="15"/>
      <c r="C855" s="27"/>
      <c r="D855" s="15"/>
      <c r="E855" s="25" t="str">
        <f aca="true">IF(OR(C855="",D855=""),"",IFERROR(C855*INDEX(UnidadesFactor,MATCH(D855,Unidades,0)),""))</f>
        <v/>
      </c>
      <c r="F855" s="18" t="str">
        <f aca="true">IF(B855="","",IFERROR(INDEX(InsCosto,MATCH(B855,ListaInsumos,0)),""))</f>
        <v/>
      </c>
      <c r="G855" s="19" t="str">
        <f aca="false">IF(AND(A855="",B855=""),"",IF(H855="OK",E855*F855,0))</f>
        <v/>
      </c>
      <c r="H855" s="20" t="str">
        <f aca="true">IF(AND(A855="",B855=""),"",IF(ISNA(MATCH(B855,ListaInsumos,0)),"Insumo no está en Insumos",IF(C855="","Falta cantidad",IF(IFERROR(INDEX(UnidadesBase,MATCH(D855,Unidades,0)),"")&lt;&gt;INDEX(InsBase,MATCH(B855,ListaInsumos,0)),"Unidad incompatible",IF(F855="","Insumo sin compras","OK")))))</f>
        <v/>
      </c>
      <c r="I855" s="15"/>
    </row>
    <row r="856" customFormat="false" ht="15" hidden="false" customHeight="false" outlineLevel="0" collapsed="false">
      <c r="A856" s="15"/>
      <c r="B856" s="15"/>
      <c r="C856" s="27"/>
      <c r="D856" s="15"/>
      <c r="E856" s="25" t="str">
        <f aca="true">IF(OR(C856="",D856=""),"",IFERROR(C856*INDEX(UnidadesFactor,MATCH(D856,Unidades,0)),""))</f>
        <v/>
      </c>
      <c r="F856" s="18" t="str">
        <f aca="true">IF(B856="","",IFERROR(INDEX(InsCosto,MATCH(B856,ListaInsumos,0)),""))</f>
        <v/>
      </c>
      <c r="G856" s="19" t="str">
        <f aca="false">IF(AND(A856="",B856=""),"",IF(H856="OK",E856*F856,0))</f>
        <v/>
      </c>
      <c r="H856" s="20" t="str">
        <f aca="true">IF(AND(A856="",B856=""),"",IF(ISNA(MATCH(B856,ListaInsumos,0)),"Insumo no está en Insumos",IF(C856="","Falta cantidad",IF(IFERROR(INDEX(UnidadesBase,MATCH(D856,Unidades,0)),"")&lt;&gt;INDEX(InsBase,MATCH(B856,ListaInsumos,0)),"Unidad incompatible",IF(F856="","Insumo sin compras","OK")))))</f>
        <v/>
      </c>
      <c r="I856" s="15"/>
    </row>
    <row r="857" customFormat="false" ht="15" hidden="false" customHeight="false" outlineLevel="0" collapsed="false">
      <c r="A857" s="15"/>
      <c r="B857" s="15"/>
      <c r="C857" s="27"/>
      <c r="D857" s="15"/>
      <c r="E857" s="25" t="str">
        <f aca="true">IF(OR(C857="",D857=""),"",IFERROR(C857*INDEX(UnidadesFactor,MATCH(D857,Unidades,0)),""))</f>
        <v/>
      </c>
      <c r="F857" s="18" t="str">
        <f aca="true">IF(B857="","",IFERROR(INDEX(InsCosto,MATCH(B857,ListaInsumos,0)),""))</f>
        <v/>
      </c>
      <c r="G857" s="19" t="str">
        <f aca="false">IF(AND(A857="",B857=""),"",IF(H857="OK",E857*F857,0))</f>
        <v/>
      </c>
      <c r="H857" s="20" t="str">
        <f aca="true">IF(AND(A857="",B857=""),"",IF(ISNA(MATCH(B857,ListaInsumos,0)),"Insumo no está en Insumos",IF(C857="","Falta cantidad",IF(IFERROR(INDEX(UnidadesBase,MATCH(D857,Unidades,0)),"")&lt;&gt;INDEX(InsBase,MATCH(B857,ListaInsumos,0)),"Unidad incompatible",IF(F857="","Insumo sin compras","OK")))))</f>
        <v/>
      </c>
      <c r="I857" s="15"/>
    </row>
    <row r="858" customFormat="false" ht="15" hidden="false" customHeight="false" outlineLevel="0" collapsed="false">
      <c r="A858" s="15"/>
      <c r="B858" s="15"/>
      <c r="C858" s="27"/>
      <c r="D858" s="15"/>
      <c r="E858" s="25" t="str">
        <f aca="true">IF(OR(C858="",D858=""),"",IFERROR(C858*INDEX(UnidadesFactor,MATCH(D858,Unidades,0)),""))</f>
        <v/>
      </c>
      <c r="F858" s="18" t="str">
        <f aca="true">IF(B858="","",IFERROR(INDEX(InsCosto,MATCH(B858,ListaInsumos,0)),""))</f>
        <v/>
      </c>
      <c r="G858" s="19" t="str">
        <f aca="false">IF(AND(A858="",B858=""),"",IF(H858="OK",E858*F858,0))</f>
        <v/>
      </c>
      <c r="H858" s="20" t="str">
        <f aca="true">IF(AND(A858="",B858=""),"",IF(ISNA(MATCH(B858,ListaInsumos,0)),"Insumo no está en Insumos",IF(C858="","Falta cantidad",IF(IFERROR(INDEX(UnidadesBase,MATCH(D858,Unidades,0)),"")&lt;&gt;INDEX(InsBase,MATCH(B858,ListaInsumos,0)),"Unidad incompatible",IF(F858="","Insumo sin compras","OK")))))</f>
        <v/>
      </c>
      <c r="I858" s="15"/>
    </row>
    <row r="859" customFormat="false" ht="15" hidden="false" customHeight="false" outlineLevel="0" collapsed="false">
      <c r="A859" s="15"/>
      <c r="B859" s="15"/>
      <c r="C859" s="27"/>
      <c r="D859" s="15"/>
      <c r="E859" s="25" t="str">
        <f aca="true">IF(OR(C859="",D859=""),"",IFERROR(C859*INDEX(UnidadesFactor,MATCH(D859,Unidades,0)),""))</f>
        <v/>
      </c>
      <c r="F859" s="18" t="str">
        <f aca="true">IF(B859="","",IFERROR(INDEX(InsCosto,MATCH(B859,ListaInsumos,0)),""))</f>
        <v/>
      </c>
      <c r="G859" s="19" t="str">
        <f aca="false">IF(AND(A859="",B859=""),"",IF(H859="OK",E859*F859,0))</f>
        <v/>
      </c>
      <c r="H859" s="20" t="str">
        <f aca="true">IF(AND(A859="",B859=""),"",IF(ISNA(MATCH(B859,ListaInsumos,0)),"Insumo no está en Insumos",IF(C859="","Falta cantidad",IF(IFERROR(INDEX(UnidadesBase,MATCH(D859,Unidades,0)),"")&lt;&gt;INDEX(InsBase,MATCH(B859,ListaInsumos,0)),"Unidad incompatible",IF(F859="","Insumo sin compras","OK")))))</f>
        <v/>
      </c>
      <c r="I859" s="15"/>
    </row>
    <row r="860" customFormat="false" ht="15" hidden="false" customHeight="false" outlineLevel="0" collapsed="false">
      <c r="A860" s="15"/>
      <c r="B860" s="15"/>
      <c r="C860" s="27"/>
      <c r="D860" s="15"/>
      <c r="E860" s="25" t="str">
        <f aca="true">IF(OR(C860="",D860=""),"",IFERROR(C860*INDEX(UnidadesFactor,MATCH(D860,Unidades,0)),""))</f>
        <v/>
      </c>
      <c r="F860" s="18" t="str">
        <f aca="true">IF(B860="","",IFERROR(INDEX(InsCosto,MATCH(B860,ListaInsumos,0)),""))</f>
        <v/>
      </c>
      <c r="G860" s="19" t="str">
        <f aca="false">IF(AND(A860="",B860=""),"",IF(H860="OK",E860*F860,0))</f>
        <v/>
      </c>
      <c r="H860" s="20" t="str">
        <f aca="true">IF(AND(A860="",B860=""),"",IF(ISNA(MATCH(B860,ListaInsumos,0)),"Insumo no está en Insumos",IF(C860="","Falta cantidad",IF(IFERROR(INDEX(UnidadesBase,MATCH(D860,Unidades,0)),"")&lt;&gt;INDEX(InsBase,MATCH(B860,ListaInsumos,0)),"Unidad incompatible",IF(F860="","Insumo sin compras","OK")))))</f>
        <v/>
      </c>
      <c r="I860" s="15"/>
    </row>
    <row r="861" customFormat="false" ht="15" hidden="false" customHeight="false" outlineLevel="0" collapsed="false">
      <c r="A861" s="15"/>
      <c r="B861" s="15"/>
      <c r="C861" s="27"/>
      <c r="D861" s="15"/>
      <c r="E861" s="25" t="str">
        <f aca="true">IF(OR(C861="",D861=""),"",IFERROR(C861*INDEX(UnidadesFactor,MATCH(D861,Unidades,0)),""))</f>
        <v/>
      </c>
      <c r="F861" s="18" t="str">
        <f aca="true">IF(B861="","",IFERROR(INDEX(InsCosto,MATCH(B861,ListaInsumos,0)),""))</f>
        <v/>
      </c>
      <c r="G861" s="19" t="str">
        <f aca="false">IF(AND(A861="",B861=""),"",IF(H861="OK",E861*F861,0))</f>
        <v/>
      </c>
      <c r="H861" s="20" t="str">
        <f aca="true">IF(AND(A861="",B861=""),"",IF(ISNA(MATCH(B861,ListaInsumos,0)),"Insumo no está en Insumos",IF(C861="","Falta cantidad",IF(IFERROR(INDEX(UnidadesBase,MATCH(D861,Unidades,0)),"")&lt;&gt;INDEX(InsBase,MATCH(B861,ListaInsumos,0)),"Unidad incompatible",IF(F861="","Insumo sin compras","OK")))))</f>
        <v/>
      </c>
      <c r="I861" s="15"/>
    </row>
    <row r="862" customFormat="false" ht="15" hidden="false" customHeight="false" outlineLevel="0" collapsed="false">
      <c r="A862" s="15"/>
      <c r="B862" s="15"/>
      <c r="C862" s="27"/>
      <c r="D862" s="15"/>
      <c r="E862" s="25" t="str">
        <f aca="true">IF(OR(C862="",D862=""),"",IFERROR(C862*INDEX(UnidadesFactor,MATCH(D862,Unidades,0)),""))</f>
        <v/>
      </c>
      <c r="F862" s="18" t="str">
        <f aca="true">IF(B862="","",IFERROR(INDEX(InsCosto,MATCH(B862,ListaInsumos,0)),""))</f>
        <v/>
      </c>
      <c r="G862" s="19" t="str">
        <f aca="false">IF(AND(A862="",B862=""),"",IF(H862="OK",E862*F862,0))</f>
        <v/>
      </c>
      <c r="H862" s="20" t="str">
        <f aca="true">IF(AND(A862="",B862=""),"",IF(ISNA(MATCH(B862,ListaInsumos,0)),"Insumo no está en Insumos",IF(C862="","Falta cantidad",IF(IFERROR(INDEX(UnidadesBase,MATCH(D862,Unidades,0)),"")&lt;&gt;INDEX(InsBase,MATCH(B862,ListaInsumos,0)),"Unidad incompatible",IF(F862="","Insumo sin compras","OK")))))</f>
        <v/>
      </c>
      <c r="I862" s="15"/>
    </row>
    <row r="863" customFormat="false" ht="15" hidden="false" customHeight="false" outlineLevel="0" collapsed="false">
      <c r="A863" s="15"/>
      <c r="B863" s="15"/>
      <c r="C863" s="27"/>
      <c r="D863" s="15"/>
      <c r="E863" s="25" t="str">
        <f aca="true">IF(OR(C863="",D863=""),"",IFERROR(C863*INDEX(UnidadesFactor,MATCH(D863,Unidades,0)),""))</f>
        <v/>
      </c>
      <c r="F863" s="18" t="str">
        <f aca="true">IF(B863="","",IFERROR(INDEX(InsCosto,MATCH(B863,ListaInsumos,0)),""))</f>
        <v/>
      </c>
      <c r="G863" s="19" t="str">
        <f aca="false">IF(AND(A863="",B863=""),"",IF(H863="OK",E863*F863,0))</f>
        <v/>
      </c>
      <c r="H863" s="20" t="str">
        <f aca="true">IF(AND(A863="",B863=""),"",IF(ISNA(MATCH(B863,ListaInsumos,0)),"Insumo no está en Insumos",IF(C863="","Falta cantidad",IF(IFERROR(INDEX(UnidadesBase,MATCH(D863,Unidades,0)),"")&lt;&gt;INDEX(InsBase,MATCH(B863,ListaInsumos,0)),"Unidad incompatible",IF(F863="","Insumo sin compras","OK")))))</f>
        <v/>
      </c>
      <c r="I863" s="15"/>
    </row>
    <row r="864" customFormat="false" ht="15" hidden="false" customHeight="false" outlineLevel="0" collapsed="false">
      <c r="A864" s="15"/>
      <c r="B864" s="15"/>
      <c r="C864" s="27"/>
      <c r="D864" s="15"/>
      <c r="E864" s="25" t="str">
        <f aca="true">IF(OR(C864="",D864=""),"",IFERROR(C864*INDEX(UnidadesFactor,MATCH(D864,Unidades,0)),""))</f>
        <v/>
      </c>
      <c r="F864" s="18" t="str">
        <f aca="true">IF(B864="","",IFERROR(INDEX(InsCosto,MATCH(B864,ListaInsumos,0)),""))</f>
        <v/>
      </c>
      <c r="G864" s="19" t="str">
        <f aca="false">IF(AND(A864="",B864=""),"",IF(H864="OK",E864*F864,0))</f>
        <v/>
      </c>
      <c r="H864" s="20" t="str">
        <f aca="true">IF(AND(A864="",B864=""),"",IF(ISNA(MATCH(B864,ListaInsumos,0)),"Insumo no está en Insumos",IF(C864="","Falta cantidad",IF(IFERROR(INDEX(UnidadesBase,MATCH(D864,Unidades,0)),"")&lt;&gt;INDEX(InsBase,MATCH(B864,ListaInsumos,0)),"Unidad incompatible",IF(F864="","Insumo sin compras","OK")))))</f>
        <v/>
      </c>
      <c r="I864" s="15"/>
    </row>
    <row r="865" customFormat="false" ht="15" hidden="false" customHeight="false" outlineLevel="0" collapsed="false">
      <c r="A865" s="15"/>
      <c r="B865" s="15"/>
      <c r="C865" s="27"/>
      <c r="D865" s="15"/>
      <c r="E865" s="25" t="str">
        <f aca="true">IF(OR(C865="",D865=""),"",IFERROR(C865*INDEX(UnidadesFactor,MATCH(D865,Unidades,0)),""))</f>
        <v/>
      </c>
      <c r="F865" s="18" t="str">
        <f aca="true">IF(B865="","",IFERROR(INDEX(InsCosto,MATCH(B865,ListaInsumos,0)),""))</f>
        <v/>
      </c>
      <c r="G865" s="19" t="str">
        <f aca="false">IF(AND(A865="",B865=""),"",IF(H865="OK",E865*F865,0))</f>
        <v/>
      </c>
      <c r="H865" s="20" t="str">
        <f aca="true">IF(AND(A865="",B865=""),"",IF(ISNA(MATCH(B865,ListaInsumos,0)),"Insumo no está en Insumos",IF(C865="","Falta cantidad",IF(IFERROR(INDEX(UnidadesBase,MATCH(D865,Unidades,0)),"")&lt;&gt;INDEX(InsBase,MATCH(B865,ListaInsumos,0)),"Unidad incompatible",IF(F865="","Insumo sin compras","OK")))))</f>
        <v/>
      </c>
      <c r="I865" s="15"/>
    </row>
    <row r="866" customFormat="false" ht="15" hidden="false" customHeight="false" outlineLevel="0" collapsed="false">
      <c r="A866" s="15"/>
      <c r="B866" s="15"/>
      <c r="C866" s="27"/>
      <c r="D866" s="15"/>
      <c r="E866" s="25" t="str">
        <f aca="true">IF(OR(C866="",D866=""),"",IFERROR(C866*INDEX(UnidadesFactor,MATCH(D866,Unidades,0)),""))</f>
        <v/>
      </c>
      <c r="F866" s="18" t="str">
        <f aca="true">IF(B866="","",IFERROR(INDEX(InsCosto,MATCH(B866,ListaInsumos,0)),""))</f>
        <v/>
      </c>
      <c r="G866" s="19" t="str">
        <f aca="false">IF(AND(A866="",B866=""),"",IF(H866="OK",E866*F866,0))</f>
        <v/>
      </c>
      <c r="H866" s="20" t="str">
        <f aca="true">IF(AND(A866="",B866=""),"",IF(ISNA(MATCH(B866,ListaInsumos,0)),"Insumo no está en Insumos",IF(C866="","Falta cantidad",IF(IFERROR(INDEX(UnidadesBase,MATCH(D866,Unidades,0)),"")&lt;&gt;INDEX(InsBase,MATCH(B866,ListaInsumos,0)),"Unidad incompatible",IF(F866="","Insumo sin compras","OK")))))</f>
        <v/>
      </c>
      <c r="I866" s="15"/>
    </row>
    <row r="867" customFormat="false" ht="15" hidden="false" customHeight="false" outlineLevel="0" collapsed="false">
      <c r="A867" s="15"/>
      <c r="B867" s="15"/>
      <c r="C867" s="27"/>
      <c r="D867" s="15"/>
      <c r="E867" s="25" t="str">
        <f aca="true">IF(OR(C867="",D867=""),"",IFERROR(C867*INDEX(UnidadesFactor,MATCH(D867,Unidades,0)),""))</f>
        <v/>
      </c>
      <c r="F867" s="18" t="str">
        <f aca="true">IF(B867="","",IFERROR(INDEX(InsCosto,MATCH(B867,ListaInsumos,0)),""))</f>
        <v/>
      </c>
      <c r="G867" s="19" t="str">
        <f aca="false">IF(AND(A867="",B867=""),"",IF(H867="OK",E867*F867,0))</f>
        <v/>
      </c>
      <c r="H867" s="20" t="str">
        <f aca="true">IF(AND(A867="",B867=""),"",IF(ISNA(MATCH(B867,ListaInsumos,0)),"Insumo no está en Insumos",IF(C867="","Falta cantidad",IF(IFERROR(INDEX(UnidadesBase,MATCH(D867,Unidades,0)),"")&lt;&gt;INDEX(InsBase,MATCH(B867,ListaInsumos,0)),"Unidad incompatible",IF(F867="","Insumo sin compras","OK")))))</f>
        <v/>
      </c>
      <c r="I867" s="15"/>
    </row>
    <row r="868" customFormat="false" ht="15" hidden="false" customHeight="false" outlineLevel="0" collapsed="false">
      <c r="A868" s="15"/>
      <c r="B868" s="15"/>
      <c r="C868" s="27"/>
      <c r="D868" s="15"/>
      <c r="E868" s="25" t="str">
        <f aca="true">IF(OR(C868="",D868=""),"",IFERROR(C868*INDEX(UnidadesFactor,MATCH(D868,Unidades,0)),""))</f>
        <v/>
      </c>
      <c r="F868" s="18" t="str">
        <f aca="true">IF(B868="","",IFERROR(INDEX(InsCosto,MATCH(B868,ListaInsumos,0)),""))</f>
        <v/>
      </c>
      <c r="G868" s="19" t="str">
        <f aca="false">IF(AND(A868="",B868=""),"",IF(H868="OK",E868*F868,0))</f>
        <v/>
      </c>
      <c r="H868" s="20" t="str">
        <f aca="true">IF(AND(A868="",B868=""),"",IF(ISNA(MATCH(B868,ListaInsumos,0)),"Insumo no está en Insumos",IF(C868="","Falta cantidad",IF(IFERROR(INDEX(UnidadesBase,MATCH(D868,Unidades,0)),"")&lt;&gt;INDEX(InsBase,MATCH(B868,ListaInsumos,0)),"Unidad incompatible",IF(F868="","Insumo sin compras","OK")))))</f>
        <v/>
      </c>
      <c r="I868" s="15"/>
    </row>
    <row r="869" customFormat="false" ht="15" hidden="false" customHeight="false" outlineLevel="0" collapsed="false">
      <c r="A869" s="15"/>
      <c r="B869" s="15"/>
      <c r="C869" s="27"/>
      <c r="D869" s="15"/>
      <c r="E869" s="25" t="str">
        <f aca="true">IF(OR(C869="",D869=""),"",IFERROR(C869*INDEX(UnidadesFactor,MATCH(D869,Unidades,0)),""))</f>
        <v/>
      </c>
      <c r="F869" s="18" t="str">
        <f aca="true">IF(B869="","",IFERROR(INDEX(InsCosto,MATCH(B869,ListaInsumos,0)),""))</f>
        <v/>
      </c>
      <c r="G869" s="19" t="str">
        <f aca="false">IF(AND(A869="",B869=""),"",IF(H869="OK",E869*F869,0))</f>
        <v/>
      </c>
      <c r="H869" s="20" t="str">
        <f aca="true">IF(AND(A869="",B869=""),"",IF(ISNA(MATCH(B869,ListaInsumos,0)),"Insumo no está en Insumos",IF(C869="","Falta cantidad",IF(IFERROR(INDEX(UnidadesBase,MATCH(D869,Unidades,0)),"")&lt;&gt;INDEX(InsBase,MATCH(B869,ListaInsumos,0)),"Unidad incompatible",IF(F869="","Insumo sin compras","OK")))))</f>
        <v/>
      </c>
      <c r="I869" s="15"/>
    </row>
    <row r="870" customFormat="false" ht="15" hidden="false" customHeight="false" outlineLevel="0" collapsed="false">
      <c r="A870" s="15"/>
      <c r="B870" s="15"/>
      <c r="C870" s="27"/>
      <c r="D870" s="15"/>
      <c r="E870" s="25" t="str">
        <f aca="true">IF(OR(C870="",D870=""),"",IFERROR(C870*INDEX(UnidadesFactor,MATCH(D870,Unidades,0)),""))</f>
        <v/>
      </c>
      <c r="F870" s="18" t="str">
        <f aca="true">IF(B870="","",IFERROR(INDEX(InsCosto,MATCH(B870,ListaInsumos,0)),""))</f>
        <v/>
      </c>
      <c r="G870" s="19" t="str">
        <f aca="false">IF(AND(A870="",B870=""),"",IF(H870="OK",E870*F870,0))</f>
        <v/>
      </c>
      <c r="H870" s="20" t="str">
        <f aca="true">IF(AND(A870="",B870=""),"",IF(ISNA(MATCH(B870,ListaInsumos,0)),"Insumo no está en Insumos",IF(C870="","Falta cantidad",IF(IFERROR(INDEX(UnidadesBase,MATCH(D870,Unidades,0)),"")&lt;&gt;INDEX(InsBase,MATCH(B870,ListaInsumos,0)),"Unidad incompatible",IF(F870="","Insumo sin compras","OK")))))</f>
        <v/>
      </c>
      <c r="I870" s="15"/>
    </row>
    <row r="871" customFormat="false" ht="15" hidden="false" customHeight="false" outlineLevel="0" collapsed="false">
      <c r="A871" s="15"/>
      <c r="B871" s="15"/>
      <c r="C871" s="27"/>
      <c r="D871" s="15"/>
      <c r="E871" s="25" t="str">
        <f aca="true">IF(OR(C871="",D871=""),"",IFERROR(C871*INDEX(UnidadesFactor,MATCH(D871,Unidades,0)),""))</f>
        <v/>
      </c>
      <c r="F871" s="18" t="str">
        <f aca="true">IF(B871="","",IFERROR(INDEX(InsCosto,MATCH(B871,ListaInsumos,0)),""))</f>
        <v/>
      </c>
      <c r="G871" s="19" t="str">
        <f aca="false">IF(AND(A871="",B871=""),"",IF(H871="OK",E871*F871,0))</f>
        <v/>
      </c>
      <c r="H871" s="20" t="str">
        <f aca="true">IF(AND(A871="",B871=""),"",IF(ISNA(MATCH(B871,ListaInsumos,0)),"Insumo no está en Insumos",IF(C871="","Falta cantidad",IF(IFERROR(INDEX(UnidadesBase,MATCH(D871,Unidades,0)),"")&lt;&gt;INDEX(InsBase,MATCH(B871,ListaInsumos,0)),"Unidad incompatible",IF(F871="","Insumo sin compras","OK")))))</f>
        <v/>
      </c>
      <c r="I871" s="15"/>
    </row>
    <row r="872" customFormat="false" ht="15" hidden="false" customHeight="false" outlineLevel="0" collapsed="false">
      <c r="A872" s="15"/>
      <c r="B872" s="15"/>
      <c r="C872" s="27"/>
      <c r="D872" s="15"/>
      <c r="E872" s="25" t="str">
        <f aca="true">IF(OR(C872="",D872=""),"",IFERROR(C872*INDEX(UnidadesFactor,MATCH(D872,Unidades,0)),""))</f>
        <v/>
      </c>
      <c r="F872" s="18" t="str">
        <f aca="true">IF(B872="","",IFERROR(INDEX(InsCosto,MATCH(B872,ListaInsumos,0)),""))</f>
        <v/>
      </c>
      <c r="G872" s="19" t="str">
        <f aca="false">IF(AND(A872="",B872=""),"",IF(H872="OK",E872*F872,0))</f>
        <v/>
      </c>
      <c r="H872" s="20" t="str">
        <f aca="true">IF(AND(A872="",B872=""),"",IF(ISNA(MATCH(B872,ListaInsumos,0)),"Insumo no está en Insumos",IF(C872="","Falta cantidad",IF(IFERROR(INDEX(UnidadesBase,MATCH(D872,Unidades,0)),"")&lt;&gt;INDEX(InsBase,MATCH(B872,ListaInsumos,0)),"Unidad incompatible",IF(F872="","Insumo sin compras","OK")))))</f>
        <v/>
      </c>
      <c r="I872" s="15"/>
    </row>
    <row r="873" customFormat="false" ht="15" hidden="false" customHeight="false" outlineLevel="0" collapsed="false">
      <c r="A873" s="15"/>
      <c r="B873" s="15"/>
      <c r="C873" s="27"/>
      <c r="D873" s="15"/>
      <c r="E873" s="25" t="str">
        <f aca="true">IF(OR(C873="",D873=""),"",IFERROR(C873*INDEX(UnidadesFactor,MATCH(D873,Unidades,0)),""))</f>
        <v/>
      </c>
      <c r="F873" s="18" t="str">
        <f aca="true">IF(B873="","",IFERROR(INDEX(InsCosto,MATCH(B873,ListaInsumos,0)),""))</f>
        <v/>
      </c>
      <c r="G873" s="19" t="str">
        <f aca="false">IF(AND(A873="",B873=""),"",IF(H873="OK",E873*F873,0))</f>
        <v/>
      </c>
      <c r="H873" s="20" t="str">
        <f aca="true">IF(AND(A873="",B873=""),"",IF(ISNA(MATCH(B873,ListaInsumos,0)),"Insumo no está en Insumos",IF(C873="","Falta cantidad",IF(IFERROR(INDEX(UnidadesBase,MATCH(D873,Unidades,0)),"")&lt;&gt;INDEX(InsBase,MATCH(B873,ListaInsumos,0)),"Unidad incompatible",IF(F873="","Insumo sin compras","OK")))))</f>
        <v/>
      </c>
      <c r="I873" s="15"/>
    </row>
    <row r="874" customFormat="false" ht="15" hidden="false" customHeight="false" outlineLevel="0" collapsed="false">
      <c r="A874" s="15"/>
      <c r="B874" s="15"/>
      <c r="C874" s="27"/>
      <c r="D874" s="15"/>
      <c r="E874" s="25" t="str">
        <f aca="true">IF(OR(C874="",D874=""),"",IFERROR(C874*INDEX(UnidadesFactor,MATCH(D874,Unidades,0)),""))</f>
        <v/>
      </c>
      <c r="F874" s="18" t="str">
        <f aca="true">IF(B874="","",IFERROR(INDEX(InsCosto,MATCH(B874,ListaInsumos,0)),""))</f>
        <v/>
      </c>
      <c r="G874" s="19" t="str">
        <f aca="false">IF(AND(A874="",B874=""),"",IF(H874="OK",E874*F874,0))</f>
        <v/>
      </c>
      <c r="H874" s="20" t="str">
        <f aca="true">IF(AND(A874="",B874=""),"",IF(ISNA(MATCH(B874,ListaInsumos,0)),"Insumo no está en Insumos",IF(C874="","Falta cantidad",IF(IFERROR(INDEX(UnidadesBase,MATCH(D874,Unidades,0)),"")&lt;&gt;INDEX(InsBase,MATCH(B874,ListaInsumos,0)),"Unidad incompatible",IF(F874="","Insumo sin compras","OK")))))</f>
        <v/>
      </c>
      <c r="I874" s="15"/>
    </row>
    <row r="875" customFormat="false" ht="15" hidden="false" customHeight="false" outlineLevel="0" collapsed="false">
      <c r="A875" s="15"/>
      <c r="B875" s="15"/>
      <c r="C875" s="27"/>
      <c r="D875" s="15"/>
      <c r="E875" s="25" t="str">
        <f aca="true">IF(OR(C875="",D875=""),"",IFERROR(C875*INDEX(UnidadesFactor,MATCH(D875,Unidades,0)),""))</f>
        <v/>
      </c>
      <c r="F875" s="18" t="str">
        <f aca="true">IF(B875="","",IFERROR(INDEX(InsCosto,MATCH(B875,ListaInsumos,0)),""))</f>
        <v/>
      </c>
      <c r="G875" s="19" t="str">
        <f aca="false">IF(AND(A875="",B875=""),"",IF(H875="OK",E875*F875,0))</f>
        <v/>
      </c>
      <c r="H875" s="20" t="str">
        <f aca="true">IF(AND(A875="",B875=""),"",IF(ISNA(MATCH(B875,ListaInsumos,0)),"Insumo no está en Insumos",IF(C875="","Falta cantidad",IF(IFERROR(INDEX(UnidadesBase,MATCH(D875,Unidades,0)),"")&lt;&gt;INDEX(InsBase,MATCH(B875,ListaInsumos,0)),"Unidad incompatible",IF(F875="","Insumo sin compras","OK")))))</f>
        <v/>
      </c>
      <c r="I875" s="15"/>
    </row>
    <row r="876" customFormat="false" ht="15" hidden="false" customHeight="false" outlineLevel="0" collapsed="false">
      <c r="A876" s="15"/>
      <c r="B876" s="15"/>
      <c r="C876" s="27"/>
      <c r="D876" s="15"/>
      <c r="E876" s="25" t="str">
        <f aca="true">IF(OR(C876="",D876=""),"",IFERROR(C876*INDEX(UnidadesFactor,MATCH(D876,Unidades,0)),""))</f>
        <v/>
      </c>
      <c r="F876" s="18" t="str">
        <f aca="true">IF(B876="","",IFERROR(INDEX(InsCosto,MATCH(B876,ListaInsumos,0)),""))</f>
        <v/>
      </c>
      <c r="G876" s="19" t="str">
        <f aca="false">IF(AND(A876="",B876=""),"",IF(H876="OK",E876*F876,0))</f>
        <v/>
      </c>
      <c r="H876" s="20" t="str">
        <f aca="true">IF(AND(A876="",B876=""),"",IF(ISNA(MATCH(B876,ListaInsumos,0)),"Insumo no está en Insumos",IF(C876="","Falta cantidad",IF(IFERROR(INDEX(UnidadesBase,MATCH(D876,Unidades,0)),"")&lt;&gt;INDEX(InsBase,MATCH(B876,ListaInsumos,0)),"Unidad incompatible",IF(F876="","Insumo sin compras","OK")))))</f>
        <v/>
      </c>
      <c r="I876" s="15"/>
    </row>
    <row r="877" customFormat="false" ht="15" hidden="false" customHeight="false" outlineLevel="0" collapsed="false">
      <c r="A877" s="15"/>
      <c r="B877" s="15"/>
      <c r="C877" s="27"/>
      <c r="D877" s="15"/>
      <c r="E877" s="25" t="str">
        <f aca="true">IF(OR(C877="",D877=""),"",IFERROR(C877*INDEX(UnidadesFactor,MATCH(D877,Unidades,0)),""))</f>
        <v/>
      </c>
      <c r="F877" s="18" t="str">
        <f aca="true">IF(B877="","",IFERROR(INDEX(InsCosto,MATCH(B877,ListaInsumos,0)),""))</f>
        <v/>
      </c>
      <c r="G877" s="19" t="str">
        <f aca="false">IF(AND(A877="",B877=""),"",IF(H877="OK",E877*F877,0))</f>
        <v/>
      </c>
      <c r="H877" s="20" t="str">
        <f aca="true">IF(AND(A877="",B877=""),"",IF(ISNA(MATCH(B877,ListaInsumos,0)),"Insumo no está en Insumos",IF(C877="","Falta cantidad",IF(IFERROR(INDEX(UnidadesBase,MATCH(D877,Unidades,0)),"")&lt;&gt;INDEX(InsBase,MATCH(B877,ListaInsumos,0)),"Unidad incompatible",IF(F877="","Insumo sin compras","OK")))))</f>
        <v/>
      </c>
      <c r="I877" s="15"/>
    </row>
    <row r="878" customFormat="false" ht="15" hidden="false" customHeight="false" outlineLevel="0" collapsed="false">
      <c r="A878" s="15"/>
      <c r="B878" s="15"/>
      <c r="C878" s="27"/>
      <c r="D878" s="15"/>
      <c r="E878" s="25" t="str">
        <f aca="true">IF(OR(C878="",D878=""),"",IFERROR(C878*INDEX(UnidadesFactor,MATCH(D878,Unidades,0)),""))</f>
        <v/>
      </c>
      <c r="F878" s="18" t="str">
        <f aca="true">IF(B878="","",IFERROR(INDEX(InsCosto,MATCH(B878,ListaInsumos,0)),""))</f>
        <v/>
      </c>
      <c r="G878" s="19" t="str">
        <f aca="false">IF(AND(A878="",B878=""),"",IF(H878="OK",E878*F878,0))</f>
        <v/>
      </c>
      <c r="H878" s="20" t="str">
        <f aca="true">IF(AND(A878="",B878=""),"",IF(ISNA(MATCH(B878,ListaInsumos,0)),"Insumo no está en Insumos",IF(C878="","Falta cantidad",IF(IFERROR(INDEX(UnidadesBase,MATCH(D878,Unidades,0)),"")&lt;&gt;INDEX(InsBase,MATCH(B878,ListaInsumos,0)),"Unidad incompatible",IF(F878="","Insumo sin compras","OK")))))</f>
        <v/>
      </c>
      <c r="I878" s="15"/>
    </row>
    <row r="879" customFormat="false" ht="15" hidden="false" customHeight="false" outlineLevel="0" collapsed="false">
      <c r="A879" s="15"/>
      <c r="B879" s="15"/>
      <c r="C879" s="27"/>
      <c r="D879" s="15"/>
      <c r="E879" s="25" t="str">
        <f aca="true">IF(OR(C879="",D879=""),"",IFERROR(C879*INDEX(UnidadesFactor,MATCH(D879,Unidades,0)),""))</f>
        <v/>
      </c>
      <c r="F879" s="18" t="str">
        <f aca="true">IF(B879="","",IFERROR(INDEX(InsCosto,MATCH(B879,ListaInsumos,0)),""))</f>
        <v/>
      </c>
      <c r="G879" s="19" t="str">
        <f aca="false">IF(AND(A879="",B879=""),"",IF(H879="OK",E879*F879,0))</f>
        <v/>
      </c>
      <c r="H879" s="20" t="str">
        <f aca="true">IF(AND(A879="",B879=""),"",IF(ISNA(MATCH(B879,ListaInsumos,0)),"Insumo no está en Insumos",IF(C879="","Falta cantidad",IF(IFERROR(INDEX(UnidadesBase,MATCH(D879,Unidades,0)),"")&lt;&gt;INDEX(InsBase,MATCH(B879,ListaInsumos,0)),"Unidad incompatible",IF(F879="","Insumo sin compras","OK")))))</f>
        <v/>
      </c>
      <c r="I879" s="15"/>
    </row>
    <row r="880" customFormat="false" ht="15" hidden="false" customHeight="false" outlineLevel="0" collapsed="false">
      <c r="A880" s="15"/>
      <c r="B880" s="15"/>
      <c r="C880" s="27"/>
      <c r="D880" s="15"/>
      <c r="E880" s="25" t="str">
        <f aca="true">IF(OR(C880="",D880=""),"",IFERROR(C880*INDEX(UnidadesFactor,MATCH(D880,Unidades,0)),""))</f>
        <v/>
      </c>
      <c r="F880" s="18" t="str">
        <f aca="true">IF(B880="","",IFERROR(INDEX(InsCosto,MATCH(B880,ListaInsumos,0)),""))</f>
        <v/>
      </c>
      <c r="G880" s="19" t="str">
        <f aca="false">IF(AND(A880="",B880=""),"",IF(H880="OK",E880*F880,0))</f>
        <v/>
      </c>
      <c r="H880" s="20" t="str">
        <f aca="true">IF(AND(A880="",B880=""),"",IF(ISNA(MATCH(B880,ListaInsumos,0)),"Insumo no está en Insumos",IF(C880="","Falta cantidad",IF(IFERROR(INDEX(UnidadesBase,MATCH(D880,Unidades,0)),"")&lt;&gt;INDEX(InsBase,MATCH(B880,ListaInsumos,0)),"Unidad incompatible",IF(F880="","Insumo sin compras","OK")))))</f>
        <v/>
      </c>
      <c r="I880" s="15"/>
    </row>
    <row r="881" customFormat="false" ht="15" hidden="false" customHeight="false" outlineLevel="0" collapsed="false">
      <c r="A881" s="15"/>
      <c r="B881" s="15"/>
      <c r="C881" s="27"/>
      <c r="D881" s="15"/>
      <c r="E881" s="25" t="str">
        <f aca="true">IF(OR(C881="",D881=""),"",IFERROR(C881*INDEX(UnidadesFactor,MATCH(D881,Unidades,0)),""))</f>
        <v/>
      </c>
      <c r="F881" s="18" t="str">
        <f aca="true">IF(B881="","",IFERROR(INDEX(InsCosto,MATCH(B881,ListaInsumos,0)),""))</f>
        <v/>
      </c>
      <c r="G881" s="19" t="str">
        <f aca="false">IF(AND(A881="",B881=""),"",IF(H881="OK",E881*F881,0))</f>
        <v/>
      </c>
      <c r="H881" s="20" t="str">
        <f aca="true">IF(AND(A881="",B881=""),"",IF(ISNA(MATCH(B881,ListaInsumos,0)),"Insumo no está en Insumos",IF(C881="","Falta cantidad",IF(IFERROR(INDEX(UnidadesBase,MATCH(D881,Unidades,0)),"")&lt;&gt;INDEX(InsBase,MATCH(B881,ListaInsumos,0)),"Unidad incompatible",IF(F881="","Insumo sin compras","OK")))))</f>
        <v/>
      </c>
      <c r="I881" s="15"/>
    </row>
    <row r="882" customFormat="false" ht="15" hidden="false" customHeight="false" outlineLevel="0" collapsed="false">
      <c r="A882" s="15"/>
      <c r="B882" s="15"/>
      <c r="C882" s="27"/>
      <c r="D882" s="15"/>
      <c r="E882" s="25" t="str">
        <f aca="true">IF(OR(C882="",D882=""),"",IFERROR(C882*INDEX(UnidadesFactor,MATCH(D882,Unidades,0)),""))</f>
        <v/>
      </c>
      <c r="F882" s="18" t="str">
        <f aca="true">IF(B882="","",IFERROR(INDEX(InsCosto,MATCH(B882,ListaInsumos,0)),""))</f>
        <v/>
      </c>
      <c r="G882" s="19" t="str">
        <f aca="false">IF(AND(A882="",B882=""),"",IF(H882="OK",E882*F882,0))</f>
        <v/>
      </c>
      <c r="H882" s="20" t="str">
        <f aca="true">IF(AND(A882="",B882=""),"",IF(ISNA(MATCH(B882,ListaInsumos,0)),"Insumo no está en Insumos",IF(C882="","Falta cantidad",IF(IFERROR(INDEX(UnidadesBase,MATCH(D882,Unidades,0)),"")&lt;&gt;INDEX(InsBase,MATCH(B882,ListaInsumos,0)),"Unidad incompatible",IF(F882="","Insumo sin compras","OK")))))</f>
        <v/>
      </c>
      <c r="I882" s="15"/>
    </row>
    <row r="883" customFormat="false" ht="15" hidden="false" customHeight="false" outlineLevel="0" collapsed="false">
      <c r="A883" s="15"/>
      <c r="B883" s="15"/>
      <c r="C883" s="27"/>
      <c r="D883" s="15"/>
      <c r="E883" s="25" t="str">
        <f aca="true">IF(OR(C883="",D883=""),"",IFERROR(C883*INDEX(UnidadesFactor,MATCH(D883,Unidades,0)),""))</f>
        <v/>
      </c>
      <c r="F883" s="18" t="str">
        <f aca="true">IF(B883="","",IFERROR(INDEX(InsCosto,MATCH(B883,ListaInsumos,0)),""))</f>
        <v/>
      </c>
      <c r="G883" s="19" t="str">
        <f aca="false">IF(AND(A883="",B883=""),"",IF(H883="OK",E883*F883,0))</f>
        <v/>
      </c>
      <c r="H883" s="20" t="str">
        <f aca="true">IF(AND(A883="",B883=""),"",IF(ISNA(MATCH(B883,ListaInsumos,0)),"Insumo no está en Insumos",IF(C883="","Falta cantidad",IF(IFERROR(INDEX(UnidadesBase,MATCH(D883,Unidades,0)),"")&lt;&gt;INDEX(InsBase,MATCH(B883,ListaInsumos,0)),"Unidad incompatible",IF(F883="","Insumo sin compras","OK")))))</f>
        <v/>
      </c>
      <c r="I883" s="15"/>
    </row>
    <row r="884" customFormat="false" ht="15" hidden="false" customHeight="false" outlineLevel="0" collapsed="false">
      <c r="A884" s="15"/>
      <c r="B884" s="15"/>
      <c r="C884" s="27"/>
      <c r="D884" s="15"/>
      <c r="E884" s="25" t="str">
        <f aca="true">IF(OR(C884="",D884=""),"",IFERROR(C884*INDEX(UnidadesFactor,MATCH(D884,Unidades,0)),""))</f>
        <v/>
      </c>
      <c r="F884" s="18" t="str">
        <f aca="true">IF(B884="","",IFERROR(INDEX(InsCosto,MATCH(B884,ListaInsumos,0)),""))</f>
        <v/>
      </c>
      <c r="G884" s="19" t="str">
        <f aca="false">IF(AND(A884="",B884=""),"",IF(H884="OK",E884*F884,0))</f>
        <v/>
      </c>
      <c r="H884" s="20" t="str">
        <f aca="true">IF(AND(A884="",B884=""),"",IF(ISNA(MATCH(B884,ListaInsumos,0)),"Insumo no está en Insumos",IF(C884="","Falta cantidad",IF(IFERROR(INDEX(UnidadesBase,MATCH(D884,Unidades,0)),"")&lt;&gt;INDEX(InsBase,MATCH(B884,ListaInsumos,0)),"Unidad incompatible",IF(F884="","Insumo sin compras","OK")))))</f>
        <v/>
      </c>
      <c r="I884" s="15"/>
    </row>
    <row r="885" customFormat="false" ht="15" hidden="false" customHeight="false" outlineLevel="0" collapsed="false">
      <c r="A885" s="15"/>
      <c r="B885" s="15"/>
      <c r="C885" s="27"/>
      <c r="D885" s="15"/>
      <c r="E885" s="25" t="str">
        <f aca="true">IF(OR(C885="",D885=""),"",IFERROR(C885*INDEX(UnidadesFactor,MATCH(D885,Unidades,0)),""))</f>
        <v/>
      </c>
      <c r="F885" s="18" t="str">
        <f aca="true">IF(B885="","",IFERROR(INDEX(InsCosto,MATCH(B885,ListaInsumos,0)),""))</f>
        <v/>
      </c>
      <c r="G885" s="19" t="str">
        <f aca="false">IF(AND(A885="",B885=""),"",IF(H885="OK",E885*F885,0))</f>
        <v/>
      </c>
      <c r="H885" s="20" t="str">
        <f aca="true">IF(AND(A885="",B885=""),"",IF(ISNA(MATCH(B885,ListaInsumos,0)),"Insumo no está en Insumos",IF(C885="","Falta cantidad",IF(IFERROR(INDEX(UnidadesBase,MATCH(D885,Unidades,0)),"")&lt;&gt;INDEX(InsBase,MATCH(B885,ListaInsumos,0)),"Unidad incompatible",IF(F885="","Insumo sin compras","OK")))))</f>
        <v/>
      </c>
      <c r="I885" s="15"/>
    </row>
    <row r="886" customFormat="false" ht="15" hidden="false" customHeight="false" outlineLevel="0" collapsed="false">
      <c r="A886" s="15"/>
      <c r="B886" s="15"/>
      <c r="C886" s="27"/>
      <c r="D886" s="15"/>
      <c r="E886" s="25" t="str">
        <f aca="true">IF(OR(C886="",D886=""),"",IFERROR(C886*INDEX(UnidadesFactor,MATCH(D886,Unidades,0)),""))</f>
        <v/>
      </c>
      <c r="F886" s="18" t="str">
        <f aca="true">IF(B886="","",IFERROR(INDEX(InsCosto,MATCH(B886,ListaInsumos,0)),""))</f>
        <v/>
      </c>
      <c r="G886" s="19" t="str">
        <f aca="false">IF(AND(A886="",B886=""),"",IF(H886="OK",E886*F886,0))</f>
        <v/>
      </c>
      <c r="H886" s="20" t="str">
        <f aca="true">IF(AND(A886="",B886=""),"",IF(ISNA(MATCH(B886,ListaInsumos,0)),"Insumo no está en Insumos",IF(C886="","Falta cantidad",IF(IFERROR(INDEX(UnidadesBase,MATCH(D886,Unidades,0)),"")&lt;&gt;INDEX(InsBase,MATCH(B886,ListaInsumos,0)),"Unidad incompatible",IF(F886="","Insumo sin compras","OK")))))</f>
        <v/>
      </c>
      <c r="I886" s="15"/>
    </row>
    <row r="887" customFormat="false" ht="15" hidden="false" customHeight="false" outlineLevel="0" collapsed="false">
      <c r="A887" s="15"/>
      <c r="B887" s="15"/>
      <c r="C887" s="27"/>
      <c r="D887" s="15"/>
      <c r="E887" s="25" t="str">
        <f aca="true">IF(OR(C887="",D887=""),"",IFERROR(C887*INDEX(UnidadesFactor,MATCH(D887,Unidades,0)),""))</f>
        <v/>
      </c>
      <c r="F887" s="18" t="str">
        <f aca="true">IF(B887="","",IFERROR(INDEX(InsCosto,MATCH(B887,ListaInsumos,0)),""))</f>
        <v/>
      </c>
      <c r="G887" s="19" t="str">
        <f aca="false">IF(AND(A887="",B887=""),"",IF(H887="OK",E887*F887,0))</f>
        <v/>
      </c>
      <c r="H887" s="20" t="str">
        <f aca="true">IF(AND(A887="",B887=""),"",IF(ISNA(MATCH(B887,ListaInsumos,0)),"Insumo no está en Insumos",IF(C887="","Falta cantidad",IF(IFERROR(INDEX(UnidadesBase,MATCH(D887,Unidades,0)),"")&lt;&gt;INDEX(InsBase,MATCH(B887,ListaInsumos,0)),"Unidad incompatible",IF(F887="","Insumo sin compras","OK")))))</f>
        <v/>
      </c>
      <c r="I887" s="15"/>
    </row>
    <row r="888" customFormat="false" ht="15" hidden="false" customHeight="false" outlineLevel="0" collapsed="false">
      <c r="A888" s="15"/>
      <c r="B888" s="15"/>
      <c r="C888" s="27"/>
      <c r="D888" s="15"/>
      <c r="E888" s="25" t="str">
        <f aca="true">IF(OR(C888="",D888=""),"",IFERROR(C888*INDEX(UnidadesFactor,MATCH(D888,Unidades,0)),""))</f>
        <v/>
      </c>
      <c r="F888" s="18" t="str">
        <f aca="true">IF(B888="","",IFERROR(INDEX(InsCosto,MATCH(B888,ListaInsumos,0)),""))</f>
        <v/>
      </c>
      <c r="G888" s="19" t="str">
        <f aca="false">IF(AND(A888="",B888=""),"",IF(H888="OK",E888*F888,0))</f>
        <v/>
      </c>
      <c r="H888" s="20" t="str">
        <f aca="true">IF(AND(A888="",B888=""),"",IF(ISNA(MATCH(B888,ListaInsumos,0)),"Insumo no está en Insumos",IF(C888="","Falta cantidad",IF(IFERROR(INDEX(UnidadesBase,MATCH(D888,Unidades,0)),"")&lt;&gt;INDEX(InsBase,MATCH(B888,ListaInsumos,0)),"Unidad incompatible",IF(F888="","Insumo sin compras","OK")))))</f>
        <v/>
      </c>
      <c r="I888" s="15"/>
    </row>
    <row r="889" customFormat="false" ht="15" hidden="false" customHeight="false" outlineLevel="0" collapsed="false">
      <c r="A889" s="15"/>
      <c r="B889" s="15"/>
      <c r="C889" s="27"/>
      <c r="D889" s="15"/>
      <c r="E889" s="25" t="str">
        <f aca="true">IF(OR(C889="",D889=""),"",IFERROR(C889*INDEX(UnidadesFactor,MATCH(D889,Unidades,0)),""))</f>
        <v/>
      </c>
      <c r="F889" s="18" t="str">
        <f aca="true">IF(B889="","",IFERROR(INDEX(InsCosto,MATCH(B889,ListaInsumos,0)),""))</f>
        <v/>
      </c>
      <c r="G889" s="19" t="str">
        <f aca="false">IF(AND(A889="",B889=""),"",IF(H889="OK",E889*F889,0))</f>
        <v/>
      </c>
      <c r="H889" s="20" t="str">
        <f aca="true">IF(AND(A889="",B889=""),"",IF(ISNA(MATCH(B889,ListaInsumos,0)),"Insumo no está en Insumos",IF(C889="","Falta cantidad",IF(IFERROR(INDEX(UnidadesBase,MATCH(D889,Unidades,0)),"")&lt;&gt;INDEX(InsBase,MATCH(B889,ListaInsumos,0)),"Unidad incompatible",IF(F889="","Insumo sin compras","OK")))))</f>
        <v/>
      </c>
      <c r="I889" s="15"/>
    </row>
    <row r="890" customFormat="false" ht="15" hidden="false" customHeight="false" outlineLevel="0" collapsed="false">
      <c r="A890" s="15"/>
      <c r="B890" s="15"/>
      <c r="C890" s="27"/>
      <c r="D890" s="15"/>
      <c r="E890" s="25" t="str">
        <f aca="true">IF(OR(C890="",D890=""),"",IFERROR(C890*INDEX(UnidadesFactor,MATCH(D890,Unidades,0)),""))</f>
        <v/>
      </c>
      <c r="F890" s="18" t="str">
        <f aca="true">IF(B890="","",IFERROR(INDEX(InsCosto,MATCH(B890,ListaInsumos,0)),""))</f>
        <v/>
      </c>
      <c r="G890" s="19" t="str">
        <f aca="false">IF(AND(A890="",B890=""),"",IF(H890="OK",E890*F890,0))</f>
        <v/>
      </c>
      <c r="H890" s="20" t="str">
        <f aca="true">IF(AND(A890="",B890=""),"",IF(ISNA(MATCH(B890,ListaInsumos,0)),"Insumo no está en Insumos",IF(C890="","Falta cantidad",IF(IFERROR(INDEX(UnidadesBase,MATCH(D890,Unidades,0)),"")&lt;&gt;INDEX(InsBase,MATCH(B890,ListaInsumos,0)),"Unidad incompatible",IF(F890="","Insumo sin compras","OK")))))</f>
        <v/>
      </c>
      <c r="I890" s="15"/>
    </row>
    <row r="891" customFormat="false" ht="15" hidden="false" customHeight="false" outlineLevel="0" collapsed="false">
      <c r="A891" s="15"/>
      <c r="B891" s="15"/>
      <c r="C891" s="27"/>
      <c r="D891" s="15"/>
      <c r="E891" s="25" t="str">
        <f aca="true">IF(OR(C891="",D891=""),"",IFERROR(C891*INDEX(UnidadesFactor,MATCH(D891,Unidades,0)),""))</f>
        <v/>
      </c>
      <c r="F891" s="18" t="str">
        <f aca="true">IF(B891="","",IFERROR(INDEX(InsCosto,MATCH(B891,ListaInsumos,0)),""))</f>
        <v/>
      </c>
      <c r="G891" s="19" t="str">
        <f aca="false">IF(AND(A891="",B891=""),"",IF(H891="OK",E891*F891,0))</f>
        <v/>
      </c>
      <c r="H891" s="20" t="str">
        <f aca="true">IF(AND(A891="",B891=""),"",IF(ISNA(MATCH(B891,ListaInsumos,0)),"Insumo no está en Insumos",IF(C891="","Falta cantidad",IF(IFERROR(INDEX(UnidadesBase,MATCH(D891,Unidades,0)),"")&lt;&gt;INDEX(InsBase,MATCH(B891,ListaInsumos,0)),"Unidad incompatible",IF(F891="","Insumo sin compras","OK")))))</f>
        <v/>
      </c>
      <c r="I891" s="15"/>
    </row>
    <row r="892" customFormat="false" ht="15" hidden="false" customHeight="false" outlineLevel="0" collapsed="false">
      <c r="A892" s="15"/>
      <c r="B892" s="15"/>
      <c r="C892" s="27"/>
      <c r="D892" s="15"/>
      <c r="E892" s="25" t="str">
        <f aca="true">IF(OR(C892="",D892=""),"",IFERROR(C892*INDEX(UnidadesFactor,MATCH(D892,Unidades,0)),""))</f>
        <v/>
      </c>
      <c r="F892" s="18" t="str">
        <f aca="true">IF(B892="","",IFERROR(INDEX(InsCosto,MATCH(B892,ListaInsumos,0)),""))</f>
        <v/>
      </c>
      <c r="G892" s="19" t="str">
        <f aca="false">IF(AND(A892="",B892=""),"",IF(H892="OK",E892*F892,0))</f>
        <v/>
      </c>
      <c r="H892" s="20" t="str">
        <f aca="true">IF(AND(A892="",B892=""),"",IF(ISNA(MATCH(B892,ListaInsumos,0)),"Insumo no está en Insumos",IF(C892="","Falta cantidad",IF(IFERROR(INDEX(UnidadesBase,MATCH(D892,Unidades,0)),"")&lt;&gt;INDEX(InsBase,MATCH(B892,ListaInsumos,0)),"Unidad incompatible",IF(F892="","Insumo sin compras","OK")))))</f>
        <v/>
      </c>
      <c r="I892" s="15"/>
    </row>
    <row r="893" customFormat="false" ht="15" hidden="false" customHeight="false" outlineLevel="0" collapsed="false">
      <c r="A893" s="15"/>
      <c r="B893" s="15"/>
      <c r="C893" s="27"/>
      <c r="D893" s="15"/>
      <c r="E893" s="25" t="str">
        <f aca="true">IF(OR(C893="",D893=""),"",IFERROR(C893*INDEX(UnidadesFactor,MATCH(D893,Unidades,0)),""))</f>
        <v/>
      </c>
      <c r="F893" s="18" t="str">
        <f aca="true">IF(B893="","",IFERROR(INDEX(InsCosto,MATCH(B893,ListaInsumos,0)),""))</f>
        <v/>
      </c>
      <c r="G893" s="19" t="str">
        <f aca="false">IF(AND(A893="",B893=""),"",IF(H893="OK",E893*F893,0))</f>
        <v/>
      </c>
      <c r="H893" s="20" t="str">
        <f aca="true">IF(AND(A893="",B893=""),"",IF(ISNA(MATCH(B893,ListaInsumos,0)),"Insumo no está en Insumos",IF(C893="","Falta cantidad",IF(IFERROR(INDEX(UnidadesBase,MATCH(D893,Unidades,0)),"")&lt;&gt;INDEX(InsBase,MATCH(B893,ListaInsumos,0)),"Unidad incompatible",IF(F893="","Insumo sin compras","OK")))))</f>
        <v/>
      </c>
      <c r="I893" s="15"/>
    </row>
    <row r="894" customFormat="false" ht="15" hidden="false" customHeight="false" outlineLevel="0" collapsed="false">
      <c r="A894" s="15"/>
      <c r="B894" s="15"/>
      <c r="C894" s="27"/>
      <c r="D894" s="15"/>
      <c r="E894" s="25" t="str">
        <f aca="true">IF(OR(C894="",D894=""),"",IFERROR(C894*INDEX(UnidadesFactor,MATCH(D894,Unidades,0)),""))</f>
        <v/>
      </c>
      <c r="F894" s="18" t="str">
        <f aca="true">IF(B894="","",IFERROR(INDEX(InsCosto,MATCH(B894,ListaInsumos,0)),""))</f>
        <v/>
      </c>
      <c r="G894" s="19" t="str">
        <f aca="false">IF(AND(A894="",B894=""),"",IF(H894="OK",E894*F894,0))</f>
        <v/>
      </c>
      <c r="H894" s="20" t="str">
        <f aca="true">IF(AND(A894="",B894=""),"",IF(ISNA(MATCH(B894,ListaInsumos,0)),"Insumo no está en Insumos",IF(C894="","Falta cantidad",IF(IFERROR(INDEX(UnidadesBase,MATCH(D894,Unidades,0)),"")&lt;&gt;INDEX(InsBase,MATCH(B894,ListaInsumos,0)),"Unidad incompatible",IF(F894="","Insumo sin compras","OK")))))</f>
        <v/>
      </c>
      <c r="I894" s="15"/>
    </row>
    <row r="895" customFormat="false" ht="15" hidden="false" customHeight="false" outlineLevel="0" collapsed="false">
      <c r="A895" s="15"/>
      <c r="B895" s="15"/>
      <c r="C895" s="27"/>
      <c r="D895" s="15"/>
      <c r="E895" s="25" t="str">
        <f aca="true">IF(OR(C895="",D895=""),"",IFERROR(C895*INDEX(UnidadesFactor,MATCH(D895,Unidades,0)),""))</f>
        <v/>
      </c>
      <c r="F895" s="18" t="str">
        <f aca="true">IF(B895="","",IFERROR(INDEX(InsCosto,MATCH(B895,ListaInsumos,0)),""))</f>
        <v/>
      </c>
      <c r="G895" s="19" t="str">
        <f aca="false">IF(AND(A895="",B895=""),"",IF(H895="OK",E895*F895,0))</f>
        <v/>
      </c>
      <c r="H895" s="20" t="str">
        <f aca="true">IF(AND(A895="",B895=""),"",IF(ISNA(MATCH(B895,ListaInsumos,0)),"Insumo no está en Insumos",IF(C895="","Falta cantidad",IF(IFERROR(INDEX(UnidadesBase,MATCH(D895,Unidades,0)),"")&lt;&gt;INDEX(InsBase,MATCH(B895,ListaInsumos,0)),"Unidad incompatible",IF(F895="","Insumo sin compras","OK")))))</f>
        <v/>
      </c>
      <c r="I895" s="15"/>
    </row>
    <row r="896" customFormat="false" ht="15" hidden="false" customHeight="false" outlineLevel="0" collapsed="false">
      <c r="A896" s="15"/>
      <c r="B896" s="15"/>
      <c r="C896" s="27"/>
      <c r="D896" s="15"/>
      <c r="E896" s="25" t="str">
        <f aca="true">IF(OR(C896="",D896=""),"",IFERROR(C896*INDEX(UnidadesFactor,MATCH(D896,Unidades,0)),""))</f>
        <v/>
      </c>
      <c r="F896" s="18" t="str">
        <f aca="true">IF(B896="","",IFERROR(INDEX(InsCosto,MATCH(B896,ListaInsumos,0)),""))</f>
        <v/>
      </c>
      <c r="G896" s="19" t="str">
        <f aca="false">IF(AND(A896="",B896=""),"",IF(H896="OK",E896*F896,0))</f>
        <v/>
      </c>
      <c r="H896" s="20" t="str">
        <f aca="true">IF(AND(A896="",B896=""),"",IF(ISNA(MATCH(B896,ListaInsumos,0)),"Insumo no está en Insumos",IF(C896="","Falta cantidad",IF(IFERROR(INDEX(UnidadesBase,MATCH(D896,Unidades,0)),"")&lt;&gt;INDEX(InsBase,MATCH(B896,ListaInsumos,0)),"Unidad incompatible",IF(F896="","Insumo sin compras","OK")))))</f>
        <v/>
      </c>
      <c r="I896" s="15"/>
    </row>
    <row r="897" customFormat="false" ht="15" hidden="false" customHeight="false" outlineLevel="0" collapsed="false">
      <c r="A897" s="15"/>
      <c r="B897" s="15"/>
      <c r="C897" s="27"/>
      <c r="D897" s="15"/>
      <c r="E897" s="25" t="str">
        <f aca="true">IF(OR(C897="",D897=""),"",IFERROR(C897*INDEX(UnidadesFactor,MATCH(D897,Unidades,0)),""))</f>
        <v/>
      </c>
      <c r="F897" s="18" t="str">
        <f aca="true">IF(B897="","",IFERROR(INDEX(InsCosto,MATCH(B897,ListaInsumos,0)),""))</f>
        <v/>
      </c>
      <c r="G897" s="19" t="str">
        <f aca="false">IF(AND(A897="",B897=""),"",IF(H897="OK",E897*F897,0))</f>
        <v/>
      </c>
      <c r="H897" s="20" t="str">
        <f aca="true">IF(AND(A897="",B897=""),"",IF(ISNA(MATCH(B897,ListaInsumos,0)),"Insumo no está en Insumos",IF(C897="","Falta cantidad",IF(IFERROR(INDEX(UnidadesBase,MATCH(D897,Unidades,0)),"")&lt;&gt;INDEX(InsBase,MATCH(B897,ListaInsumos,0)),"Unidad incompatible",IF(F897="","Insumo sin compras","OK")))))</f>
        <v/>
      </c>
      <c r="I897" s="15"/>
    </row>
    <row r="898" customFormat="false" ht="15" hidden="false" customHeight="false" outlineLevel="0" collapsed="false">
      <c r="A898" s="15"/>
      <c r="B898" s="15"/>
      <c r="C898" s="27"/>
      <c r="D898" s="15"/>
      <c r="E898" s="25" t="str">
        <f aca="true">IF(OR(C898="",D898=""),"",IFERROR(C898*INDEX(UnidadesFactor,MATCH(D898,Unidades,0)),""))</f>
        <v/>
      </c>
      <c r="F898" s="18" t="str">
        <f aca="true">IF(B898="","",IFERROR(INDEX(InsCosto,MATCH(B898,ListaInsumos,0)),""))</f>
        <v/>
      </c>
      <c r="G898" s="19" t="str">
        <f aca="false">IF(AND(A898="",B898=""),"",IF(H898="OK",E898*F898,0))</f>
        <v/>
      </c>
      <c r="H898" s="20" t="str">
        <f aca="true">IF(AND(A898="",B898=""),"",IF(ISNA(MATCH(B898,ListaInsumos,0)),"Insumo no está en Insumos",IF(C898="","Falta cantidad",IF(IFERROR(INDEX(UnidadesBase,MATCH(D898,Unidades,0)),"")&lt;&gt;INDEX(InsBase,MATCH(B898,ListaInsumos,0)),"Unidad incompatible",IF(F898="","Insumo sin compras","OK")))))</f>
        <v/>
      </c>
      <c r="I898" s="15"/>
    </row>
    <row r="899" customFormat="false" ht="15" hidden="false" customHeight="false" outlineLevel="0" collapsed="false">
      <c r="A899" s="15"/>
      <c r="B899" s="15"/>
      <c r="C899" s="27"/>
      <c r="D899" s="15"/>
      <c r="E899" s="25" t="str">
        <f aca="true">IF(OR(C899="",D899=""),"",IFERROR(C899*INDEX(UnidadesFactor,MATCH(D899,Unidades,0)),""))</f>
        <v/>
      </c>
      <c r="F899" s="18" t="str">
        <f aca="true">IF(B899="","",IFERROR(INDEX(InsCosto,MATCH(B899,ListaInsumos,0)),""))</f>
        <v/>
      </c>
      <c r="G899" s="19" t="str">
        <f aca="false">IF(AND(A899="",B899=""),"",IF(H899="OK",E899*F899,0))</f>
        <v/>
      </c>
      <c r="H899" s="20" t="str">
        <f aca="true">IF(AND(A899="",B899=""),"",IF(ISNA(MATCH(B899,ListaInsumos,0)),"Insumo no está en Insumos",IF(C899="","Falta cantidad",IF(IFERROR(INDEX(UnidadesBase,MATCH(D899,Unidades,0)),"")&lt;&gt;INDEX(InsBase,MATCH(B899,ListaInsumos,0)),"Unidad incompatible",IF(F899="","Insumo sin compras","OK")))))</f>
        <v/>
      </c>
      <c r="I899" s="15"/>
    </row>
    <row r="900" customFormat="false" ht="15" hidden="false" customHeight="false" outlineLevel="0" collapsed="false">
      <c r="A900" s="15"/>
      <c r="B900" s="15"/>
      <c r="C900" s="27"/>
      <c r="D900" s="15"/>
      <c r="E900" s="25" t="str">
        <f aca="true">IF(OR(C900="",D900=""),"",IFERROR(C900*INDEX(UnidadesFactor,MATCH(D900,Unidades,0)),""))</f>
        <v/>
      </c>
      <c r="F900" s="18" t="str">
        <f aca="true">IF(B900="","",IFERROR(INDEX(InsCosto,MATCH(B900,ListaInsumos,0)),""))</f>
        <v/>
      </c>
      <c r="G900" s="19" t="str">
        <f aca="false">IF(AND(A900="",B900=""),"",IF(H900="OK",E900*F900,0))</f>
        <v/>
      </c>
      <c r="H900" s="20" t="str">
        <f aca="true">IF(AND(A900="",B900=""),"",IF(ISNA(MATCH(B900,ListaInsumos,0)),"Insumo no está en Insumos",IF(C900="","Falta cantidad",IF(IFERROR(INDEX(UnidadesBase,MATCH(D900,Unidades,0)),"")&lt;&gt;INDEX(InsBase,MATCH(B900,ListaInsumos,0)),"Unidad incompatible",IF(F900="","Insumo sin compras","OK")))))</f>
        <v/>
      </c>
      <c r="I900" s="15"/>
    </row>
    <row r="901" customFormat="false" ht="15" hidden="false" customHeight="false" outlineLevel="0" collapsed="false">
      <c r="A901" s="15"/>
      <c r="B901" s="15"/>
      <c r="C901" s="27"/>
      <c r="D901" s="15"/>
      <c r="E901" s="25" t="str">
        <f aca="true">IF(OR(C901="",D901=""),"",IFERROR(C901*INDEX(UnidadesFactor,MATCH(D901,Unidades,0)),""))</f>
        <v/>
      </c>
      <c r="F901" s="18" t="str">
        <f aca="true">IF(B901="","",IFERROR(INDEX(InsCosto,MATCH(B901,ListaInsumos,0)),""))</f>
        <v/>
      </c>
      <c r="G901" s="19" t="str">
        <f aca="false">IF(AND(A901="",B901=""),"",IF(H901="OK",E901*F901,0))</f>
        <v/>
      </c>
      <c r="H901" s="20" t="str">
        <f aca="true">IF(AND(A901="",B901=""),"",IF(ISNA(MATCH(B901,ListaInsumos,0)),"Insumo no está en Insumos",IF(C901="","Falta cantidad",IF(IFERROR(INDEX(UnidadesBase,MATCH(D901,Unidades,0)),"")&lt;&gt;INDEX(InsBase,MATCH(B901,ListaInsumos,0)),"Unidad incompatible",IF(F901="","Insumo sin compras","OK")))))</f>
        <v/>
      </c>
      <c r="I901" s="15"/>
    </row>
    <row r="902" customFormat="false" ht="15" hidden="false" customHeight="false" outlineLevel="0" collapsed="false">
      <c r="A902" s="15"/>
      <c r="B902" s="15"/>
      <c r="C902" s="27"/>
      <c r="D902" s="15"/>
      <c r="E902" s="25" t="str">
        <f aca="true">IF(OR(C902="",D902=""),"",IFERROR(C902*INDEX(UnidadesFactor,MATCH(D902,Unidades,0)),""))</f>
        <v/>
      </c>
      <c r="F902" s="18" t="str">
        <f aca="true">IF(B902="","",IFERROR(INDEX(InsCosto,MATCH(B902,ListaInsumos,0)),""))</f>
        <v/>
      </c>
      <c r="G902" s="19" t="str">
        <f aca="false">IF(AND(A902="",B902=""),"",IF(H902="OK",E902*F902,0))</f>
        <v/>
      </c>
      <c r="H902" s="20" t="str">
        <f aca="true">IF(AND(A902="",B902=""),"",IF(ISNA(MATCH(B902,ListaInsumos,0)),"Insumo no está en Insumos",IF(C902="","Falta cantidad",IF(IFERROR(INDEX(UnidadesBase,MATCH(D902,Unidades,0)),"")&lt;&gt;INDEX(InsBase,MATCH(B902,ListaInsumos,0)),"Unidad incompatible",IF(F902="","Insumo sin compras","OK")))))</f>
        <v/>
      </c>
      <c r="I902" s="15"/>
    </row>
    <row r="903" customFormat="false" ht="15" hidden="false" customHeight="false" outlineLevel="0" collapsed="false">
      <c r="A903" s="15"/>
      <c r="B903" s="15"/>
      <c r="C903" s="27"/>
      <c r="D903" s="15"/>
      <c r="E903" s="25" t="str">
        <f aca="true">IF(OR(C903="",D903=""),"",IFERROR(C903*INDEX(UnidadesFactor,MATCH(D903,Unidades,0)),""))</f>
        <v/>
      </c>
      <c r="F903" s="18" t="str">
        <f aca="true">IF(B903="","",IFERROR(INDEX(InsCosto,MATCH(B903,ListaInsumos,0)),""))</f>
        <v/>
      </c>
      <c r="G903" s="19" t="str">
        <f aca="false">IF(AND(A903="",B903=""),"",IF(H903="OK",E903*F903,0))</f>
        <v/>
      </c>
      <c r="H903" s="20" t="str">
        <f aca="true">IF(AND(A903="",B903=""),"",IF(ISNA(MATCH(B903,ListaInsumos,0)),"Insumo no está en Insumos",IF(C903="","Falta cantidad",IF(IFERROR(INDEX(UnidadesBase,MATCH(D903,Unidades,0)),"")&lt;&gt;INDEX(InsBase,MATCH(B903,ListaInsumos,0)),"Unidad incompatible",IF(F903="","Insumo sin compras","OK")))))</f>
        <v/>
      </c>
      <c r="I903" s="15"/>
    </row>
    <row r="904" customFormat="false" ht="15" hidden="false" customHeight="false" outlineLevel="0" collapsed="false">
      <c r="A904" s="15"/>
      <c r="B904" s="15"/>
      <c r="C904" s="27"/>
      <c r="D904" s="15"/>
      <c r="E904" s="25" t="str">
        <f aca="true">IF(OR(C904="",D904=""),"",IFERROR(C904*INDEX(UnidadesFactor,MATCH(D904,Unidades,0)),""))</f>
        <v/>
      </c>
      <c r="F904" s="18" t="str">
        <f aca="true">IF(B904="","",IFERROR(INDEX(InsCosto,MATCH(B904,ListaInsumos,0)),""))</f>
        <v/>
      </c>
      <c r="G904" s="19" t="str">
        <f aca="false">IF(AND(A904="",B904=""),"",IF(H904="OK",E904*F904,0))</f>
        <v/>
      </c>
      <c r="H904" s="20" t="str">
        <f aca="true">IF(AND(A904="",B904=""),"",IF(ISNA(MATCH(B904,ListaInsumos,0)),"Insumo no está en Insumos",IF(C904="","Falta cantidad",IF(IFERROR(INDEX(UnidadesBase,MATCH(D904,Unidades,0)),"")&lt;&gt;INDEX(InsBase,MATCH(B904,ListaInsumos,0)),"Unidad incompatible",IF(F904="","Insumo sin compras","OK")))))</f>
        <v/>
      </c>
      <c r="I904" s="15"/>
    </row>
    <row r="905" customFormat="false" ht="15" hidden="false" customHeight="false" outlineLevel="0" collapsed="false">
      <c r="A905" s="15"/>
      <c r="B905" s="15"/>
      <c r="C905" s="27"/>
      <c r="D905" s="15"/>
      <c r="E905" s="25" t="str">
        <f aca="true">IF(OR(C905="",D905=""),"",IFERROR(C905*INDEX(UnidadesFactor,MATCH(D905,Unidades,0)),""))</f>
        <v/>
      </c>
      <c r="F905" s="18" t="str">
        <f aca="true">IF(B905="","",IFERROR(INDEX(InsCosto,MATCH(B905,ListaInsumos,0)),""))</f>
        <v/>
      </c>
      <c r="G905" s="19" t="str">
        <f aca="false">IF(AND(A905="",B905=""),"",IF(H905="OK",E905*F905,0))</f>
        <v/>
      </c>
      <c r="H905" s="20" t="str">
        <f aca="true">IF(AND(A905="",B905=""),"",IF(ISNA(MATCH(B905,ListaInsumos,0)),"Insumo no está en Insumos",IF(C905="","Falta cantidad",IF(IFERROR(INDEX(UnidadesBase,MATCH(D905,Unidades,0)),"")&lt;&gt;INDEX(InsBase,MATCH(B905,ListaInsumos,0)),"Unidad incompatible",IF(F905="","Insumo sin compras","OK")))))</f>
        <v/>
      </c>
      <c r="I905" s="15"/>
    </row>
    <row r="906" customFormat="false" ht="15" hidden="false" customHeight="false" outlineLevel="0" collapsed="false">
      <c r="A906" s="15"/>
      <c r="B906" s="15"/>
      <c r="C906" s="27"/>
      <c r="D906" s="15"/>
      <c r="E906" s="25" t="str">
        <f aca="true">IF(OR(C906="",D906=""),"",IFERROR(C906*INDEX(UnidadesFactor,MATCH(D906,Unidades,0)),""))</f>
        <v/>
      </c>
      <c r="F906" s="18" t="str">
        <f aca="true">IF(B906="","",IFERROR(INDEX(InsCosto,MATCH(B906,ListaInsumos,0)),""))</f>
        <v/>
      </c>
      <c r="G906" s="19" t="str">
        <f aca="false">IF(AND(A906="",B906=""),"",IF(H906="OK",E906*F906,0))</f>
        <v/>
      </c>
      <c r="H906" s="20" t="str">
        <f aca="true">IF(AND(A906="",B906=""),"",IF(ISNA(MATCH(B906,ListaInsumos,0)),"Insumo no está en Insumos",IF(C906="","Falta cantidad",IF(IFERROR(INDEX(UnidadesBase,MATCH(D906,Unidades,0)),"")&lt;&gt;INDEX(InsBase,MATCH(B906,ListaInsumos,0)),"Unidad incompatible",IF(F906="","Insumo sin compras","OK")))))</f>
        <v/>
      </c>
      <c r="I906" s="15"/>
    </row>
    <row r="907" customFormat="false" ht="15" hidden="false" customHeight="false" outlineLevel="0" collapsed="false">
      <c r="A907" s="15"/>
      <c r="B907" s="15"/>
      <c r="C907" s="27"/>
      <c r="D907" s="15"/>
      <c r="E907" s="25" t="str">
        <f aca="true">IF(OR(C907="",D907=""),"",IFERROR(C907*INDEX(UnidadesFactor,MATCH(D907,Unidades,0)),""))</f>
        <v/>
      </c>
      <c r="F907" s="18" t="str">
        <f aca="true">IF(B907="","",IFERROR(INDEX(InsCosto,MATCH(B907,ListaInsumos,0)),""))</f>
        <v/>
      </c>
      <c r="G907" s="19" t="str">
        <f aca="false">IF(AND(A907="",B907=""),"",IF(H907="OK",E907*F907,0))</f>
        <v/>
      </c>
      <c r="H907" s="20" t="str">
        <f aca="true">IF(AND(A907="",B907=""),"",IF(ISNA(MATCH(B907,ListaInsumos,0)),"Insumo no está en Insumos",IF(C907="","Falta cantidad",IF(IFERROR(INDEX(UnidadesBase,MATCH(D907,Unidades,0)),"")&lt;&gt;INDEX(InsBase,MATCH(B907,ListaInsumos,0)),"Unidad incompatible",IF(F907="","Insumo sin compras","OK")))))</f>
        <v/>
      </c>
      <c r="I907" s="15"/>
    </row>
    <row r="908" customFormat="false" ht="15" hidden="false" customHeight="false" outlineLevel="0" collapsed="false">
      <c r="A908" s="15"/>
      <c r="B908" s="15"/>
      <c r="C908" s="27"/>
      <c r="D908" s="15"/>
      <c r="E908" s="25" t="str">
        <f aca="true">IF(OR(C908="",D908=""),"",IFERROR(C908*INDEX(UnidadesFactor,MATCH(D908,Unidades,0)),""))</f>
        <v/>
      </c>
      <c r="F908" s="18" t="str">
        <f aca="true">IF(B908="","",IFERROR(INDEX(InsCosto,MATCH(B908,ListaInsumos,0)),""))</f>
        <v/>
      </c>
      <c r="G908" s="19" t="str">
        <f aca="false">IF(AND(A908="",B908=""),"",IF(H908="OK",E908*F908,0))</f>
        <v/>
      </c>
      <c r="H908" s="20" t="str">
        <f aca="true">IF(AND(A908="",B908=""),"",IF(ISNA(MATCH(B908,ListaInsumos,0)),"Insumo no está en Insumos",IF(C908="","Falta cantidad",IF(IFERROR(INDEX(UnidadesBase,MATCH(D908,Unidades,0)),"")&lt;&gt;INDEX(InsBase,MATCH(B908,ListaInsumos,0)),"Unidad incompatible",IF(F908="","Insumo sin compras","OK")))))</f>
        <v/>
      </c>
      <c r="I908" s="15"/>
    </row>
    <row r="909" customFormat="false" ht="15" hidden="false" customHeight="false" outlineLevel="0" collapsed="false">
      <c r="A909" s="15"/>
      <c r="B909" s="15"/>
      <c r="C909" s="27"/>
      <c r="D909" s="15"/>
      <c r="E909" s="25" t="str">
        <f aca="true">IF(OR(C909="",D909=""),"",IFERROR(C909*INDEX(UnidadesFactor,MATCH(D909,Unidades,0)),""))</f>
        <v/>
      </c>
      <c r="F909" s="18" t="str">
        <f aca="true">IF(B909="","",IFERROR(INDEX(InsCosto,MATCH(B909,ListaInsumos,0)),""))</f>
        <v/>
      </c>
      <c r="G909" s="19" t="str">
        <f aca="false">IF(AND(A909="",B909=""),"",IF(H909="OK",E909*F909,0))</f>
        <v/>
      </c>
      <c r="H909" s="20" t="str">
        <f aca="true">IF(AND(A909="",B909=""),"",IF(ISNA(MATCH(B909,ListaInsumos,0)),"Insumo no está en Insumos",IF(C909="","Falta cantidad",IF(IFERROR(INDEX(UnidadesBase,MATCH(D909,Unidades,0)),"")&lt;&gt;INDEX(InsBase,MATCH(B909,ListaInsumos,0)),"Unidad incompatible",IF(F909="","Insumo sin compras","OK")))))</f>
        <v/>
      </c>
      <c r="I909" s="15"/>
    </row>
    <row r="910" customFormat="false" ht="15" hidden="false" customHeight="false" outlineLevel="0" collapsed="false">
      <c r="A910" s="15"/>
      <c r="B910" s="15"/>
      <c r="C910" s="27"/>
      <c r="D910" s="15"/>
      <c r="E910" s="25" t="str">
        <f aca="true">IF(OR(C910="",D910=""),"",IFERROR(C910*INDEX(UnidadesFactor,MATCH(D910,Unidades,0)),""))</f>
        <v/>
      </c>
      <c r="F910" s="18" t="str">
        <f aca="true">IF(B910="","",IFERROR(INDEX(InsCosto,MATCH(B910,ListaInsumos,0)),""))</f>
        <v/>
      </c>
      <c r="G910" s="19" t="str">
        <f aca="false">IF(AND(A910="",B910=""),"",IF(H910="OK",E910*F910,0))</f>
        <v/>
      </c>
      <c r="H910" s="20" t="str">
        <f aca="true">IF(AND(A910="",B910=""),"",IF(ISNA(MATCH(B910,ListaInsumos,0)),"Insumo no está en Insumos",IF(C910="","Falta cantidad",IF(IFERROR(INDEX(UnidadesBase,MATCH(D910,Unidades,0)),"")&lt;&gt;INDEX(InsBase,MATCH(B910,ListaInsumos,0)),"Unidad incompatible",IF(F910="","Insumo sin compras","OK")))))</f>
        <v/>
      </c>
      <c r="I910" s="15"/>
    </row>
    <row r="911" customFormat="false" ht="15" hidden="false" customHeight="false" outlineLevel="0" collapsed="false">
      <c r="A911" s="15"/>
      <c r="B911" s="15"/>
      <c r="C911" s="27"/>
      <c r="D911" s="15"/>
      <c r="E911" s="25" t="str">
        <f aca="true">IF(OR(C911="",D911=""),"",IFERROR(C911*INDEX(UnidadesFactor,MATCH(D911,Unidades,0)),""))</f>
        <v/>
      </c>
      <c r="F911" s="18" t="str">
        <f aca="true">IF(B911="","",IFERROR(INDEX(InsCosto,MATCH(B911,ListaInsumos,0)),""))</f>
        <v/>
      </c>
      <c r="G911" s="19" t="str">
        <f aca="false">IF(AND(A911="",B911=""),"",IF(H911="OK",E911*F911,0))</f>
        <v/>
      </c>
      <c r="H911" s="20" t="str">
        <f aca="true">IF(AND(A911="",B911=""),"",IF(ISNA(MATCH(B911,ListaInsumos,0)),"Insumo no está en Insumos",IF(C911="","Falta cantidad",IF(IFERROR(INDEX(UnidadesBase,MATCH(D911,Unidades,0)),"")&lt;&gt;INDEX(InsBase,MATCH(B911,ListaInsumos,0)),"Unidad incompatible",IF(F911="","Insumo sin compras","OK")))))</f>
        <v/>
      </c>
      <c r="I911" s="15"/>
    </row>
    <row r="912" customFormat="false" ht="15" hidden="false" customHeight="false" outlineLevel="0" collapsed="false">
      <c r="A912" s="15"/>
      <c r="B912" s="15"/>
      <c r="C912" s="27"/>
      <c r="D912" s="15"/>
      <c r="E912" s="25" t="str">
        <f aca="true">IF(OR(C912="",D912=""),"",IFERROR(C912*INDEX(UnidadesFactor,MATCH(D912,Unidades,0)),""))</f>
        <v/>
      </c>
      <c r="F912" s="18" t="str">
        <f aca="true">IF(B912="","",IFERROR(INDEX(InsCosto,MATCH(B912,ListaInsumos,0)),""))</f>
        <v/>
      </c>
      <c r="G912" s="19" t="str">
        <f aca="false">IF(AND(A912="",B912=""),"",IF(H912="OK",E912*F912,0))</f>
        <v/>
      </c>
      <c r="H912" s="20" t="str">
        <f aca="true">IF(AND(A912="",B912=""),"",IF(ISNA(MATCH(B912,ListaInsumos,0)),"Insumo no está en Insumos",IF(C912="","Falta cantidad",IF(IFERROR(INDEX(UnidadesBase,MATCH(D912,Unidades,0)),"")&lt;&gt;INDEX(InsBase,MATCH(B912,ListaInsumos,0)),"Unidad incompatible",IF(F912="","Insumo sin compras","OK")))))</f>
        <v/>
      </c>
      <c r="I912" s="15"/>
    </row>
    <row r="913" customFormat="false" ht="15" hidden="false" customHeight="false" outlineLevel="0" collapsed="false">
      <c r="A913" s="15"/>
      <c r="B913" s="15"/>
      <c r="C913" s="27"/>
      <c r="D913" s="15"/>
      <c r="E913" s="25" t="str">
        <f aca="true">IF(OR(C913="",D913=""),"",IFERROR(C913*INDEX(UnidadesFactor,MATCH(D913,Unidades,0)),""))</f>
        <v/>
      </c>
      <c r="F913" s="18" t="str">
        <f aca="true">IF(B913="","",IFERROR(INDEX(InsCosto,MATCH(B913,ListaInsumos,0)),""))</f>
        <v/>
      </c>
      <c r="G913" s="19" t="str">
        <f aca="false">IF(AND(A913="",B913=""),"",IF(H913="OK",E913*F913,0))</f>
        <v/>
      </c>
      <c r="H913" s="20" t="str">
        <f aca="true">IF(AND(A913="",B913=""),"",IF(ISNA(MATCH(B913,ListaInsumos,0)),"Insumo no está en Insumos",IF(C913="","Falta cantidad",IF(IFERROR(INDEX(UnidadesBase,MATCH(D913,Unidades,0)),"")&lt;&gt;INDEX(InsBase,MATCH(B913,ListaInsumos,0)),"Unidad incompatible",IF(F913="","Insumo sin compras","OK")))))</f>
        <v/>
      </c>
      <c r="I913" s="15"/>
    </row>
    <row r="914" customFormat="false" ht="15" hidden="false" customHeight="false" outlineLevel="0" collapsed="false">
      <c r="A914" s="15"/>
      <c r="B914" s="15"/>
      <c r="C914" s="27"/>
      <c r="D914" s="15"/>
      <c r="E914" s="25" t="str">
        <f aca="true">IF(OR(C914="",D914=""),"",IFERROR(C914*INDEX(UnidadesFactor,MATCH(D914,Unidades,0)),""))</f>
        <v/>
      </c>
      <c r="F914" s="18" t="str">
        <f aca="true">IF(B914="","",IFERROR(INDEX(InsCosto,MATCH(B914,ListaInsumos,0)),""))</f>
        <v/>
      </c>
      <c r="G914" s="19" t="str">
        <f aca="false">IF(AND(A914="",B914=""),"",IF(H914="OK",E914*F914,0))</f>
        <v/>
      </c>
      <c r="H914" s="20" t="str">
        <f aca="true">IF(AND(A914="",B914=""),"",IF(ISNA(MATCH(B914,ListaInsumos,0)),"Insumo no está en Insumos",IF(C914="","Falta cantidad",IF(IFERROR(INDEX(UnidadesBase,MATCH(D914,Unidades,0)),"")&lt;&gt;INDEX(InsBase,MATCH(B914,ListaInsumos,0)),"Unidad incompatible",IF(F914="","Insumo sin compras","OK")))))</f>
        <v/>
      </c>
      <c r="I914" s="15"/>
    </row>
    <row r="915" customFormat="false" ht="15" hidden="false" customHeight="false" outlineLevel="0" collapsed="false">
      <c r="A915" s="15"/>
      <c r="B915" s="15"/>
      <c r="C915" s="27"/>
      <c r="D915" s="15"/>
      <c r="E915" s="25" t="str">
        <f aca="true">IF(OR(C915="",D915=""),"",IFERROR(C915*INDEX(UnidadesFactor,MATCH(D915,Unidades,0)),""))</f>
        <v/>
      </c>
      <c r="F915" s="18" t="str">
        <f aca="true">IF(B915="","",IFERROR(INDEX(InsCosto,MATCH(B915,ListaInsumos,0)),""))</f>
        <v/>
      </c>
      <c r="G915" s="19" t="str">
        <f aca="false">IF(AND(A915="",B915=""),"",IF(H915="OK",E915*F915,0))</f>
        <v/>
      </c>
      <c r="H915" s="20" t="str">
        <f aca="true">IF(AND(A915="",B915=""),"",IF(ISNA(MATCH(B915,ListaInsumos,0)),"Insumo no está en Insumos",IF(C915="","Falta cantidad",IF(IFERROR(INDEX(UnidadesBase,MATCH(D915,Unidades,0)),"")&lt;&gt;INDEX(InsBase,MATCH(B915,ListaInsumos,0)),"Unidad incompatible",IF(F915="","Insumo sin compras","OK")))))</f>
        <v/>
      </c>
      <c r="I915" s="15"/>
    </row>
    <row r="916" customFormat="false" ht="15" hidden="false" customHeight="false" outlineLevel="0" collapsed="false">
      <c r="A916" s="15"/>
      <c r="B916" s="15"/>
      <c r="C916" s="27"/>
      <c r="D916" s="15"/>
      <c r="E916" s="25" t="str">
        <f aca="true">IF(OR(C916="",D916=""),"",IFERROR(C916*INDEX(UnidadesFactor,MATCH(D916,Unidades,0)),""))</f>
        <v/>
      </c>
      <c r="F916" s="18" t="str">
        <f aca="true">IF(B916="","",IFERROR(INDEX(InsCosto,MATCH(B916,ListaInsumos,0)),""))</f>
        <v/>
      </c>
      <c r="G916" s="19" t="str">
        <f aca="false">IF(AND(A916="",B916=""),"",IF(H916="OK",E916*F916,0))</f>
        <v/>
      </c>
      <c r="H916" s="20" t="str">
        <f aca="true">IF(AND(A916="",B916=""),"",IF(ISNA(MATCH(B916,ListaInsumos,0)),"Insumo no está en Insumos",IF(C916="","Falta cantidad",IF(IFERROR(INDEX(UnidadesBase,MATCH(D916,Unidades,0)),"")&lt;&gt;INDEX(InsBase,MATCH(B916,ListaInsumos,0)),"Unidad incompatible",IF(F916="","Insumo sin compras","OK")))))</f>
        <v/>
      </c>
      <c r="I916" s="15"/>
    </row>
    <row r="917" customFormat="false" ht="15" hidden="false" customHeight="false" outlineLevel="0" collapsed="false">
      <c r="A917" s="15"/>
      <c r="B917" s="15"/>
      <c r="C917" s="27"/>
      <c r="D917" s="15"/>
      <c r="E917" s="25" t="str">
        <f aca="true">IF(OR(C917="",D917=""),"",IFERROR(C917*INDEX(UnidadesFactor,MATCH(D917,Unidades,0)),""))</f>
        <v/>
      </c>
      <c r="F917" s="18" t="str">
        <f aca="true">IF(B917="","",IFERROR(INDEX(InsCosto,MATCH(B917,ListaInsumos,0)),""))</f>
        <v/>
      </c>
      <c r="G917" s="19" t="str">
        <f aca="false">IF(AND(A917="",B917=""),"",IF(H917="OK",E917*F917,0))</f>
        <v/>
      </c>
      <c r="H917" s="20" t="str">
        <f aca="true">IF(AND(A917="",B917=""),"",IF(ISNA(MATCH(B917,ListaInsumos,0)),"Insumo no está en Insumos",IF(C917="","Falta cantidad",IF(IFERROR(INDEX(UnidadesBase,MATCH(D917,Unidades,0)),"")&lt;&gt;INDEX(InsBase,MATCH(B917,ListaInsumos,0)),"Unidad incompatible",IF(F917="","Insumo sin compras","OK")))))</f>
        <v/>
      </c>
      <c r="I917" s="15"/>
    </row>
    <row r="918" customFormat="false" ht="15" hidden="false" customHeight="false" outlineLevel="0" collapsed="false">
      <c r="A918" s="15"/>
      <c r="B918" s="15"/>
      <c r="C918" s="27"/>
      <c r="D918" s="15"/>
      <c r="E918" s="25" t="str">
        <f aca="true">IF(OR(C918="",D918=""),"",IFERROR(C918*INDEX(UnidadesFactor,MATCH(D918,Unidades,0)),""))</f>
        <v/>
      </c>
      <c r="F918" s="18" t="str">
        <f aca="true">IF(B918="","",IFERROR(INDEX(InsCosto,MATCH(B918,ListaInsumos,0)),""))</f>
        <v/>
      </c>
      <c r="G918" s="19" t="str">
        <f aca="false">IF(AND(A918="",B918=""),"",IF(H918="OK",E918*F918,0))</f>
        <v/>
      </c>
      <c r="H918" s="20" t="str">
        <f aca="true">IF(AND(A918="",B918=""),"",IF(ISNA(MATCH(B918,ListaInsumos,0)),"Insumo no está en Insumos",IF(C918="","Falta cantidad",IF(IFERROR(INDEX(UnidadesBase,MATCH(D918,Unidades,0)),"")&lt;&gt;INDEX(InsBase,MATCH(B918,ListaInsumos,0)),"Unidad incompatible",IF(F918="","Insumo sin compras","OK")))))</f>
        <v/>
      </c>
      <c r="I918" s="15"/>
    </row>
    <row r="919" customFormat="false" ht="15" hidden="false" customHeight="false" outlineLevel="0" collapsed="false">
      <c r="A919" s="15"/>
      <c r="B919" s="15"/>
      <c r="C919" s="27"/>
      <c r="D919" s="15"/>
      <c r="E919" s="25" t="str">
        <f aca="true">IF(OR(C919="",D919=""),"",IFERROR(C919*INDEX(UnidadesFactor,MATCH(D919,Unidades,0)),""))</f>
        <v/>
      </c>
      <c r="F919" s="18" t="str">
        <f aca="true">IF(B919="","",IFERROR(INDEX(InsCosto,MATCH(B919,ListaInsumos,0)),""))</f>
        <v/>
      </c>
      <c r="G919" s="19" t="str">
        <f aca="false">IF(AND(A919="",B919=""),"",IF(H919="OK",E919*F919,0))</f>
        <v/>
      </c>
      <c r="H919" s="20" t="str">
        <f aca="true">IF(AND(A919="",B919=""),"",IF(ISNA(MATCH(B919,ListaInsumos,0)),"Insumo no está en Insumos",IF(C919="","Falta cantidad",IF(IFERROR(INDEX(UnidadesBase,MATCH(D919,Unidades,0)),"")&lt;&gt;INDEX(InsBase,MATCH(B919,ListaInsumos,0)),"Unidad incompatible",IF(F919="","Insumo sin compras","OK")))))</f>
        <v/>
      </c>
      <c r="I919" s="15"/>
    </row>
    <row r="920" customFormat="false" ht="15" hidden="false" customHeight="false" outlineLevel="0" collapsed="false">
      <c r="A920" s="15"/>
      <c r="B920" s="15"/>
      <c r="C920" s="27"/>
      <c r="D920" s="15"/>
      <c r="E920" s="25" t="str">
        <f aca="true">IF(OR(C920="",D920=""),"",IFERROR(C920*INDEX(UnidadesFactor,MATCH(D920,Unidades,0)),""))</f>
        <v/>
      </c>
      <c r="F920" s="18" t="str">
        <f aca="true">IF(B920="","",IFERROR(INDEX(InsCosto,MATCH(B920,ListaInsumos,0)),""))</f>
        <v/>
      </c>
      <c r="G920" s="19" t="str">
        <f aca="false">IF(AND(A920="",B920=""),"",IF(H920="OK",E920*F920,0))</f>
        <v/>
      </c>
      <c r="H920" s="20" t="str">
        <f aca="true">IF(AND(A920="",B920=""),"",IF(ISNA(MATCH(B920,ListaInsumos,0)),"Insumo no está en Insumos",IF(C920="","Falta cantidad",IF(IFERROR(INDEX(UnidadesBase,MATCH(D920,Unidades,0)),"")&lt;&gt;INDEX(InsBase,MATCH(B920,ListaInsumos,0)),"Unidad incompatible",IF(F920="","Insumo sin compras","OK")))))</f>
        <v/>
      </c>
      <c r="I920" s="15"/>
    </row>
    <row r="921" customFormat="false" ht="15" hidden="false" customHeight="false" outlineLevel="0" collapsed="false">
      <c r="A921" s="15"/>
      <c r="B921" s="15"/>
      <c r="C921" s="27"/>
      <c r="D921" s="15"/>
      <c r="E921" s="25" t="str">
        <f aca="true">IF(OR(C921="",D921=""),"",IFERROR(C921*INDEX(UnidadesFactor,MATCH(D921,Unidades,0)),""))</f>
        <v/>
      </c>
      <c r="F921" s="18" t="str">
        <f aca="true">IF(B921="","",IFERROR(INDEX(InsCosto,MATCH(B921,ListaInsumos,0)),""))</f>
        <v/>
      </c>
      <c r="G921" s="19" t="str">
        <f aca="false">IF(AND(A921="",B921=""),"",IF(H921="OK",E921*F921,0))</f>
        <v/>
      </c>
      <c r="H921" s="20" t="str">
        <f aca="true">IF(AND(A921="",B921=""),"",IF(ISNA(MATCH(B921,ListaInsumos,0)),"Insumo no está en Insumos",IF(C921="","Falta cantidad",IF(IFERROR(INDEX(UnidadesBase,MATCH(D921,Unidades,0)),"")&lt;&gt;INDEX(InsBase,MATCH(B921,ListaInsumos,0)),"Unidad incompatible",IF(F921="","Insumo sin compras","OK")))))</f>
        <v/>
      </c>
      <c r="I921" s="15"/>
    </row>
    <row r="922" customFormat="false" ht="15" hidden="false" customHeight="false" outlineLevel="0" collapsed="false">
      <c r="A922" s="15"/>
      <c r="B922" s="15"/>
      <c r="C922" s="27"/>
      <c r="D922" s="15"/>
      <c r="E922" s="25" t="str">
        <f aca="true">IF(OR(C922="",D922=""),"",IFERROR(C922*INDEX(UnidadesFactor,MATCH(D922,Unidades,0)),""))</f>
        <v/>
      </c>
      <c r="F922" s="18" t="str">
        <f aca="true">IF(B922="","",IFERROR(INDEX(InsCosto,MATCH(B922,ListaInsumos,0)),""))</f>
        <v/>
      </c>
      <c r="G922" s="19" t="str">
        <f aca="false">IF(AND(A922="",B922=""),"",IF(H922="OK",E922*F922,0))</f>
        <v/>
      </c>
      <c r="H922" s="20" t="str">
        <f aca="true">IF(AND(A922="",B922=""),"",IF(ISNA(MATCH(B922,ListaInsumos,0)),"Insumo no está en Insumos",IF(C922="","Falta cantidad",IF(IFERROR(INDEX(UnidadesBase,MATCH(D922,Unidades,0)),"")&lt;&gt;INDEX(InsBase,MATCH(B922,ListaInsumos,0)),"Unidad incompatible",IF(F922="","Insumo sin compras","OK")))))</f>
        <v/>
      </c>
      <c r="I922" s="15"/>
    </row>
    <row r="923" customFormat="false" ht="15" hidden="false" customHeight="false" outlineLevel="0" collapsed="false">
      <c r="A923" s="15"/>
      <c r="B923" s="15"/>
      <c r="C923" s="27"/>
      <c r="D923" s="15"/>
      <c r="E923" s="25" t="str">
        <f aca="true">IF(OR(C923="",D923=""),"",IFERROR(C923*INDEX(UnidadesFactor,MATCH(D923,Unidades,0)),""))</f>
        <v/>
      </c>
      <c r="F923" s="18" t="str">
        <f aca="true">IF(B923="","",IFERROR(INDEX(InsCosto,MATCH(B923,ListaInsumos,0)),""))</f>
        <v/>
      </c>
      <c r="G923" s="19" t="str">
        <f aca="false">IF(AND(A923="",B923=""),"",IF(H923="OK",E923*F923,0))</f>
        <v/>
      </c>
      <c r="H923" s="20" t="str">
        <f aca="true">IF(AND(A923="",B923=""),"",IF(ISNA(MATCH(B923,ListaInsumos,0)),"Insumo no está en Insumos",IF(C923="","Falta cantidad",IF(IFERROR(INDEX(UnidadesBase,MATCH(D923,Unidades,0)),"")&lt;&gt;INDEX(InsBase,MATCH(B923,ListaInsumos,0)),"Unidad incompatible",IF(F923="","Insumo sin compras","OK")))))</f>
        <v/>
      </c>
      <c r="I923" s="15"/>
    </row>
    <row r="924" customFormat="false" ht="15" hidden="false" customHeight="false" outlineLevel="0" collapsed="false">
      <c r="A924" s="15"/>
      <c r="B924" s="15"/>
      <c r="C924" s="27"/>
      <c r="D924" s="15"/>
      <c r="E924" s="25" t="str">
        <f aca="true">IF(OR(C924="",D924=""),"",IFERROR(C924*INDEX(UnidadesFactor,MATCH(D924,Unidades,0)),""))</f>
        <v/>
      </c>
      <c r="F924" s="18" t="str">
        <f aca="true">IF(B924="","",IFERROR(INDEX(InsCosto,MATCH(B924,ListaInsumos,0)),""))</f>
        <v/>
      </c>
      <c r="G924" s="19" t="str">
        <f aca="false">IF(AND(A924="",B924=""),"",IF(H924="OK",E924*F924,0))</f>
        <v/>
      </c>
      <c r="H924" s="20" t="str">
        <f aca="true">IF(AND(A924="",B924=""),"",IF(ISNA(MATCH(B924,ListaInsumos,0)),"Insumo no está en Insumos",IF(C924="","Falta cantidad",IF(IFERROR(INDEX(UnidadesBase,MATCH(D924,Unidades,0)),"")&lt;&gt;INDEX(InsBase,MATCH(B924,ListaInsumos,0)),"Unidad incompatible",IF(F924="","Insumo sin compras","OK")))))</f>
        <v/>
      </c>
      <c r="I924" s="15"/>
    </row>
    <row r="925" customFormat="false" ht="15" hidden="false" customHeight="false" outlineLevel="0" collapsed="false">
      <c r="A925" s="15"/>
      <c r="B925" s="15"/>
      <c r="C925" s="27"/>
      <c r="D925" s="15"/>
      <c r="E925" s="25" t="str">
        <f aca="true">IF(OR(C925="",D925=""),"",IFERROR(C925*INDEX(UnidadesFactor,MATCH(D925,Unidades,0)),""))</f>
        <v/>
      </c>
      <c r="F925" s="18" t="str">
        <f aca="true">IF(B925="","",IFERROR(INDEX(InsCosto,MATCH(B925,ListaInsumos,0)),""))</f>
        <v/>
      </c>
      <c r="G925" s="19" t="str">
        <f aca="false">IF(AND(A925="",B925=""),"",IF(H925="OK",E925*F925,0))</f>
        <v/>
      </c>
      <c r="H925" s="20" t="str">
        <f aca="true">IF(AND(A925="",B925=""),"",IF(ISNA(MATCH(B925,ListaInsumos,0)),"Insumo no está en Insumos",IF(C925="","Falta cantidad",IF(IFERROR(INDEX(UnidadesBase,MATCH(D925,Unidades,0)),"")&lt;&gt;INDEX(InsBase,MATCH(B925,ListaInsumos,0)),"Unidad incompatible",IF(F925="","Insumo sin compras","OK")))))</f>
        <v/>
      </c>
      <c r="I925" s="15"/>
    </row>
    <row r="926" customFormat="false" ht="15" hidden="false" customHeight="false" outlineLevel="0" collapsed="false">
      <c r="A926" s="15"/>
      <c r="B926" s="15"/>
      <c r="C926" s="27"/>
      <c r="D926" s="15"/>
      <c r="E926" s="25" t="str">
        <f aca="true">IF(OR(C926="",D926=""),"",IFERROR(C926*INDEX(UnidadesFactor,MATCH(D926,Unidades,0)),""))</f>
        <v/>
      </c>
      <c r="F926" s="18" t="str">
        <f aca="true">IF(B926="","",IFERROR(INDEX(InsCosto,MATCH(B926,ListaInsumos,0)),""))</f>
        <v/>
      </c>
      <c r="G926" s="19" t="str">
        <f aca="false">IF(AND(A926="",B926=""),"",IF(H926="OK",E926*F926,0))</f>
        <v/>
      </c>
      <c r="H926" s="20" t="str">
        <f aca="true">IF(AND(A926="",B926=""),"",IF(ISNA(MATCH(B926,ListaInsumos,0)),"Insumo no está en Insumos",IF(C926="","Falta cantidad",IF(IFERROR(INDEX(UnidadesBase,MATCH(D926,Unidades,0)),"")&lt;&gt;INDEX(InsBase,MATCH(B926,ListaInsumos,0)),"Unidad incompatible",IF(F926="","Insumo sin compras","OK")))))</f>
        <v/>
      </c>
      <c r="I926" s="15"/>
    </row>
    <row r="927" customFormat="false" ht="15" hidden="false" customHeight="false" outlineLevel="0" collapsed="false">
      <c r="A927" s="15"/>
      <c r="B927" s="15"/>
      <c r="C927" s="27"/>
      <c r="D927" s="15"/>
      <c r="E927" s="25" t="str">
        <f aca="true">IF(OR(C927="",D927=""),"",IFERROR(C927*INDEX(UnidadesFactor,MATCH(D927,Unidades,0)),""))</f>
        <v/>
      </c>
      <c r="F927" s="18" t="str">
        <f aca="true">IF(B927="","",IFERROR(INDEX(InsCosto,MATCH(B927,ListaInsumos,0)),""))</f>
        <v/>
      </c>
      <c r="G927" s="19" t="str">
        <f aca="false">IF(AND(A927="",B927=""),"",IF(H927="OK",E927*F927,0))</f>
        <v/>
      </c>
      <c r="H927" s="20" t="str">
        <f aca="true">IF(AND(A927="",B927=""),"",IF(ISNA(MATCH(B927,ListaInsumos,0)),"Insumo no está en Insumos",IF(C927="","Falta cantidad",IF(IFERROR(INDEX(UnidadesBase,MATCH(D927,Unidades,0)),"")&lt;&gt;INDEX(InsBase,MATCH(B927,ListaInsumos,0)),"Unidad incompatible",IF(F927="","Insumo sin compras","OK")))))</f>
        <v/>
      </c>
      <c r="I927" s="15"/>
    </row>
    <row r="928" customFormat="false" ht="15" hidden="false" customHeight="false" outlineLevel="0" collapsed="false">
      <c r="A928" s="15"/>
      <c r="B928" s="15"/>
      <c r="C928" s="27"/>
      <c r="D928" s="15"/>
      <c r="E928" s="25" t="str">
        <f aca="true">IF(OR(C928="",D928=""),"",IFERROR(C928*INDEX(UnidadesFactor,MATCH(D928,Unidades,0)),""))</f>
        <v/>
      </c>
      <c r="F928" s="18" t="str">
        <f aca="true">IF(B928="","",IFERROR(INDEX(InsCosto,MATCH(B928,ListaInsumos,0)),""))</f>
        <v/>
      </c>
      <c r="G928" s="19" t="str">
        <f aca="false">IF(AND(A928="",B928=""),"",IF(H928="OK",E928*F928,0))</f>
        <v/>
      </c>
      <c r="H928" s="20" t="str">
        <f aca="true">IF(AND(A928="",B928=""),"",IF(ISNA(MATCH(B928,ListaInsumos,0)),"Insumo no está en Insumos",IF(C928="","Falta cantidad",IF(IFERROR(INDEX(UnidadesBase,MATCH(D928,Unidades,0)),"")&lt;&gt;INDEX(InsBase,MATCH(B928,ListaInsumos,0)),"Unidad incompatible",IF(F928="","Insumo sin compras","OK")))))</f>
        <v/>
      </c>
      <c r="I928" s="15"/>
    </row>
    <row r="929" customFormat="false" ht="15" hidden="false" customHeight="false" outlineLevel="0" collapsed="false">
      <c r="A929" s="15"/>
      <c r="B929" s="15"/>
      <c r="C929" s="27"/>
      <c r="D929" s="15"/>
      <c r="E929" s="25" t="str">
        <f aca="true">IF(OR(C929="",D929=""),"",IFERROR(C929*INDEX(UnidadesFactor,MATCH(D929,Unidades,0)),""))</f>
        <v/>
      </c>
      <c r="F929" s="18" t="str">
        <f aca="true">IF(B929="","",IFERROR(INDEX(InsCosto,MATCH(B929,ListaInsumos,0)),""))</f>
        <v/>
      </c>
      <c r="G929" s="19" t="str">
        <f aca="false">IF(AND(A929="",B929=""),"",IF(H929="OK",E929*F929,0))</f>
        <v/>
      </c>
      <c r="H929" s="20" t="str">
        <f aca="true">IF(AND(A929="",B929=""),"",IF(ISNA(MATCH(B929,ListaInsumos,0)),"Insumo no está en Insumos",IF(C929="","Falta cantidad",IF(IFERROR(INDEX(UnidadesBase,MATCH(D929,Unidades,0)),"")&lt;&gt;INDEX(InsBase,MATCH(B929,ListaInsumos,0)),"Unidad incompatible",IF(F929="","Insumo sin compras","OK")))))</f>
        <v/>
      </c>
      <c r="I929" s="15"/>
    </row>
    <row r="930" customFormat="false" ht="15" hidden="false" customHeight="false" outlineLevel="0" collapsed="false">
      <c r="A930" s="15"/>
      <c r="B930" s="15"/>
      <c r="C930" s="27"/>
      <c r="D930" s="15"/>
      <c r="E930" s="25" t="str">
        <f aca="true">IF(OR(C930="",D930=""),"",IFERROR(C930*INDEX(UnidadesFactor,MATCH(D930,Unidades,0)),""))</f>
        <v/>
      </c>
      <c r="F930" s="18" t="str">
        <f aca="true">IF(B930="","",IFERROR(INDEX(InsCosto,MATCH(B930,ListaInsumos,0)),""))</f>
        <v/>
      </c>
      <c r="G930" s="19" t="str">
        <f aca="false">IF(AND(A930="",B930=""),"",IF(H930="OK",E930*F930,0))</f>
        <v/>
      </c>
      <c r="H930" s="20" t="str">
        <f aca="true">IF(AND(A930="",B930=""),"",IF(ISNA(MATCH(B930,ListaInsumos,0)),"Insumo no está en Insumos",IF(C930="","Falta cantidad",IF(IFERROR(INDEX(UnidadesBase,MATCH(D930,Unidades,0)),"")&lt;&gt;INDEX(InsBase,MATCH(B930,ListaInsumos,0)),"Unidad incompatible",IF(F930="","Insumo sin compras","OK")))))</f>
        <v/>
      </c>
      <c r="I930" s="15"/>
    </row>
    <row r="931" customFormat="false" ht="15" hidden="false" customHeight="false" outlineLevel="0" collapsed="false">
      <c r="A931" s="15"/>
      <c r="B931" s="15"/>
      <c r="C931" s="27"/>
      <c r="D931" s="15"/>
      <c r="E931" s="25" t="str">
        <f aca="true">IF(OR(C931="",D931=""),"",IFERROR(C931*INDEX(UnidadesFactor,MATCH(D931,Unidades,0)),""))</f>
        <v/>
      </c>
      <c r="F931" s="18" t="str">
        <f aca="true">IF(B931="","",IFERROR(INDEX(InsCosto,MATCH(B931,ListaInsumos,0)),""))</f>
        <v/>
      </c>
      <c r="G931" s="19" t="str">
        <f aca="false">IF(AND(A931="",B931=""),"",IF(H931="OK",E931*F931,0))</f>
        <v/>
      </c>
      <c r="H931" s="20" t="str">
        <f aca="true">IF(AND(A931="",B931=""),"",IF(ISNA(MATCH(B931,ListaInsumos,0)),"Insumo no está en Insumos",IF(C931="","Falta cantidad",IF(IFERROR(INDEX(UnidadesBase,MATCH(D931,Unidades,0)),"")&lt;&gt;INDEX(InsBase,MATCH(B931,ListaInsumos,0)),"Unidad incompatible",IF(F931="","Insumo sin compras","OK")))))</f>
        <v/>
      </c>
      <c r="I931" s="15"/>
    </row>
    <row r="932" customFormat="false" ht="15" hidden="false" customHeight="false" outlineLevel="0" collapsed="false">
      <c r="A932" s="15"/>
      <c r="B932" s="15"/>
      <c r="C932" s="27"/>
      <c r="D932" s="15"/>
      <c r="E932" s="25" t="str">
        <f aca="true">IF(OR(C932="",D932=""),"",IFERROR(C932*INDEX(UnidadesFactor,MATCH(D932,Unidades,0)),""))</f>
        <v/>
      </c>
      <c r="F932" s="18" t="str">
        <f aca="true">IF(B932="","",IFERROR(INDEX(InsCosto,MATCH(B932,ListaInsumos,0)),""))</f>
        <v/>
      </c>
      <c r="G932" s="19" t="str">
        <f aca="false">IF(AND(A932="",B932=""),"",IF(H932="OK",E932*F932,0))</f>
        <v/>
      </c>
      <c r="H932" s="20" t="str">
        <f aca="true">IF(AND(A932="",B932=""),"",IF(ISNA(MATCH(B932,ListaInsumos,0)),"Insumo no está en Insumos",IF(C932="","Falta cantidad",IF(IFERROR(INDEX(UnidadesBase,MATCH(D932,Unidades,0)),"")&lt;&gt;INDEX(InsBase,MATCH(B932,ListaInsumos,0)),"Unidad incompatible",IF(F932="","Insumo sin compras","OK")))))</f>
        <v/>
      </c>
      <c r="I932" s="15"/>
    </row>
    <row r="933" customFormat="false" ht="15" hidden="false" customHeight="false" outlineLevel="0" collapsed="false">
      <c r="A933" s="15"/>
      <c r="B933" s="15"/>
      <c r="C933" s="27"/>
      <c r="D933" s="15"/>
      <c r="E933" s="25" t="str">
        <f aca="true">IF(OR(C933="",D933=""),"",IFERROR(C933*INDEX(UnidadesFactor,MATCH(D933,Unidades,0)),""))</f>
        <v/>
      </c>
      <c r="F933" s="18" t="str">
        <f aca="true">IF(B933="","",IFERROR(INDEX(InsCosto,MATCH(B933,ListaInsumos,0)),""))</f>
        <v/>
      </c>
      <c r="G933" s="19" t="str">
        <f aca="false">IF(AND(A933="",B933=""),"",IF(H933="OK",E933*F933,0))</f>
        <v/>
      </c>
      <c r="H933" s="20" t="str">
        <f aca="true">IF(AND(A933="",B933=""),"",IF(ISNA(MATCH(B933,ListaInsumos,0)),"Insumo no está en Insumos",IF(C933="","Falta cantidad",IF(IFERROR(INDEX(UnidadesBase,MATCH(D933,Unidades,0)),"")&lt;&gt;INDEX(InsBase,MATCH(B933,ListaInsumos,0)),"Unidad incompatible",IF(F933="","Insumo sin compras","OK")))))</f>
        <v/>
      </c>
      <c r="I933" s="15"/>
    </row>
    <row r="934" customFormat="false" ht="15" hidden="false" customHeight="false" outlineLevel="0" collapsed="false">
      <c r="A934" s="15"/>
      <c r="B934" s="15"/>
      <c r="C934" s="27"/>
      <c r="D934" s="15"/>
      <c r="E934" s="25" t="str">
        <f aca="true">IF(OR(C934="",D934=""),"",IFERROR(C934*INDEX(UnidadesFactor,MATCH(D934,Unidades,0)),""))</f>
        <v/>
      </c>
      <c r="F934" s="18" t="str">
        <f aca="true">IF(B934="","",IFERROR(INDEX(InsCosto,MATCH(B934,ListaInsumos,0)),""))</f>
        <v/>
      </c>
      <c r="G934" s="19" t="str">
        <f aca="false">IF(AND(A934="",B934=""),"",IF(H934="OK",E934*F934,0))</f>
        <v/>
      </c>
      <c r="H934" s="20" t="str">
        <f aca="true">IF(AND(A934="",B934=""),"",IF(ISNA(MATCH(B934,ListaInsumos,0)),"Insumo no está en Insumos",IF(C934="","Falta cantidad",IF(IFERROR(INDEX(UnidadesBase,MATCH(D934,Unidades,0)),"")&lt;&gt;INDEX(InsBase,MATCH(B934,ListaInsumos,0)),"Unidad incompatible",IF(F934="","Insumo sin compras","OK")))))</f>
        <v/>
      </c>
      <c r="I934" s="15"/>
    </row>
    <row r="935" customFormat="false" ht="15" hidden="false" customHeight="false" outlineLevel="0" collapsed="false">
      <c r="A935" s="15"/>
      <c r="B935" s="15"/>
      <c r="C935" s="27"/>
      <c r="D935" s="15"/>
      <c r="E935" s="25" t="str">
        <f aca="true">IF(OR(C935="",D935=""),"",IFERROR(C935*INDEX(UnidadesFactor,MATCH(D935,Unidades,0)),""))</f>
        <v/>
      </c>
      <c r="F935" s="18" t="str">
        <f aca="true">IF(B935="","",IFERROR(INDEX(InsCosto,MATCH(B935,ListaInsumos,0)),""))</f>
        <v/>
      </c>
      <c r="G935" s="19" t="str">
        <f aca="false">IF(AND(A935="",B935=""),"",IF(H935="OK",E935*F935,0))</f>
        <v/>
      </c>
      <c r="H935" s="20" t="str">
        <f aca="true">IF(AND(A935="",B935=""),"",IF(ISNA(MATCH(B935,ListaInsumos,0)),"Insumo no está en Insumos",IF(C935="","Falta cantidad",IF(IFERROR(INDEX(UnidadesBase,MATCH(D935,Unidades,0)),"")&lt;&gt;INDEX(InsBase,MATCH(B935,ListaInsumos,0)),"Unidad incompatible",IF(F935="","Insumo sin compras","OK")))))</f>
        <v/>
      </c>
      <c r="I935" s="15"/>
    </row>
    <row r="936" customFormat="false" ht="15" hidden="false" customHeight="false" outlineLevel="0" collapsed="false">
      <c r="A936" s="15"/>
      <c r="B936" s="15"/>
      <c r="C936" s="27"/>
      <c r="D936" s="15"/>
      <c r="E936" s="25" t="str">
        <f aca="true">IF(OR(C936="",D936=""),"",IFERROR(C936*INDEX(UnidadesFactor,MATCH(D936,Unidades,0)),""))</f>
        <v/>
      </c>
      <c r="F936" s="18" t="str">
        <f aca="true">IF(B936="","",IFERROR(INDEX(InsCosto,MATCH(B936,ListaInsumos,0)),""))</f>
        <v/>
      </c>
      <c r="G936" s="19" t="str">
        <f aca="false">IF(AND(A936="",B936=""),"",IF(H936="OK",E936*F936,0))</f>
        <v/>
      </c>
      <c r="H936" s="20" t="str">
        <f aca="true">IF(AND(A936="",B936=""),"",IF(ISNA(MATCH(B936,ListaInsumos,0)),"Insumo no está en Insumos",IF(C936="","Falta cantidad",IF(IFERROR(INDEX(UnidadesBase,MATCH(D936,Unidades,0)),"")&lt;&gt;INDEX(InsBase,MATCH(B936,ListaInsumos,0)),"Unidad incompatible",IF(F936="","Insumo sin compras","OK")))))</f>
        <v/>
      </c>
      <c r="I936" s="15"/>
    </row>
    <row r="937" customFormat="false" ht="15" hidden="false" customHeight="false" outlineLevel="0" collapsed="false">
      <c r="A937" s="15"/>
      <c r="B937" s="15"/>
      <c r="C937" s="27"/>
      <c r="D937" s="15"/>
      <c r="E937" s="25" t="str">
        <f aca="true">IF(OR(C937="",D937=""),"",IFERROR(C937*INDEX(UnidadesFactor,MATCH(D937,Unidades,0)),""))</f>
        <v/>
      </c>
      <c r="F937" s="18" t="str">
        <f aca="true">IF(B937="","",IFERROR(INDEX(InsCosto,MATCH(B937,ListaInsumos,0)),""))</f>
        <v/>
      </c>
      <c r="G937" s="19" t="str">
        <f aca="false">IF(AND(A937="",B937=""),"",IF(H937="OK",E937*F937,0))</f>
        <v/>
      </c>
      <c r="H937" s="20" t="str">
        <f aca="true">IF(AND(A937="",B937=""),"",IF(ISNA(MATCH(B937,ListaInsumos,0)),"Insumo no está en Insumos",IF(C937="","Falta cantidad",IF(IFERROR(INDEX(UnidadesBase,MATCH(D937,Unidades,0)),"")&lt;&gt;INDEX(InsBase,MATCH(B937,ListaInsumos,0)),"Unidad incompatible",IF(F937="","Insumo sin compras","OK")))))</f>
        <v/>
      </c>
      <c r="I937" s="15"/>
    </row>
    <row r="938" customFormat="false" ht="15" hidden="false" customHeight="false" outlineLevel="0" collapsed="false">
      <c r="A938" s="15"/>
      <c r="B938" s="15"/>
      <c r="C938" s="27"/>
      <c r="D938" s="15"/>
      <c r="E938" s="25" t="str">
        <f aca="true">IF(OR(C938="",D938=""),"",IFERROR(C938*INDEX(UnidadesFactor,MATCH(D938,Unidades,0)),""))</f>
        <v/>
      </c>
      <c r="F938" s="18" t="str">
        <f aca="true">IF(B938="","",IFERROR(INDEX(InsCosto,MATCH(B938,ListaInsumos,0)),""))</f>
        <v/>
      </c>
      <c r="G938" s="19" t="str">
        <f aca="false">IF(AND(A938="",B938=""),"",IF(H938="OK",E938*F938,0))</f>
        <v/>
      </c>
      <c r="H938" s="20" t="str">
        <f aca="true">IF(AND(A938="",B938=""),"",IF(ISNA(MATCH(B938,ListaInsumos,0)),"Insumo no está en Insumos",IF(C938="","Falta cantidad",IF(IFERROR(INDEX(UnidadesBase,MATCH(D938,Unidades,0)),"")&lt;&gt;INDEX(InsBase,MATCH(B938,ListaInsumos,0)),"Unidad incompatible",IF(F938="","Insumo sin compras","OK")))))</f>
        <v/>
      </c>
      <c r="I938" s="15"/>
    </row>
    <row r="939" customFormat="false" ht="15" hidden="false" customHeight="false" outlineLevel="0" collapsed="false">
      <c r="A939" s="15"/>
      <c r="B939" s="15"/>
      <c r="C939" s="27"/>
      <c r="D939" s="15"/>
      <c r="E939" s="25" t="str">
        <f aca="true">IF(OR(C939="",D939=""),"",IFERROR(C939*INDEX(UnidadesFactor,MATCH(D939,Unidades,0)),""))</f>
        <v/>
      </c>
      <c r="F939" s="18" t="str">
        <f aca="true">IF(B939="","",IFERROR(INDEX(InsCosto,MATCH(B939,ListaInsumos,0)),""))</f>
        <v/>
      </c>
      <c r="G939" s="19" t="str">
        <f aca="false">IF(AND(A939="",B939=""),"",IF(H939="OK",E939*F939,0))</f>
        <v/>
      </c>
      <c r="H939" s="20" t="str">
        <f aca="true">IF(AND(A939="",B939=""),"",IF(ISNA(MATCH(B939,ListaInsumos,0)),"Insumo no está en Insumos",IF(C939="","Falta cantidad",IF(IFERROR(INDEX(UnidadesBase,MATCH(D939,Unidades,0)),"")&lt;&gt;INDEX(InsBase,MATCH(B939,ListaInsumos,0)),"Unidad incompatible",IF(F939="","Insumo sin compras","OK")))))</f>
        <v/>
      </c>
      <c r="I939" s="15"/>
    </row>
    <row r="940" customFormat="false" ht="15" hidden="false" customHeight="false" outlineLevel="0" collapsed="false">
      <c r="A940" s="15"/>
      <c r="B940" s="15"/>
      <c r="C940" s="27"/>
      <c r="D940" s="15"/>
      <c r="E940" s="25" t="str">
        <f aca="true">IF(OR(C940="",D940=""),"",IFERROR(C940*INDEX(UnidadesFactor,MATCH(D940,Unidades,0)),""))</f>
        <v/>
      </c>
      <c r="F940" s="18" t="str">
        <f aca="true">IF(B940="","",IFERROR(INDEX(InsCosto,MATCH(B940,ListaInsumos,0)),""))</f>
        <v/>
      </c>
      <c r="G940" s="19" t="str">
        <f aca="false">IF(AND(A940="",B940=""),"",IF(H940="OK",E940*F940,0))</f>
        <v/>
      </c>
      <c r="H940" s="20" t="str">
        <f aca="true">IF(AND(A940="",B940=""),"",IF(ISNA(MATCH(B940,ListaInsumos,0)),"Insumo no está en Insumos",IF(C940="","Falta cantidad",IF(IFERROR(INDEX(UnidadesBase,MATCH(D940,Unidades,0)),"")&lt;&gt;INDEX(InsBase,MATCH(B940,ListaInsumos,0)),"Unidad incompatible",IF(F940="","Insumo sin compras","OK")))))</f>
        <v/>
      </c>
      <c r="I940" s="15"/>
    </row>
    <row r="941" customFormat="false" ht="15" hidden="false" customHeight="false" outlineLevel="0" collapsed="false">
      <c r="A941" s="15"/>
      <c r="B941" s="15"/>
      <c r="C941" s="27"/>
      <c r="D941" s="15"/>
      <c r="E941" s="25" t="str">
        <f aca="true">IF(OR(C941="",D941=""),"",IFERROR(C941*INDEX(UnidadesFactor,MATCH(D941,Unidades,0)),""))</f>
        <v/>
      </c>
      <c r="F941" s="18" t="str">
        <f aca="true">IF(B941="","",IFERROR(INDEX(InsCosto,MATCH(B941,ListaInsumos,0)),""))</f>
        <v/>
      </c>
      <c r="G941" s="19" t="str">
        <f aca="false">IF(AND(A941="",B941=""),"",IF(H941="OK",E941*F941,0))</f>
        <v/>
      </c>
      <c r="H941" s="20" t="str">
        <f aca="true">IF(AND(A941="",B941=""),"",IF(ISNA(MATCH(B941,ListaInsumos,0)),"Insumo no está en Insumos",IF(C941="","Falta cantidad",IF(IFERROR(INDEX(UnidadesBase,MATCH(D941,Unidades,0)),"")&lt;&gt;INDEX(InsBase,MATCH(B941,ListaInsumos,0)),"Unidad incompatible",IF(F941="","Insumo sin compras","OK")))))</f>
        <v/>
      </c>
      <c r="I941" s="15"/>
    </row>
    <row r="942" customFormat="false" ht="15" hidden="false" customHeight="false" outlineLevel="0" collapsed="false">
      <c r="A942" s="15"/>
      <c r="B942" s="15"/>
      <c r="C942" s="27"/>
      <c r="D942" s="15"/>
      <c r="E942" s="25" t="str">
        <f aca="true">IF(OR(C942="",D942=""),"",IFERROR(C942*INDEX(UnidadesFactor,MATCH(D942,Unidades,0)),""))</f>
        <v/>
      </c>
      <c r="F942" s="18" t="str">
        <f aca="true">IF(B942="","",IFERROR(INDEX(InsCosto,MATCH(B942,ListaInsumos,0)),""))</f>
        <v/>
      </c>
      <c r="G942" s="19" t="str">
        <f aca="false">IF(AND(A942="",B942=""),"",IF(H942="OK",E942*F942,0))</f>
        <v/>
      </c>
      <c r="H942" s="20" t="str">
        <f aca="true">IF(AND(A942="",B942=""),"",IF(ISNA(MATCH(B942,ListaInsumos,0)),"Insumo no está en Insumos",IF(C942="","Falta cantidad",IF(IFERROR(INDEX(UnidadesBase,MATCH(D942,Unidades,0)),"")&lt;&gt;INDEX(InsBase,MATCH(B942,ListaInsumos,0)),"Unidad incompatible",IF(F942="","Insumo sin compras","OK")))))</f>
        <v/>
      </c>
      <c r="I942" s="15"/>
    </row>
    <row r="943" customFormat="false" ht="15" hidden="false" customHeight="false" outlineLevel="0" collapsed="false">
      <c r="A943" s="15"/>
      <c r="B943" s="15"/>
      <c r="C943" s="27"/>
      <c r="D943" s="15"/>
      <c r="E943" s="25" t="str">
        <f aca="true">IF(OR(C943="",D943=""),"",IFERROR(C943*INDEX(UnidadesFactor,MATCH(D943,Unidades,0)),""))</f>
        <v/>
      </c>
      <c r="F943" s="18" t="str">
        <f aca="true">IF(B943="","",IFERROR(INDEX(InsCosto,MATCH(B943,ListaInsumos,0)),""))</f>
        <v/>
      </c>
      <c r="G943" s="19" t="str">
        <f aca="false">IF(AND(A943="",B943=""),"",IF(H943="OK",E943*F943,0))</f>
        <v/>
      </c>
      <c r="H943" s="20" t="str">
        <f aca="true">IF(AND(A943="",B943=""),"",IF(ISNA(MATCH(B943,ListaInsumos,0)),"Insumo no está en Insumos",IF(C943="","Falta cantidad",IF(IFERROR(INDEX(UnidadesBase,MATCH(D943,Unidades,0)),"")&lt;&gt;INDEX(InsBase,MATCH(B943,ListaInsumos,0)),"Unidad incompatible",IF(F943="","Insumo sin compras","OK")))))</f>
        <v/>
      </c>
      <c r="I943" s="15"/>
    </row>
    <row r="944" customFormat="false" ht="15" hidden="false" customHeight="false" outlineLevel="0" collapsed="false">
      <c r="A944" s="15"/>
      <c r="B944" s="15"/>
      <c r="C944" s="27"/>
      <c r="D944" s="15"/>
      <c r="E944" s="25" t="str">
        <f aca="true">IF(OR(C944="",D944=""),"",IFERROR(C944*INDEX(UnidadesFactor,MATCH(D944,Unidades,0)),""))</f>
        <v/>
      </c>
      <c r="F944" s="18" t="str">
        <f aca="true">IF(B944="","",IFERROR(INDEX(InsCosto,MATCH(B944,ListaInsumos,0)),""))</f>
        <v/>
      </c>
      <c r="G944" s="19" t="str">
        <f aca="false">IF(AND(A944="",B944=""),"",IF(H944="OK",E944*F944,0))</f>
        <v/>
      </c>
      <c r="H944" s="20" t="str">
        <f aca="true">IF(AND(A944="",B944=""),"",IF(ISNA(MATCH(B944,ListaInsumos,0)),"Insumo no está en Insumos",IF(C944="","Falta cantidad",IF(IFERROR(INDEX(UnidadesBase,MATCH(D944,Unidades,0)),"")&lt;&gt;INDEX(InsBase,MATCH(B944,ListaInsumos,0)),"Unidad incompatible",IF(F944="","Insumo sin compras","OK")))))</f>
        <v/>
      </c>
      <c r="I944" s="15"/>
    </row>
    <row r="945" customFormat="false" ht="15" hidden="false" customHeight="false" outlineLevel="0" collapsed="false">
      <c r="A945" s="15"/>
      <c r="B945" s="15"/>
      <c r="C945" s="27"/>
      <c r="D945" s="15"/>
      <c r="E945" s="25" t="str">
        <f aca="true">IF(OR(C945="",D945=""),"",IFERROR(C945*INDEX(UnidadesFactor,MATCH(D945,Unidades,0)),""))</f>
        <v/>
      </c>
      <c r="F945" s="18" t="str">
        <f aca="true">IF(B945="","",IFERROR(INDEX(InsCosto,MATCH(B945,ListaInsumos,0)),""))</f>
        <v/>
      </c>
      <c r="G945" s="19" t="str">
        <f aca="false">IF(AND(A945="",B945=""),"",IF(H945="OK",E945*F945,0))</f>
        <v/>
      </c>
      <c r="H945" s="20" t="str">
        <f aca="true">IF(AND(A945="",B945=""),"",IF(ISNA(MATCH(B945,ListaInsumos,0)),"Insumo no está en Insumos",IF(C945="","Falta cantidad",IF(IFERROR(INDEX(UnidadesBase,MATCH(D945,Unidades,0)),"")&lt;&gt;INDEX(InsBase,MATCH(B945,ListaInsumos,0)),"Unidad incompatible",IF(F945="","Insumo sin compras","OK")))))</f>
        <v/>
      </c>
      <c r="I945" s="15"/>
    </row>
    <row r="946" customFormat="false" ht="15" hidden="false" customHeight="false" outlineLevel="0" collapsed="false">
      <c r="A946" s="15"/>
      <c r="B946" s="15"/>
      <c r="C946" s="27"/>
      <c r="D946" s="15"/>
      <c r="E946" s="25" t="str">
        <f aca="true">IF(OR(C946="",D946=""),"",IFERROR(C946*INDEX(UnidadesFactor,MATCH(D946,Unidades,0)),""))</f>
        <v/>
      </c>
      <c r="F946" s="18" t="str">
        <f aca="true">IF(B946="","",IFERROR(INDEX(InsCosto,MATCH(B946,ListaInsumos,0)),""))</f>
        <v/>
      </c>
      <c r="G946" s="19" t="str">
        <f aca="false">IF(AND(A946="",B946=""),"",IF(H946="OK",E946*F946,0))</f>
        <v/>
      </c>
      <c r="H946" s="20" t="str">
        <f aca="true">IF(AND(A946="",B946=""),"",IF(ISNA(MATCH(B946,ListaInsumos,0)),"Insumo no está en Insumos",IF(C946="","Falta cantidad",IF(IFERROR(INDEX(UnidadesBase,MATCH(D946,Unidades,0)),"")&lt;&gt;INDEX(InsBase,MATCH(B946,ListaInsumos,0)),"Unidad incompatible",IF(F946="","Insumo sin compras","OK")))))</f>
        <v/>
      </c>
      <c r="I946" s="15"/>
    </row>
    <row r="947" customFormat="false" ht="15" hidden="false" customHeight="false" outlineLevel="0" collapsed="false">
      <c r="A947" s="15"/>
      <c r="B947" s="15"/>
      <c r="C947" s="27"/>
      <c r="D947" s="15"/>
      <c r="E947" s="25" t="str">
        <f aca="true">IF(OR(C947="",D947=""),"",IFERROR(C947*INDEX(UnidadesFactor,MATCH(D947,Unidades,0)),""))</f>
        <v/>
      </c>
      <c r="F947" s="18" t="str">
        <f aca="true">IF(B947="","",IFERROR(INDEX(InsCosto,MATCH(B947,ListaInsumos,0)),""))</f>
        <v/>
      </c>
      <c r="G947" s="19" t="str">
        <f aca="false">IF(AND(A947="",B947=""),"",IF(H947="OK",E947*F947,0))</f>
        <v/>
      </c>
      <c r="H947" s="20" t="str">
        <f aca="true">IF(AND(A947="",B947=""),"",IF(ISNA(MATCH(B947,ListaInsumos,0)),"Insumo no está en Insumos",IF(C947="","Falta cantidad",IF(IFERROR(INDEX(UnidadesBase,MATCH(D947,Unidades,0)),"")&lt;&gt;INDEX(InsBase,MATCH(B947,ListaInsumos,0)),"Unidad incompatible",IF(F947="","Insumo sin compras","OK")))))</f>
        <v/>
      </c>
      <c r="I947" s="15"/>
    </row>
    <row r="948" customFormat="false" ht="15" hidden="false" customHeight="false" outlineLevel="0" collapsed="false">
      <c r="A948" s="15"/>
      <c r="B948" s="15"/>
      <c r="C948" s="27"/>
      <c r="D948" s="15"/>
      <c r="E948" s="25" t="str">
        <f aca="true">IF(OR(C948="",D948=""),"",IFERROR(C948*INDEX(UnidadesFactor,MATCH(D948,Unidades,0)),""))</f>
        <v/>
      </c>
      <c r="F948" s="18" t="str">
        <f aca="true">IF(B948="","",IFERROR(INDEX(InsCosto,MATCH(B948,ListaInsumos,0)),""))</f>
        <v/>
      </c>
      <c r="G948" s="19" t="str">
        <f aca="false">IF(AND(A948="",B948=""),"",IF(H948="OK",E948*F948,0))</f>
        <v/>
      </c>
      <c r="H948" s="20" t="str">
        <f aca="true">IF(AND(A948="",B948=""),"",IF(ISNA(MATCH(B948,ListaInsumos,0)),"Insumo no está en Insumos",IF(C948="","Falta cantidad",IF(IFERROR(INDEX(UnidadesBase,MATCH(D948,Unidades,0)),"")&lt;&gt;INDEX(InsBase,MATCH(B948,ListaInsumos,0)),"Unidad incompatible",IF(F948="","Insumo sin compras","OK")))))</f>
        <v/>
      </c>
      <c r="I948" s="15"/>
    </row>
    <row r="949" customFormat="false" ht="15" hidden="false" customHeight="false" outlineLevel="0" collapsed="false">
      <c r="A949" s="15"/>
      <c r="B949" s="15"/>
      <c r="C949" s="27"/>
      <c r="D949" s="15"/>
      <c r="E949" s="25" t="str">
        <f aca="true">IF(OR(C949="",D949=""),"",IFERROR(C949*INDEX(UnidadesFactor,MATCH(D949,Unidades,0)),""))</f>
        <v/>
      </c>
      <c r="F949" s="18" t="str">
        <f aca="true">IF(B949="","",IFERROR(INDEX(InsCosto,MATCH(B949,ListaInsumos,0)),""))</f>
        <v/>
      </c>
      <c r="G949" s="19" t="str">
        <f aca="false">IF(AND(A949="",B949=""),"",IF(H949="OK",E949*F949,0))</f>
        <v/>
      </c>
      <c r="H949" s="20" t="str">
        <f aca="true">IF(AND(A949="",B949=""),"",IF(ISNA(MATCH(B949,ListaInsumos,0)),"Insumo no está en Insumos",IF(C949="","Falta cantidad",IF(IFERROR(INDEX(UnidadesBase,MATCH(D949,Unidades,0)),"")&lt;&gt;INDEX(InsBase,MATCH(B949,ListaInsumos,0)),"Unidad incompatible",IF(F949="","Insumo sin compras","OK")))))</f>
        <v/>
      </c>
      <c r="I949" s="15"/>
    </row>
    <row r="950" customFormat="false" ht="15" hidden="false" customHeight="false" outlineLevel="0" collapsed="false">
      <c r="A950" s="15"/>
      <c r="B950" s="15"/>
      <c r="C950" s="27"/>
      <c r="D950" s="15"/>
      <c r="E950" s="25" t="str">
        <f aca="true">IF(OR(C950="",D950=""),"",IFERROR(C950*INDEX(UnidadesFactor,MATCH(D950,Unidades,0)),""))</f>
        <v/>
      </c>
      <c r="F950" s="18" t="str">
        <f aca="true">IF(B950="","",IFERROR(INDEX(InsCosto,MATCH(B950,ListaInsumos,0)),""))</f>
        <v/>
      </c>
      <c r="G950" s="19" t="str">
        <f aca="false">IF(AND(A950="",B950=""),"",IF(H950="OK",E950*F950,0))</f>
        <v/>
      </c>
      <c r="H950" s="20" t="str">
        <f aca="true">IF(AND(A950="",B950=""),"",IF(ISNA(MATCH(B950,ListaInsumos,0)),"Insumo no está en Insumos",IF(C950="","Falta cantidad",IF(IFERROR(INDEX(UnidadesBase,MATCH(D950,Unidades,0)),"")&lt;&gt;INDEX(InsBase,MATCH(B950,ListaInsumos,0)),"Unidad incompatible",IF(F950="","Insumo sin compras","OK")))))</f>
        <v/>
      </c>
      <c r="I950" s="15"/>
    </row>
    <row r="951" customFormat="false" ht="15" hidden="false" customHeight="false" outlineLevel="0" collapsed="false">
      <c r="A951" s="15"/>
      <c r="B951" s="15"/>
      <c r="C951" s="27"/>
      <c r="D951" s="15"/>
      <c r="E951" s="25" t="str">
        <f aca="true">IF(OR(C951="",D951=""),"",IFERROR(C951*INDEX(UnidadesFactor,MATCH(D951,Unidades,0)),""))</f>
        <v/>
      </c>
      <c r="F951" s="18" t="str">
        <f aca="true">IF(B951="","",IFERROR(INDEX(InsCosto,MATCH(B951,ListaInsumos,0)),""))</f>
        <v/>
      </c>
      <c r="G951" s="19" t="str">
        <f aca="false">IF(AND(A951="",B951=""),"",IF(H951="OK",E951*F951,0))</f>
        <v/>
      </c>
      <c r="H951" s="20" t="str">
        <f aca="true">IF(AND(A951="",B951=""),"",IF(ISNA(MATCH(B951,ListaInsumos,0)),"Insumo no está en Insumos",IF(C951="","Falta cantidad",IF(IFERROR(INDEX(UnidadesBase,MATCH(D951,Unidades,0)),"")&lt;&gt;INDEX(InsBase,MATCH(B951,ListaInsumos,0)),"Unidad incompatible",IF(F951="","Insumo sin compras","OK")))))</f>
        <v/>
      </c>
      <c r="I951" s="15"/>
    </row>
    <row r="952" customFormat="false" ht="15" hidden="false" customHeight="false" outlineLevel="0" collapsed="false">
      <c r="A952" s="15"/>
      <c r="B952" s="15"/>
      <c r="C952" s="27"/>
      <c r="D952" s="15"/>
      <c r="E952" s="25" t="str">
        <f aca="true">IF(OR(C952="",D952=""),"",IFERROR(C952*INDEX(UnidadesFactor,MATCH(D952,Unidades,0)),""))</f>
        <v/>
      </c>
      <c r="F952" s="18" t="str">
        <f aca="true">IF(B952="","",IFERROR(INDEX(InsCosto,MATCH(B952,ListaInsumos,0)),""))</f>
        <v/>
      </c>
      <c r="G952" s="19" t="str">
        <f aca="false">IF(AND(A952="",B952=""),"",IF(H952="OK",E952*F952,0))</f>
        <v/>
      </c>
      <c r="H952" s="20" t="str">
        <f aca="true">IF(AND(A952="",B952=""),"",IF(ISNA(MATCH(B952,ListaInsumos,0)),"Insumo no está en Insumos",IF(C952="","Falta cantidad",IF(IFERROR(INDEX(UnidadesBase,MATCH(D952,Unidades,0)),"")&lt;&gt;INDEX(InsBase,MATCH(B952,ListaInsumos,0)),"Unidad incompatible",IF(F952="","Insumo sin compras","OK")))))</f>
        <v/>
      </c>
      <c r="I952" s="15"/>
    </row>
    <row r="953" customFormat="false" ht="15" hidden="false" customHeight="false" outlineLevel="0" collapsed="false">
      <c r="A953" s="15"/>
      <c r="B953" s="15"/>
      <c r="C953" s="27"/>
      <c r="D953" s="15"/>
      <c r="E953" s="25" t="str">
        <f aca="true">IF(OR(C953="",D953=""),"",IFERROR(C953*INDEX(UnidadesFactor,MATCH(D953,Unidades,0)),""))</f>
        <v/>
      </c>
      <c r="F953" s="18" t="str">
        <f aca="true">IF(B953="","",IFERROR(INDEX(InsCosto,MATCH(B953,ListaInsumos,0)),""))</f>
        <v/>
      </c>
      <c r="G953" s="19" t="str">
        <f aca="false">IF(AND(A953="",B953=""),"",IF(H953="OK",E953*F953,0))</f>
        <v/>
      </c>
      <c r="H953" s="20" t="str">
        <f aca="true">IF(AND(A953="",B953=""),"",IF(ISNA(MATCH(B953,ListaInsumos,0)),"Insumo no está en Insumos",IF(C953="","Falta cantidad",IF(IFERROR(INDEX(UnidadesBase,MATCH(D953,Unidades,0)),"")&lt;&gt;INDEX(InsBase,MATCH(B953,ListaInsumos,0)),"Unidad incompatible",IF(F953="","Insumo sin compras","OK")))))</f>
        <v/>
      </c>
      <c r="I953" s="15"/>
    </row>
    <row r="954" customFormat="false" ht="15" hidden="false" customHeight="false" outlineLevel="0" collapsed="false">
      <c r="A954" s="15"/>
      <c r="B954" s="15"/>
      <c r="C954" s="27"/>
      <c r="D954" s="15"/>
      <c r="E954" s="25" t="str">
        <f aca="true">IF(OR(C954="",D954=""),"",IFERROR(C954*INDEX(UnidadesFactor,MATCH(D954,Unidades,0)),""))</f>
        <v/>
      </c>
      <c r="F954" s="18" t="str">
        <f aca="true">IF(B954="","",IFERROR(INDEX(InsCosto,MATCH(B954,ListaInsumos,0)),""))</f>
        <v/>
      </c>
      <c r="G954" s="19" t="str">
        <f aca="false">IF(AND(A954="",B954=""),"",IF(H954="OK",E954*F954,0))</f>
        <v/>
      </c>
      <c r="H954" s="20" t="str">
        <f aca="true">IF(AND(A954="",B954=""),"",IF(ISNA(MATCH(B954,ListaInsumos,0)),"Insumo no está en Insumos",IF(C954="","Falta cantidad",IF(IFERROR(INDEX(UnidadesBase,MATCH(D954,Unidades,0)),"")&lt;&gt;INDEX(InsBase,MATCH(B954,ListaInsumos,0)),"Unidad incompatible",IF(F954="","Insumo sin compras","OK")))))</f>
        <v/>
      </c>
      <c r="I954" s="15"/>
    </row>
    <row r="955" customFormat="false" ht="15" hidden="false" customHeight="false" outlineLevel="0" collapsed="false">
      <c r="A955" s="15"/>
      <c r="B955" s="15"/>
      <c r="C955" s="27"/>
      <c r="D955" s="15"/>
      <c r="E955" s="25" t="str">
        <f aca="true">IF(OR(C955="",D955=""),"",IFERROR(C955*INDEX(UnidadesFactor,MATCH(D955,Unidades,0)),""))</f>
        <v/>
      </c>
      <c r="F955" s="18" t="str">
        <f aca="true">IF(B955="","",IFERROR(INDEX(InsCosto,MATCH(B955,ListaInsumos,0)),""))</f>
        <v/>
      </c>
      <c r="G955" s="19" t="str">
        <f aca="false">IF(AND(A955="",B955=""),"",IF(H955="OK",E955*F955,0))</f>
        <v/>
      </c>
      <c r="H955" s="20" t="str">
        <f aca="true">IF(AND(A955="",B955=""),"",IF(ISNA(MATCH(B955,ListaInsumos,0)),"Insumo no está en Insumos",IF(C955="","Falta cantidad",IF(IFERROR(INDEX(UnidadesBase,MATCH(D955,Unidades,0)),"")&lt;&gt;INDEX(InsBase,MATCH(B955,ListaInsumos,0)),"Unidad incompatible",IF(F955="","Insumo sin compras","OK")))))</f>
        <v/>
      </c>
      <c r="I955" s="15"/>
    </row>
    <row r="956" customFormat="false" ht="15" hidden="false" customHeight="false" outlineLevel="0" collapsed="false">
      <c r="A956" s="15"/>
      <c r="B956" s="15"/>
      <c r="C956" s="27"/>
      <c r="D956" s="15"/>
      <c r="E956" s="25" t="str">
        <f aca="true">IF(OR(C956="",D956=""),"",IFERROR(C956*INDEX(UnidadesFactor,MATCH(D956,Unidades,0)),""))</f>
        <v/>
      </c>
      <c r="F956" s="18" t="str">
        <f aca="true">IF(B956="","",IFERROR(INDEX(InsCosto,MATCH(B956,ListaInsumos,0)),""))</f>
        <v/>
      </c>
      <c r="G956" s="19" t="str">
        <f aca="false">IF(AND(A956="",B956=""),"",IF(H956="OK",E956*F956,0))</f>
        <v/>
      </c>
      <c r="H956" s="20" t="str">
        <f aca="true">IF(AND(A956="",B956=""),"",IF(ISNA(MATCH(B956,ListaInsumos,0)),"Insumo no está en Insumos",IF(C956="","Falta cantidad",IF(IFERROR(INDEX(UnidadesBase,MATCH(D956,Unidades,0)),"")&lt;&gt;INDEX(InsBase,MATCH(B956,ListaInsumos,0)),"Unidad incompatible",IF(F956="","Insumo sin compras","OK")))))</f>
        <v/>
      </c>
      <c r="I956" s="15"/>
    </row>
    <row r="957" customFormat="false" ht="15" hidden="false" customHeight="false" outlineLevel="0" collapsed="false">
      <c r="A957" s="15"/>
      <c r="B957" s="15"/>
      <c r="C957" s="27"/>
      <c r="D957" s="15"/>
      <c r="E957" s="25" t="str">
        <f aca="true">IF(OR(C957="",D957=""),"",IFERROR(C957*INDEX(UnidadesFactor,MATCH(D957,Unidades,0)),""))</f>
        <v/>
      </c>
      <c r="F957" s="18" t="str">
        <f aca="true">IF(B957="","",IFERROR(INDEX(InsCosto,MATCH(B957,ListaInsumos,0)),""))</f>
        <v/>
      </c>
      <c r="G957" s="19" t="str">
        <f aca="false">IF(AND(A957="",B957=""),"",IF(H957="OK",E957*F957,0))</f>
        <v/>
      </c>
      <c r="H957" s="20" t="str">
        <f aca="true">IF(AND(A957="",B957=""),"",IF(ISNA(MATCH(B957,ListaInsumos,0)),"Insumo no está en Insumos",IF(C957="","Falta cantidad",IF(IFERROR(INDEX(UnidadesBase,MATCH(D957,Unidades,0)),"")&lt;&gt;INDEX(InsBase,MATCH(B957,ListaInsumos,0)),"Unidad incompatible",IF(F957="","Insumo sin compras","OK")))))</f>
        <v/>
      </c>
      <c r="I957" s="15"/>
    </row>
    <row r="958" customFormat="false" ht="15" hidden="false" customHeight="false" outlineLevel="0" collapsed="false">
      <c r="A958" s="15"/>
      <c r="B958" s="15"/>
      <c r="C958" s="27"/>
      <c r="D958" s="15"/>
      <c r="E958" s="25" t="str">
        <f aca="true">IF(OR(C958="",D958=""),"",IFERROR(C958*INDEX(UnidadesFactor,MATCH(D958,Unidades,0)),""))</f>
        <v/>
      </c>
      <c r="F958" s="18" t="str">
        <f aca="true">IF(B958="","",IFERROR(INDEX(InsCosto,MATCH(B958,ListaInsumos,0)),""))</f>
        <v/>
      </c>
      <c r="G958" s="19" t="str">
        <f aca="false">IF(AND(A958="",B958=""),"",IF(H958="OK",E958*F958,0))</f>
        <v/>
      </c>
      <c r="H958" s="20" t="str">
        <f aca="true">IF(AND(A958="",B958=""),"",IF(ISNA(MATCH(B958,ListaInsumos,0)),"Insumo no está en Insumos",IF(C958="","Falta cantidad",IF(IFERROR(INDEX(UnidadesBase,MATCH(D958,Unidades,0)),"")&lt;&gt;INDEX(InsBase,MATCH(B958,ListaInsumos,0)),"Unidad incompatible",IF(F958="","Insumo sin compras","OK")))))</f>
        <v/>
      </c>
      <c r="I958" s="15"/>
    </row>
    <row r="959" customFormat="false" ht="15" hidden="false" customHeight="false" outlineLevel="0" collapsed="false">
      <c r="A959" s="15"/>
      <c r="B959" s="15"/>
      <c r="C959" s="27"/>
      <c r="D959" s="15"/>
      <c r="E959" s="25" t="str">
        <f aca="true">IF(OR(C959="",D959=""),"",IFERROR(C959*INDEX(UnidadesFactor,MATCH(D959,Unidades,0)),""))</f>
        <v/>
      </c>
      <c r="F959" s="18" t="str">
        <f aca="true">IF(B959="","",IFERROR(INDEX(InsCosto,MATCH(B959,ListaInsumos,0)),""))</f>
        <v/>
      </c>
      <c r="G959" s="19" t="str">
        <f aca="false">IF(AND(A959="",B959=""),"",IF(H959="OK",E959*F959,0))</f>
        <v/>
      </c>
      <c r="H959" s="20" t="str">
        <f aca="true">IF(AND(A959="",B959=""),"",IF(ISNA(MATCH(B959,ListaInsumos,0)),"Insumo no está en Insumos",IF(C959="","Falta cantidad",IF(IFERROR(INDEX(UnidadesBase,MATCH(D959,Unidades,0)),"")&lt;&gt;INDEX(InsBase,MATCH(B959,ListaInsumos,0)),"Unidad incompatible",IF(F959="","Insumo sin compras","OK")))))</f>
        <v/>
      </c>
      <c r="I959" s="15"/>
    </row>
    <row r="960" customFormat="false" ht="15" hidden="false" customHeight="false" outlineLevel="0" collapsed="false">
      <c r="A960" s="15"/>
      <c r="B960" s="15"/>
      <c r="C960" s="27"/>
      <c r="D960" s="15"/>
      <c r="E960" s="25" t="str">
        <f aca="true">IF(OR(C960="",D960=""),"",IFERROR(C960*INDEX(UnidadesFactor,MATCH(D960,Unidades,0)),""))</f>
        <v/>
      </c>
      <c r="F960" s="18" t="str">
        <f aca="true">IF(B960="","",IFERROR(INDEX(InsCosto,MATCH(B960,ListaInsumos,0)),""))</f>
        <v/>
      </c>
      <c r="G960" s="19" t="str">
        <f aca="false">IF(AND(A960="",B960=""),"",IF(H960="OK",E960*F960,0))</f>
        <v/>
      </c>
      <c r="H960" s="20" t="str">
        <f aca="true">IF(AND(A960="",B960=""),"",IF(ISNA(MATCH(B960,ListaInsumos,0)),"Insumo no está en Insumos",IF(C960="","Falta cantidad",IF(IFERROR(INDEX(UnidadesBase,MATCH(D960,Unidades,0)),"")&lt;&gt;INDEX(InsBase,MATCH(B960,ListaInsumos,0)),"Unidad incompatible",IF(F960="","Insumo sin compras","OK")))))</f>
        <v/>
      </c>
      <c r="I960" s="15"/>
    </row>
    <row r="961" customFormat="false" ht="15" hidden="false" customHeight="false" outlineLevel="0" collapsed="false">
      <c r="A961" s="15"/>
      <c r="B961" s="15"/>
      <c r="C961" s="27"/>
      <c r="D961" s="15"/>
      <c r="E961" s="25" t="str">
        <f aca="true">IF(OR(C961="",D961=""),"",IFERROR(C961*INDEX(UnidadesFactor,MATCH(D961,Unidades,0)),""))</f>
        <v/>
      </c>
      <c r="F961" s="18" t="str">
        <f aca="true">IF(B961="","",IFERROR(INDEX(InsCosto,MATCH(B961,ListaInsumos,0)),""))</f>
        <v/>
      </c>
      <c r="G961" s="19" t="str">
        <f aca="false">IF(AND(A961="",B961=""),"",IF(H961="OK",E961*F961,0))</f>
        <v/>
      </c>
      <c r="H961" s="20" t="str">
        <f aca="true">IF(AND(A961="",B961=""),"",IF(ISNA(MATCH(B961,ListaInsumos,0)),"Insumo no está en Insumos",IF(C961="","Falta cantidad",IF(IFERROR(INDEX(UnidadesBase,MATCH(D961,Unidades,0)),"")&lt;&gt;INDEX(InsBase,MATCH(B961,ListaInsumos,0)),"Unidad incompatible",IF(F961="","Insumo sin compras","OK")))))</f>
        <v/>
      </c>
      <c r="I961" s="15"/>
    </row>
    <row r="962" customFormat="false" ht="15" hidden="false" customHeight="false" outlineLevel="0" collapsed="false">
      <c r="A962" s="15"/>
      <c r="B962" s="15"/>
      <c r="C962" s="27"/>
      <c r="D962" s="15"/>
      <c r="E962" s="25" t="str">
        <f aca="true">IF(OR(C962="",D962=""),"",IFERROR(C962*INDEX(UnidadesFactor,MATCH(D962,Unidades,0)),""))</f>
        <v/>
      </c>
      <c r="F962" s="18" t="str">
        <f aca="true">IF(B962="","",IFERROR(INDEX(InsCosto,MATCH(B962,ListaInsumos,0)),""))</f>
        <v/>
      </c>
      <c r="G962" s="19" t="str">
        <f aca="false">IF(AND(A962="",B962=""),"",IF(H962="OK",E962*F962,0))</f>
        <v/>
      </c>
      <c r="H962" s="20" t="str">
        <f aca="true">IF(AND(A962="",B962=""),"",IF(ISNA(MATCH(B962,ListaInsumos,0)),"Insumo no está en Insumos",IF(C962="","Falta cantidad",IF(IFERROR(INDEX(UnidadesBase,MATCH(D962,Unidades,0)),"")&lt;&gt;INDEX(InsBase,MATCH(B962,ListaInsumos,0)),"Unidad incompatible",IF(F962="","Insumo sin compras","OK")))))</f>
        <v/>
      </c>
      <c r="I962" s="15"/>
    </row>
    <row r="963" customFormat="false" ht="15" hidden="false" customHeight="false" outlineLevel="0" collapsed="false">
      <c r="A963" s="15"/>
      <c r="B963" s="15"/>
      <c r="C963" s="27"/>
      <c r="D963" s="15"/>
      <c r="E963" s="25" t="str">
        <f aca="true">IF(OR(C963="",D963=""),"",IFERROR(C963*INDEX(UnidadesFactor,MATCH(D963,Unidades,0)),""))</f>
        <v/>
      </c>
      <c r="F963" s="18" t="str">
        <f aca="true">IF(B963="","",IFERROR(INDEX(InsCosto,MATCH(B963,ListaInsumos,0)),""))</f>
        <v/>
      </c>
      <c r="G963" s="19" t="str">
        <f aca="false">IF(AND(A963="",B963=""),"",IF(H963="OK",E963*F963,0))</f>
        <v/>
      </c>
      <c r="H963" s="20" t="str">
        <f aca="true">IF(AND(A963="",B963=""),"",IF(ISNA(MATCH(B963,ListaInsumos,0)),"Insumo no está en Insumos",IF(C963="","Falta cantidad",IF(IFERROR(INDEX(UnidadesBase,MATCH(D963,Unidades,0)),"")&lt;&gt;INDEX(InsBase,MATCH(B963,ListaInsumos,0)),"Unidad incompatible",IF(F963="","Insumo sin compras","OK")))))</f>
        <v/>
      </c>
      <c r="I963" s="15"/>
    </row>
    <row r="964" customFormat="false" ht="15" hidden="false" customHeight="false" outlineLevel="0" collapsed="false">
      <c r="A964" s="15"/>
      <c r="B964" s="15"/>
      <c r="C964" s="27"/>
      <c r="D964" s="15"/>
      <c r="E964" s="25" t="str">
        <f aca="true">IF(OR(C964="",D964=""),"",IFERROR(C964*INDEX(UnidadesFactor,MATCH(D964,Unidades,0)),""))</f>
        <v/>
      </c>
      <c r="F964" s="18" t="str">
        <f aca="true">IF(B964="","",IFERROR(INDEX(InsCosto,MATCH(B964,ListaInsumos,0)),""))</f>
        <v/>
      </c>
      <c r="G964" s="19" t="str">
        <f aca="false">IF(AND(A964="",B964=""),"",IF(H964="OK",E964*F964,0))</f>
        <v/>
      </c>
      <c r="H964" s="20" t="str">
        <f aca="true">IF(AND(A964="",B964=""),"",IF(ISNA(MATCH(B964,ListaInsumos,0)),"Insumo no está en Insumos",IF(C964="","Falta cantidad",IF(IFERROR(INDEX(UnidadesBase,MATCH(D964,Unidades,0)),"")&lt;&gt;INDEX(InsBase,MATCH(B964,ListaInsumos,0)),"Unidad incompatible",IF(F964="","Insumo sin compras","OK")))))</f>
        <v/>
      </c>
      <c r="I964" s="15"/>
    </row>
    <row r="965" customFormat="false" ht="15" hidden="false" customHeight="false" outlineLevel="0" collapsed="false">
      <c r="A965" s="15"/>
      <c r="B965" s="15"/>
      <c r="C965" s="27"/>
      <c r="D965" s="15"/>
      <c r="E965" s="25" t="str">
        <f aca="true">IF(OR(C965="",D965=""),"",IFERROR(C965*INDEX(UnidadesFactor,MATCH(D965,Unidades,0)),""))</f>
        <v/>
      </c>
      <c r="F965" s="18" t="str">
        <f aca="true">IF(B965="","",IFERROR(INDEX(InsCosto,MATCH(B965,ListaInsumos,0)),""))</f>
        <v/>
      </c>
      <c r="G965" s="19" t="str">
        <f aca="false">IF(AND(A965="",B965=""),"",IF(H965="OK",E965*F965,0))</f>
        <v/>
      </c>
      <c r="H965" s="20" t="str">
        <f aca="true">IF(AND(A965="",B965=""),"",IF(ISNA(MATCH(B965,ListaInsumos,0)),"Insumo no está en Insumos",IF(C965="","Falta cantidad",IF(IFERROR(INDEX(UnidadesBase,MATCH(D965,Unidades,0)),"")&lt;&gt;INDEX(InsBase,MATCH(B965,ListaInsumos,0)),"Unidad incompatible",IF(F965="","Insumo sin compras","OK")))))</f>
        <v/>
      </c>
      <c r="I965" s="15"/>
    </row>
    <row r="966" customFormat="false" ht="15" hidden="false" customHeight="false" outlineLevel="0" collapsed="false">
      <c r="A966" s="15"/>
      <c r="B966" s="15"/>
      <c r="C966" s="27"/>
      <c r="D966" s="15"/>
      <c r="E966" s="25" t="str">
        <f aca="true">IF(OR(C966="",D966=""),"",IFERROR(C966*INDEX(UnidadesFactor,MATCH(D966,Unidades,0)),""))</f>
        <v/>
      </c>
      <c r="F966" s="18" t="str">
        <f aca="true">IF(B966="","",IFERROR(INDEX(InsCosto,MATCH(B966,ListaInsumos,0)),""))</f>
        <v/>
      </c>
      <c r="G966" s="19" t="str">
        <f aca="false">IF(AND(A966="",B966=""),"",IF(H966="OK",E966*F966,0))</f>
        <v/>
      </c>
      <c r="H966" s="20" t="str">
        <f aca="true">IF(AND(A966="",B966=""),"",IF(ISNA(MATCH(B966,ListaInsumos,0)),"Insumo no está en Insumos",IF(C966="","Falta cantidad",IF(IFERROR(INDEX(UnidadesBase,MATCH(D966,Unidades,0)),"")&lt;&gt;INDEX(InsBase,MATCH(B966,ListaInsumos,0)),"Unidad incompatible",IF(F966="","Insumo sin compras","OK")))))</f>
        <v/>
      </c>
      <c r="I966" s="15"/>
    </row>
    <row r="967" customFormat="false" ht="15" hidden="false" customHeight="false" outlineLevel="0" collapsed="false">
      <c r="A967" s="15"/>
      <c r="B967" s="15"/>
      <c r="C967" s="27"/>
      <c r="D967" s="15"/>
      <c r="E967" s="25" t="str">
        <f aca="true">IF(OR(C967="",D967=""),"",IFERROR(C967*INDEX(UnidadesFactor,MATCH(D967,Unidades,0)),""))</f>
        <v/>
      </c>
      <c r="F967" s="18" t="str">
        <f aca="true">IF(B967="","",IFERROR(INDEX(InsCosto,MATCH(B967,ListaInsumos,0)),""))</f>
        <v/>
      </c>
      <c r="G967" s="19" t="str">
        <f aca="false">IF(AND(A967="",B967=""),"",IF(H967="OK",E967*F967,0))</f>
        <v/>
      </c>
      <c r="H967" s="20" t="str">
        <f aca="true">IF(AND(A967="",B967=""),"",IF(ISNA(MATCH(B967,ListaInsumos,0)),"Insumo no está en Insumos",IF(C967="","Falta cantidad",IF(IFERROR(INDEX(UnidadesBase,MATCH(D967,Unidades,0)),"")&lt;&gt;INDEX(InsBase,MATCH(B967,ListaInsumos,0)),"Unidad incompatible",IF(F967="","Insumo sin compras","OK")))))</f>
        <v/>
      </c>
      <c r="I967" s="15"/>
    </row>
    <row r="968" customFormat="false" ht="15" hidden="false" customHeight="false" outlineLevel="0" collapsed="false">
      <c r="A968" s="15"/>
      <c r="B968" s="15"/>
      <c r="C968" s="27"/>
      <c r="D968" s="15"/>
      <c r="E968" s="25" t="str">
        <f aca="true">IF(OR(C968="",D968=""),"",IFERROR(C968*INDEX(UnidadesFactor,MATCH(D968,Unidades,0)),""))</f>
        <v/>
      </c>
      <c r="F968" s="18" t="str">
        <f aca="true">IF(B968="","",IFERROR(INDEX(InsCosto,MATCH(B968,ListaInsumos,0)),""))</f>
        <v/>
      </c>
      <c r="G968" s="19" t="str">
        <f aca="false">IF(AND(A968="",B968=""),"",IF(H968="OK",E968*F968,0))</f>
        <v/>
      </c>
      <c r="H968" s="20" t="str">
        <f aca="true">IF(AND(A968="",B968=""),"",IF(ISNA(MATCH(B968,ListaInsumos,0)),"Insumo no está en Insumos",IF(C968="","Falta cantidad",IF(IFERROR(INDEX(UnidadesBase,MATCH(D968,Unidades,0)),"")&lt;&gt;INDEX(InsBase,MATCH(B968,ListaInsumos,0)),"Unidad incompatible",IF(F968="","Insumo sin compras","OK")))))</f>
        <v/>
      </c>
      <c r="I968" s="15"/>
    </row>
    <row r="969" customFormat="false" ht="15" hidden="false" customHeight="false" outlineLevel="0" collapsed="false">
      <c r="A969" s="15"/>
      <c r="B969" s="15"/>
      <c r="C969" s="27"/>
      <c r="D969" s="15"/>
      <c r="E969" s="25" t="str">
        <f aca="true">IF(OR(C969="",D969=""),"",IFERROR(C969*INDEX(UnidadesFactor,MATCH(D969,Unidades,0)),""))</f>
        <v/>
      </c>
      <c r="F969" s="18" t="str">
        <f aca="true">IF(B969="","",IFERROR(INDEX(InsCosto,MATCH(B969,ListaInsumos,0)),""))</f>
        <v/>
      </c>
      <c r="G969" s="19" t="str">
        <f aca="false">IF(AND(A969="",B969=""),"",IF(H969="OK",E969*F969,0))</f>
        <v/>
      </c>
      <c r="H969" s="20" t="str">
        <f aca="true">IF(AND(A969="",B969=""),"",IF(ISNA(MATCH(B969,ListaInsumos,0)),"Insumo no está en Insumos",IF(C969="","Falta cantidad",IF(IFERROR(INDEX(UnidadesBase,MATCH(D969,Unidades,0)),"")&lt;&gt;INDEX(InsBase,MATCH(B969,ListaInsumos,0)),"Unidad incompatible",IF(F969="","Insumo sin compras","OK")))))</f>
        <v/>
      </c>
      <c r="I969" s="15"/>
    </row>
    <row r="970" customFormat="false" ht="15" hidden="false" customHeight="false" outlineLevel="0" collapsed="false">
      <c r="A970" s="15"/>
      <c r="B970" s="15"/>
      <c r="C970" s="27"/>
      <c r="D970" s="15"/>
      <c r="E970" s="25" t="str">
        <f aca="true">IF(OR(C970="",D970=""),"",IFERROR(C970*INDEX(UnidadesFactor,MATCH(D970,Unidades,0)),""))</f>
        <v/>
      </c>
      <c r="F970" s="18" t="str">
        <f aca="true">IF(B970="","",IFERROR(INDEX(InsCosto,MATCH(B970,ListaInsumos,0)),""))</f>
        <v/>
      </c>
      <c r="G970" s="19" t="str">
        <f aca="false">IF(AND(A970="",B970=""),"",IF(H970="OK",E970*F970,0))</f>
        <v/>
      </c>
      <c r="H970" s="20" t="str">
        <f aca="true">IF(AND(A970="",B970=""),"",IF(ISNA(MATCH(B970,ListaInsumos,0)),"Insumo no está en Insumos",IF(C970="","Falta cantidad",IF(IFERROR(INDEX(UnidadesBase,MATCH(D970,Unidades,0)),"")&lt;&gt;INDEX(InsBase,MATCH(B970,ListaInsumos,0)),"Unidad incompatible",IF(F970="","Insumo sin compras","OK")))))</f>
        <v/>
      </c>
      <c r="I970" s="15"/>
    </row>
    <row r="971" customFormat="false" ht="15" hidden="false" customHeight="false" outlineLevel="0" collapsed="false">
      <c r="A971" s="15"/>
      <c r="B971" s="15"/>
      <c r="C971" s="27"/>
      <c r="D971" s="15"/>
      <c r="E971" s="25" t="str">
        <f aca="true">IF(OR(C971="",D971=""),"",IFERROR(C971*INDEX(UnidadesFactor,MATCH(D971,Unidades,0)),""))</f>
        <v/>
      </c>
      <c r="F971" s="18" t="str">
        <f aca="true">IF(B971="","",IFERROR(INDEX(InsCosto,MATCH(B971,ListaInsumos,0)),""))</f>
        <v/>
      </c>
      <c r="G971" s="19" t="str">
        <f aca="false">IF(AND(A971="",B971=""),"",IF(H971="OK",E971*F971,0))</f>
        <v/>
      </c>
      <c r="H971" s="20" t="str">
        <f aca="true">IF(AND(A971="",B971=""),"",IF(ISNA(MATCH(B971,ListaInsumos,0)),"Insumo no está en Insumos",IF(C971="","Falta cantidad",IF(IFERROR(INDEX(UnidadesBase,MATCH(D971,Unidades,0)),"")&lt;&gt;INDEX(InsBase,MATCH(B971,ListaInsumos,0)),"Unidad incompatible",IF(F971="","Insumo sin compras","OK")))))</f>
        <v/>
      </c>
      <c r="I971" s="15"/>
    </row>
    <row r="972" customFormat="false" ht="15" hidden="false" customHeight="false" outlineLevel="0" collapsed="false">
      <c r="A972" s="15"/>
      <c r="B972" s="15"/>
      <c r="C972" s="27"/>
      <c r="D972" s="15"/>
      <c r="E972" s="25" t="str">
        <f aca="true">IF(OR(C972="",D972=""),"",IFERROR(C972*INDEX(UnidadesFactor,MATCH(D972,Unidades,0)),""))</f>
        <v/>
      </c>
      <c r="F972" s="18" t="str">
        <f aca="true">IF(B972="","",IFERROR(INDEX(InsCosto,MATCH(B972,ListaInsumos,0)),""))</f>
        <v/>
      </c>
      <c r="G972" s="19" t="str">
        <f aca="false">IF(AND(A972="",B972=""),"",IF(H972="OK",E972*F972,0))</f>
        <v/>
      </c>
      <c r="H972" s="20" t="str">
        <f aca="true">IF(AND(A972="",B972=""),"",IF(ISNA(MATCH(B972,ListaInsumos,0)),"Insumo no está en Insumos",IF(C972="","Falta cantidad",IF(IFERROR(INDEX(UnidadesBase,MATCH(D972,Unidades,0)),"")&lt;&gt;INDEX(InsBase,MATCH(B972,ListaInsumos,0)),"Unidad incompatible",IF(F972="","Insumo sin compras","OK")))))</f>
        <v/>
      </c>
      <c r="I972" s="15"/>
    </row>
    <row r="973" customFormat="false" ht="15" hidden="false" customHeight="false" outlineLevel="0" collapsed="false">
      <c r="A973" s="15"/>
      <c r="B973" s="15"/>
      <c r="C973" s="27"/>
      <c r="D973" s="15"/>
      <c r="E973" s="25" t="str">
        <f aca="true">IF(OR(C973="",D973=""),"",IFERROR(C973*INDEX(UnidadesFactor,MATCH(D973,Unidades,0)),""))</f>
        <v/>
      </c>
      <c r="F973" s="18" t="str">
        <f aca="true">IF(B973="","",IFERROR(INDEX(InsCosto,MATCH(B973,ListaInsumos,0)),""))</f>
        <v/>
      </c>
      <c r="G973" s="19" t="str">
        <f aca="false">IF(AND(A973="",B973=""),"",IF(H973="OK",E973*F973,0))</f>
        <v/>
      </c>
      <c r="H973" s="20" t="str">
        <f aca="true">IF(AND(A973="",B973=""),"",IF(ISNA(MATCH(B973,ListaInsumos,0)),"Insumo no está en Insumos",IF(C973="","Falta cantidad",IF(IFERROR(INDEX(UnidadesBase,MATCH(D973,Unidades,0)),"")&lt;&gt;INDEX(InsBase,MATCH(B973,ListaInsumos,0)),"Unidad incompatible",IF(F973="","Insumo sin compras","OK")))))</f>
        <v/>
      </c>
      <c r="I973" s="15"/>
    </row>
    <row r="974" customFormat="false" ht="15" hidden="false" customHeight="false" outlineLevel="0" collapsed="false">
      <c r="A974" s="15"/>
      <c r="B974" s="15"/>
      <c r="C974" s="27"/>
      <c r="D974" s="15"/>
      <c r="E974" s="25" t="str">
        <f aca="true">IF(OR(C974="",D974=""),"",IFERROR(C974*INDEX(UnidadesFactor,MATCH(D974,Unidades,0)),""))</f>
        <v/>
      </c>
      <c r="F974" s="18" t="str">
        <f aca="true">IF(B974="","",IFERROR(INDEX(InsCosto,MATCH(B974,ListaInsumos,0)),""))</f>
        <v/>
      </c>
      <c r="G974" s="19" t="str">
        <f aca="false">IF(AND(A974="",B974=""),"",IF(H974="OK",E974*F974,0))</f>
        <v/>
      </c>
      <c r="H974" s="20" t="str">
        <f aca="true">IF(AND(A974="",B974=""),"",IF(ISNA(MATCH(B974,ListaInsumos,0)),"Insumo no está en Insumos",IF(C974="","Falta cantidad",IF(IFERROR(INDEX(UnidadesBase,MATCH(D974,Unidades,0)),"")&lt;&gt;INDEX(InsBase,MATCH(B974,ListaInsumos,0)),"Unidad incompatible",IF(F974="","Insumo sin compras","OK")))))</f>
        <v/>
      </c>
      <c r="I974" s="15"/>
    </row>
    <row r="975" customFormat="false" ht="15" hidden="false" customHeight="false" outlineLevel="0" collapsed="false">
      <c r="A975" s="15"/>
      <c r="B975" s="15"/>
      <c r="C975" s="27"/>
      <c r="D975" s="15"/>
      <c r="E975" s="25" t="str">
        <f aca="true">IF(OR(C975="",D975=""),"",IFERROR(C975*INDEX(UnidadesFactor,MATCH(D975,Unidades,0)),""))</f>
        <v/>
      </c>
      <c r="F975" s="18" t="str">
        <f aca="true">IF(B975="","",IFERROR(INDEX(InsCosto,MATCH(B975,ListaInsumos,0)),""))</f>
        <v/>
      </c>
      <c r="G975" s="19" t="str">
        <f aca="false">IF(AND(A975="",B975=""),"",IF(H975="OK",E975*F975,0))</f>
        <v/>
      </c>
      <c r="H975" s="20" t="str">
        <f aca="true">IF(AND(A975="",B975=""),"",IF(ISNA(MATCH(B975,ListaInsumos,0)),"Insumo no está en Insumos",IF(C975="","Falta cantidad",IF(IFERROR(INDEX(UnidadesBase,MATCH(D975,Unidades,0)),"")&lt;&gt;INDEX(InsBase,MATCH(B975,ListaInsumos,0)),"Unidad incompatible",IF(F975="","Insumo sin compras","OK")))))</f>
        <v/>
      </c>
      <c r="I975" s="15"/>
    </row>
    <row r="976" customFormat="false" ht="15" hidden="false" customHeight="false" outlineLevel="0" collapsed="false">
      <c r="A976" s="15"/>
      <c r="B976" s="15"/>
      <c r="C976" s="27"/>
      <c r="D976" s="15"/>
      <c r="E976" s="25" t="str">
        <f aca="true">IF(OR(C976="",D976=""),"",IFERROR(C976*INDEX(UnidadesFactor,MATCH(D976,Unidades,0)),""))</f>
        <v/>
      </c>
      <c r="F976" s="18" t="str">
        <f aca="true">IF(B976="","",IFERROR(INDEX(InsCosto,MATCH(B976,ListaInsumos,0)),""))</f>
        <v/>
      </c>
      <c r="G976" s="19" t="str">
        <f aca="false">IF(AND(A976="",B976=""),"",IF(H976="OK",E976*F976,0))</f>
        <v/>
      </c>
      <c r="H976" s="20" t="str">
        <f aca="true">IF(AND(A976="",B976=""),"",IF(ISNA(MATCH(B976,ListaInsumos,0)),"Insumo no está en Insumos",IF(C976="","Falta cantidad",IF(IFERROR(INDEX(UnidadesBase,MATCH(D976,Unidades,0)),"")&lt;&gt;INDEX(InsBase,MATCH(B976,ListaInsumos,0)),"Unidad incompatible",IF(F976="","Insumo sin compras","OK")))))</f>
        <v/>
      </c>
      <c r="I976" s="15"/>
    </row>
    <row r="977" customFormat="false" ht="15" hidden="false" customHeight="false" outlineLevel="0" collapsed="false">
      <c r="A977" s="15"/>
      <c r="B977" s="15"/>
      <c r="C977" s="27"/>
      <c r="D977" s="15"/>
      <c r="E977" s="25" t="str">
        <f aca="true">IF(OR(C977="",D977=""),"",IFERROR(C977*INDEX(UnidadesFactor,MATCH(D977,Unidades,0)),""))</f>
        <v/>
      </c>
      <c r="F977" s="18" t="str">
        <f aca="true">IF(B977="","",IFERROR(INDEX(InsCosto,MATCH(B977,ListaInsumos,0)),""))</f>
        <v/>
      </c>
      <c r="G977" s="19" t="str">
        <f aca="false">IF(AND(A977="",B977=""),"",IF(H977="OK",E977*F977,0))</f>
        <v/>
      </c>
      <c r="H977" s="20" t="str">
        <f aca="true">IF(AND(A977="",B977=""),"",IF(ISNA(MATCH(B977,ListaInsumos,0)),"Insumo no está en Insumos",IF(C977="","Falta cantidad",IF(IFERROR(INDEX(UnidadesBase,MATCH(D977,Unidades,0)),"")&lt;&gt;INDEX(InsBase,MATCH(B977,ListaInsumos,0)),"Unidad incompatible",IF(F977="","Insumo sin compras","OK")))))</f>
        <v/>
      </c>
      <c r="I977" s="15"/>
    </row>
    <row r="978" customFormat="false" ht="15" hidden="false" customHeight="false" outlineLevel="0" collapsed="false">
      <c r="A978" s="15"/>
      <c r="B978" s="15"/>
      <c r="C978" s="27"/>
      <c r="D978" s="15"/>
      <c r="E978" s="25" t="str">
        <f aca="true">IF(OR(C978="",D978=""),"",IFERROR(C978*INDEX(UnidadesFactor,MATCH(D978,Unidades,0)),""))</f>
        <v/>
      </c>
      <c r="F978" s="18" t="str">
        <f aca="true">IF(B978="","",IFERROR(INDEX(InsCosto,MATCH(B978,ListaInsumos,0)),""))</f>
        <v/>
      </c>
      <c r="G978" s="19" t="str">
        <f aca="false">IF(AND(A978="",B978=""),"",IF(H978="OK",E978*F978,0))</f>
        <v/>
      </c>
      <c r="H978" s="20" t="str">
        <f aca="true">IF(AND(A978="",B978=""),"",IF(ISNA(MATCH(B978,ListaInsumos,0)),"Insumo no está en Insumos",IF(C978="","Falta cantidad",IF(IFERROR(INDEX(UnidadesBase,MATCH(D978,Unidades,0)),"")&lt;&gt;INDEX(InsBase,MATCH(B978,ListaInsumos,0)),"Unidad incompatible",IF(F978="","Insumo sin compras","OK")))))</f>
        <v/>
      </c>
      <c r="I978" s="15"/>
    </row>
    <row r="979" customFormat="false" ht="15" hidden="false" customHeight="false" outlineLevel="0" collapsed="false">
      <c r="A979" s="15"/>
      <c r="B979" s="15"/>
      <c r="C979" s="27"/>
      <c r="D979" s="15"/>
      <c r="E979" s="25" t="str">
        <f aca="true">IF(OR(C979="",D979=""),"",IFERROR(C979*INDEX(UnidadesFactor,MATCH(D979,Unidades,0)),""))</f>
        <v/>
      </c>
      <c r="F979" s="18" t="str">
        <f aca="true">IF(B979="","",IFERROR(INDEX(InsCosto,MATCH(B979,ListaInsumos,0)),""))</f>
        <v/>
      </c>
      <c r="G979" s="19" t="str">
        <f aca="false">IF(AND(A979="",B979=""),"",IF(H979="OK",E979*F979,0))</f>
        <v/>
      </c>
      <c r="H979" s="20" t="str">
        <f aca="true">IF(AND(A979="",B979=""),"",IF(ISNA(MATCH(B979,ListaInsumos,0)),"Insumo no está en Insumos",IF(C979="","Falta cantidad",IF(IFERROR(INDEX(UnidadesBase,MATCH(D979,Unidades,0)),"")&lt;&gt;INDEX(InsBase,MATCH(B979,ListaInsumos,0)),"Unidad incompatible",IF(F979="","Insumo sin compras","OK")))))</f>
        <v/>
      </c>
      <c r="I979" s="15"/>
    </row>
    <row r="980" customFormat="false" ht="15" hidden="false" customHeight="false" outlineLevel="0" collapsed="false">
      <c r="A980" s="15"/>
      <c r="B980" s="15"/>
      <c r="C980" s="27"/>
      <c r="D980" s="15"/>
      <c r="E980" s="25" t="str">
        <f aca="true">IF(OR(C980="",D980=""),"",IFERROR(C980*INDEX(UnidadesFactor,MATCH(D980,Unidades,0)),""))</f>
        <v/>
      </c>
      <c r="F980" s="18" t="str">
        <f aca="true">IF(B980="","",IFERROR(INDEX(InsCosto,MATCH(B980,ListaInsumos,0)),""))</f>
        <v/>
      </c>
      <c r="G980" s="19" t="str">
        <f aca="false">IF(AND(A980="",B980=""),"",IF(H980="OK",E980*F980,0))</f>
        <v/>
      </c>
      <c r="H980" s="20" t="str">
        <f aca="true">IF(AND(A980="",B980=""),"",IF(ISNA(MATCH(B980,ListaInsumos,0)),"Insumo no está en Insumos",IF(C980="","Falta cantidad",IF(IFERROR(INDEX(UnidadesBase,MATCH(D980,Unidades,0)),"")&lt;&gt;INDEX(InsBase,MATCH(B980,ListaInsumos,0)),"Unidad incompatible",IF(F980="","Insumo sin compras","OK")))))</f>
        <v/>
      </c>
      <c r="I980" s="15"/>
    </row>
    <row r="981" customFormat="false" ht="15" hidden="false" customHeight="false" outlineLevel="0" collapsed="false">
      <c r="A981" s="15"/>
      <c r="B981" s="15"/>
      <c r="C981" s="27"/>
      <c r="D981" s="15"/>
      <c r="E981" s="25" t="str">
        <f aca="true">IF(OR(C981="",D981=""),"",IFERROR(C981*INDEX(UnidadesFactor,MATCH(D981,Unidades,0)),""))</f>
        <v/>
      </c>
      <c r="F981" s="18" t="str">
        <f aca="true">IF(B981="","",IFERROR(INDEX(InsCosto,MATCH(B981,ListaInsumos,0)),""))</f>
        <v/>
      </c>
      <c r="G981" s="19" t="str">
        <f aca="false">IF(AND(A981="",B981=""),"",IF(H981="OK",E981*F981,0))</f>
        <v/>
      </c>
      <c r="H981" s="20" t="str">
        <f aca="true">IF(AND(A981="",B981=""),"",IF(ISNA(MATCH(B981,ListaInsumos,0)),"Insumo no está en Insumos",IF(C981="","Falta cantidad",IF(IFERROR(INDEX(UnidadesBase,MATCH(D981,Unidades,0)),"")&lt;&gt;INDEX(InsBase,MATCH(B981,ListaInsumos,0)),"Unidad incompatible",IF(F981="","Insumo sin compras","OK")))))</f>
        <v/>
      </c>
      <c r="I981" s="15"/>
    </row>
    <row r="982" customFormat="false" ht="15" hidden="false" customHeight="false" outlineLevel="0" collapsed="false">
      <c r="A982" s="15"/>
      <c r="B982" s="15"/>
      <c r="C982" s="27"/>
      <c r="D982" s="15"/>
      <c r="E982" s="25" t="str">
        <f aca="true">IF(OR(C982="",D982=""),"",IFERROR(C982*INDEX(UnidadesFactor,MATCH(D982,Unidades,0)),""))</f>
        <v/>
      </c>
      <c r="F982" s="18" t="str">
        <f aca="true">IF(B982="","",IFERROR(INDEX(InsCosto,MATCH(B982,ListaInsumos,0)),""))</f>
        <v/>
      </c>
      <c r="G982" s="19" t="str">
        <f aca="false">IF(AND(A982="",B982=""),"",IF(H982="OK",E982*F982,0))</f>
        <v/>
      </c>
      <c r="H982" s="20" t="str">
        <f aca="true">IF(AND(A982="",B982=""),"",IF(ISNA(MATCH(B982,ListaInsumos,0)),"Insumo no está en Insumos",IF(C982="","Falta cantidad",IF(IFERROR(INDEX(UnidadesBase,MATCH(D982,Unidades,0)),"")&lt;&gt;INDEX(InsBase,MATCH(B982,ListaInsumos,0)),"Unidad incompatible",IF(F982="","Insumo sin compras","OK")))))</f>
        <v/>
      </c>
      <c r="I982" s="15"/>
    </row>
    <row r="983" customFormat="false" ht="15" hidden="false" customHeight="false" outlineLevel="0" collapsed="false">
      <c r="A983" s="15"/>
      <c r="B983" s="15"/>
      <c r="C983" s="27"/>
      <c r="D983" s="15"/>
      <c r="E983" s="25" t="str">
        <f aca="true">IF(OR(C983="",D983=""),"",IFERROR(C983*INDEX(UnidadesFactor,MATCH(D983,Unidades,0)),""))</f>
        <v/>
      </c>
      <c r="F983" s="18" t="str">
        <f aca="true">IF(B983="","",IFERROR(INDEX(InsCosto,MATCH(B983,ListaInsumos,0)),""))</f>
        <v/>
      </c>
      <c r="G983" s="19" t="str">
        <f aca="false">IF(AND(A983="",B983=""),"",IF(H983="OK",E983*F983,0))</f>
        <v/>
      </c>
      <c r="H983" s="20" t="str">
        <f aca="true">IF(AND(A983="",B983=""),"",IF(ISNA(MATCH(B983,ListaInsumos,0)),"Insumo no está en Insumos",IF(C983="","Falta cantidad",IF(IFERROR(INDEX(UnidadesBase,MATCH(D983,Unidades,0)),"")&lt;&gt;INDEX(InsBase,MATCH(B983,ListaInsumos,0)),"Unidad incompatible",IF(F983="","Insumo sin compras","OK")))))</f>
        <v/>
      </c>
      <c r="I983" s="15"/>
    </row>
    <row r="984" customFormat="false" ht="15" hidden="false" customHeight="false" outlineLevel="0" collapsed="false">
      <c r="A984" s="15"/>
      <c r="B984" s="15"/>
      <c r="C984" s="27"/>
      <c r="D984" s="15"/>
      <c r="E984" s="25" t="str">
        <f aca="true">IF(OR(C984="",D984=""),"",IFERROR(C984*INDEX(UnidadesFactor,MATCH(D984,Unidades,0)),""))</f>
        <v/>
      </c>
      <c r="F984" s="18" t="str">
        <f aca="true">IF(B984="","",IFERROR(INDEX(InsCosto,MATCH(B984,ListaInsumos,0)),""))</f>
        <v/>
      </c>
      <c r="G984" s="19" t="str">
        <f aca="false">IF(AND(A984="",B984=""),"",IF(H984="OK",E984*F984,0))</f>
        <v/>
      </c>
      <c r="H984" s="20" t="str">
        <f aca="true">IF(AND(A984="",B984=""),"",IF(ISNA(MATCH(B984,ListaInsumos,0)),"Insumo no está en Insumos",IF(C984="","Falta cantidad",IF(IFERROR(INDEX(UnidadesBase,MATCH(D984,Unidades,0)),"")&lt;&gt;INDEX(InsBase,MATCH(B984,ListaInsumos,0)),"Unidad incompatible",IF(F984="","Insumo sin compras","OK")))))</f>
        <v/>
      </c>
      <c r="I984" s="15"/>
    </row>
    <row r="985" customFormat="false" ht="15" hidden="false" customHeight="false" outlineLevel="0" collapsed="false">
      <c r="A985" s="15"/>
      <c r="B985" s="15"/>
      <c r="C985" s="27"/>
      <c r="D985" s="15"/>
      <c r="E985" s="25" t="str">
        <f aca="true">IF(OR(C985="",D985=""),"",IFERROR(C985*INDEX(UnidadesFactor,MATCH(D985,Unidades,0)),""))</f>
        <v/>
      </c>
      <c r="F985" s="18" t="str">
        <f aca="true">IF(B985="","",IFERROR(INDEX(InsCosto,MATCH(B985,ListaInsumos,0)),""))</f>
        <v/>
      </c>
      <c r="G985" s="19" t="str">
        <f aca="false">IF(AND(A985="",B985=""),"",IF(H985="OK",E985*F985,0))</f>
        <v/>
      </c>
      <c r="H985" s="20" t="str">
        <f aca="true">IF(AND(A985="",B985=""),"",IF(ISNA(MATCH(B985,ListaInsumos,0)),"Insumo no está en Insumos",IF(C985="","Falta cantidad",IF(IFERROR(INDEX(UnidadesBase,MATCH(D985,Unidades,0)),"")&lt;&gt;INDEX(InsBase,MATCH(B985,ListaInsumos,0)),"Unidad incompatible",IF(F985="","Insumo sin compras","OK")))))</f>
        <v/>
      </c>
      <c r="I985" s="15"/>
    </row>
    <row r="986" customFormat="false" ht="15" hidden="false" customHeight="false" outlineLevel="0" collapsed="false">
      <c r="A986" s="15"/>
      <c r="B986" s="15"/>
      <c r="C986" s="27"/>
      <c r="D986" s="15"/>
      <c r="E986" s="25" t="str">
        <f aca="true">IF(OR(C986="",D986=""),"",IFERROR(C986*INDEX(UnidadesFactor,MATCH(D986,Unidades,0)),""))</f>
        <v/>
      </c>
      <c r="F986" s="18" t="str">
        <f aca="true">IF(B986="","",IFERROR(INDEX(InsCosto,MATCH(B986,ListaInsumos,0)),""))</f>
        <v/>
      </c>
      <c r="G986" s="19" t="str">
        <f aca="false">IF(AND(A986="",B986=""),"",IF(H986="OK",E986*F986,0))</f>
        <v/>
      </c>
      <c r="H986" s="20" t="str">
        <f aca="true">IF(AND(A986="",B986=""),"",IF(ISNA(MATCH(B986,ListaInsumos,0)),"Insumo no está en Insumos",IF(C986="","Falta cantidad",IF(IFERROR(INDEX(UnidadesBase,MATCH(D986,Unidades,0)),"")&lt;&gt;INDEX(InsBase,MATCH(B986,ListaInsumos,0)),"Unidad incompatible",IF(F986="","Insumo sin compras","OK")))))</f>
        <v/>
      </c>
      <c r="I986" s="15"/>
    </row>
    <row r="987" customFormat="false" ht="15" hidden="false" customHeight="false" outlineLevel="0" collapsed="false">
      <c r="A987" s="15"/>
      <c r="B987" s="15"/>
      <c r="C987" s="27"/>
      <c r="D987" s="15"/>
      <c r="E987" s="25" t="str">
        <f aca="true">IF(OR(C987="",D987=""),"",IFERROR(C987*INDEX(UnidadesFactor,MATCH(D987,Unidades,0)),""))</f>
        <v/>
      </c>
      <c r="F987" s="18" t="str">
        <f aca="true">IF(B987="","",IFERROR(INDEX(InsCosto,MATCH(B987,ListaInsumos,0)),""))</f>
        <v/>
      </c>
      <c r="G987" s="19" t="str">
        <f aca="false">IF(AND(A987="",B987=""),"",IF(H987="OK",E987*F987,0))</f>
        <v/>
      </c>
      <c r="H987" s="20" t="str">
        <f aca="true">IF(AND(A987="",B987=""),"",IF(ISNA(MATCH(B987,ListaInsumos,0)),"Insumo no está en Insumos",IF(C987="","Falta cantidad",IF(IFERROR(INDEX(UnidadesBase,MATCH(D987,Unidades,0)),"")&lt;&gt;INDEX(InsBase,MATCH(B987,ListaInsumos,0)),"Unidad incompatible",IF(F987="","Insumo sin compras","OK")))))</f>
        <v/>
      </c>
      <c r="I987" s="15"/>
    </row>
    <row r="988" customFormat="false" ht="15" hidden="false" customHeight="false" outlineLevel="0" collapsed="false">
      <c r="A988" s="15"/>
      <c r="B988" s="15"/>
      <c r="C988" s="27"/>
      <c r="D988" s="15"/>
      <c r="E988" s="25" t="str">
        <f aca="true">IF(OR(C988="",D988=""),"",IFERROR(C988*INDEX(UnidadesFactor,MATCH(D988,Unidades,0)),""))</f>
        <v/>
      </c>
      <c r="F988" s="18" t="str">
        <f aca="true">IF(B988="","",IFERROR(INDEX(InsCosto,MATCH(B988,ListaInsumos,0)),""))</f>
        <v/>
      </c>
      <c r="G988" s="19" t="str">
        <f aca="false">IF(AND(A988="",B988=""),"",IF(H988="OK",E988*F988,0))</f>
        <v/>
      </c>
      <c r="H988" s="20" t="str">
        <f aca="true">IF(AND(A988="",B988=""),"",IF(ISNA(MATCH(B988,ListaInsumos,0)),"Insumo no está en Insumos",IF(C988="","Falta cantidad",IF(IFERROR(INDEX(UnidadesBase,MATCH(D988,Unidades,0)),"")&lt;&gt;INDEX(InsBase,MATCH(B988,ListaInsumos,0)),"Unidad incompatible",IF(F988="","Insumo sin compras","OK")))))</f>
        <v/>
      </c>
      <c r="I988" s="15"/>
    </row>
    <row r="989" customFormat="false" ht="15" hidden="false" customHeight="false" outlineLevel="0" collapsed="false">
      <c r="A989" s="15"/>
      <c r="B989" s="15"/>
      <c r="C989" s="27"/>
      <c r="D989" s="15"/>
      <c r="E989" s="25" t="str">
        <f aca="true">IF(OR(C989="",D989=""),"",IFERROR(C989*INDEX(UnidadesFactor,MATCH(D989,Unidades,0)),""))</f>
        <v/>
      </c>
      <c r="F989" s="18" t="str">
        <f aca="true">IF(B989="","",IFERROR(INDEX(InsCosto,MATCH(B989,ListaInsumos,0)),""))</f>
        <v/>
      </c>
      <c r="G989" s="19" t="str">
        <f aca="false">IF(AND(A989="",B989=""),"",IF(H989="OK",E989*F989,0))</f>
        <v/>
      </c>
      <c r="H989" s="20" t="str">
        <f aca="true">IF(AND(A989="",B989=""),"",IF(ISNA(MATCH(B989,ListaInsumos,0)),"Insumo no está en Insumos",IF(C989="","Falta cantidad",IF(IFERROR(INDEX(UnidadesBase,MATCH(D989,Unidades,0)),"")&lt;&gt;INDEX(InsBase,MATCH(B989,ListaInsumos,0)),"Unidad incompatible",IF(F989="","Insumo sin compras","OK")))))</f>
        <v/>
      </c>
      <c r="I989" s="15"/>
    </row>
    <row r="990" customFormat="false" ht="15" hidden="false" customHeight="false" outlineLevel="0" collapsed="false">
      <c r="A990" s="15"/>
      <c r="B990" s="15"/>
      <c r="C990" s="27"/>
      <c r="D990" s="15"/>
      <c r="E990" s="25" t="str">
        <f aca="true">IF(OR(C990="",D990=""),"",IFERROR(C990*INDEX(UnidadesFactor,MATCH(D990,Unidades,0)),""))</f>
        <v/>
      </c>
      <c r="F990" s="18" t="str">
        <f aca="true">IF(B990="","",IFERROR(INDEX(InsCosto,MATCH(B990,ListaInsumos,0)),""))</f>
        <v/>
      </c>
      <c r="G990" s="19" t="str">
        <f aca="false">IF(AND(A990="",B990=""),"",IF(H990="OK",E990*F990,0))</f>
        <v/>
      </c>
      <c r="H990" s="20" t="str">
        <f aca="true">IF(AND(A990="",B990=""),"",IF(ISNA(MATCH(B990,ListaInsumos,0)),"Insumo no está en Insumos",IF(C990="","Falta cantidad",IF(IFERROR(INDEX(UnidadesBase,MATCH(D990,Unidades,0)),"")&lt;&gt;INDEX(InsBase,MATCH(B990,ListaInsumos,0)),"Unidad incompatible",IF(F990="","Insumo sin compras","OK")))))</f>
        <v/>
      </c>
      <c r="I990" s="15"/>
    </row>
    <row r="991" customFormat="false" ht="15" hidden="false" customHeight="false" outlineLevel="0" collapsed="false">
      <c r="A991" s="15"/>
      <c r="B991" s="15"/>
      <c r="C991" s="27"/>
      <c r="D991" s="15"/>
      <c r="E991" s="25" t="str">
        <f aca="true">IF(OR(C991="",D991=""),"",IFERROR(C991*INDEX(UnidadesFactor,MATCH(D991,Unidades,0)),""))</f>
        <v/>
      </c>
      <c r="F991" s="18" t="str">
        <f aca="true">IF(B991="","",IFERROR(INDEX(InsCosto,MATCH(B991,ListaInsumos,0)),""))</f>
        <v/>
      </c>
      <c r="G991" s="19" t="str">
        <f aca="false">IF(AND(A991="",B991=""),"",IF(H991="OK",E991*F991,0))</f>
        <v/>
      </c>
      <c r="H991" s="20" t="str">
        <f aca="true">IF(AND(A991="",B991=""),"",IF(ISNA(MATCH(B991,ListaInsumos,0)),"Insumo no está en Insumos",IF(C991="","Falta cantidad",IF(IFERROR(INDEX(UnidadesBase,MATCH(D991,Unidades,0)),"")&lt;&gt;INDEX(InsBase,MATCH(B991,ListaInsumos,0)),"Unidad incompatible",IF(F991="","Insumo sin compras","OK")))))</f>
        <v/>
      </c>
      <c r="I991" s="15"/>
    </row>
    <row r="992" customFormat="false" ht="15" hidden="false" customHeight="false" outlineLevel="0" collapsed="false">
      <c r="A992" s="15"/>
      <c r="B992" s="15"/>
      <c r="C992" s="27"/>
      <c r="D992" s="15"/>
      <c r="E992" s="25" t="str">
        <f aca="true">IF(OR(C992="",D992=""),"",IFERROR(C992*INDEX(UnidadesFactor,MATCH(D992,Unidades,0)),""))</f>
        <v/>
      </c>
      <c r="F992" s="18" t="str">
        <f aca="true">IF(B992="","",IFERROR(INDEX(InsCosto,MATCH(B992,ListaInsumos,0)),""))</f>
        <v/>
      </c>
      <c r="G992" s="19" t="str">
        <f aca="false">IF(AND(A992="",B992=""),"",IF(H992="OK",E992*F992,0))</f>
        <v/>
      </c>
      <c r="H992" s="20" t="str">
        <f aca="true">IF(AND(A992="",B992=""),"",IF(ISNA(MATCH(B992,ListaInsumos,0)),"Insumo no está en Insumos",IF(C992="","Falta cantidad",IF(IFERROR(INDEX(UnidadesBase,MATCH(D992,Unidades,0)),"")&lt;&gt;INDEX(InsBase,MATCH(B992,ListaInsumos,0)),"Unidad incompatible",IF(F992="","Insumo sin compras","OK")))))</f>
        <v/>
      </c>
      <c r="I992" s="15"/>
    </row>
    <row r="993" customFormat="false" ht="15" hidden="false" customHeight="false" outlineLevel="0" collapsed="false">
      <c r="A993" s="15"/>
      <c r="B993" s="15"/>
      <c r="C993" s="27"/>
      <c r="D993" s="15"/>
      <c r="E993" s="25" t="str">
        <f aca="true">IF(OR(C993="",D993=""),"",IFERROR(C993*INDEX(UnidadesFactor,MATCH(D993,Unidades,0)),""))</f>
        <v/>
      </c>
      <c r="F993" s="18" t="str">
        <f aca="true">IF(B993="","",IFERROR(INDEX(InsCosto,MATCH(B993,ListaInsumos,0)),""))</f>
        <v/>
      </c>
      <c r="G993" s="19" t="str">
        <f aca="false">IF(AND(A993="",B993=""),"",IF(H993="OK",E993*F993,0))</f>
        <v/>
      </c>
      <c r="H993" s="20" t="str">
        <f aca="true">IF(AND(A993="",B993=""),"",IF(ISNA(MATCH(B993,ListaInsumos,0)),"Insumo no está en Insumos",IF(C993="","Falta cantidad",IF(IFERROR(INDEX(UnidadesBase,MATCH(D993,Unidades,0)),"")&lt;&gt;INDEX(InsBase,MATCH(B993,ListaInsumos,0)),"Unidad incompatible",IF(F993="","Insumo sin compras","OK")))))</f>
        <v/>
      </c>
      <c r="I993" s="15"/>
    </row>
    <row r="994" customFormat="false" ht="15" hidden="false" customHeight="false" outlineLevel="0" collapsed="false">
      <c r="A994" s="15"/>
      <c r="B994" s="15"/>
      <c r="C994" s="27"/>
      <c r="D994" s="15"/>
      <c r="E994" s="25" t="str">
        <f aca="true">IF(OR(C994="",D994=""),"",IFERROR(C994*INDEX(UnidadesFactor,MATCH(D994,Unidades,0)),""))</f>
        <v/>
      </c>
      <c r="F994" s="18" t="str">
        <f aca="true">IF(B994="","",IFERROR(INDEX(InsCosto,MATCH(B994,ListaInsumos,0)),""))</f>
        <v/>
      </c>
      <c r="G994" s="19" t="str">
        <f aca="false">IF(AND(A994="",B994=""),"",IF(H994="OK",E994*F994,0))</f>
        <v/>
      </c>
      <c r="H994" s="20" t="str">
        <f aca="true">IF(AND(A994="",B994=""),"",IF(ISNA(MATCH(B994,ListaInsumos,0)),"Insumo no está en Insumos",IF(C994="","Falta cantidad",IF(IFERROR(INDEX(UnidadesBase,MATCH(D994,Unidades,0)),"")&lt;&gt;INDEX(InsBase,MATCH(B994,ListaInsumos,0)),"Unidad incompatible",IF(F994="","Insumo sin compras","OK")))))</f>
        <v/>
      </c>
      <c r="I994" s="15"/>
    </row>
    <row r="995" customFormat="false" ht="15" hidden="false" customHeight="false" outlineLevel="0" collapsed="false">
      <c r="A995" s="15"/>
      <c r="B995" s="15"/>
      <c r="C995" s="27"/>
      <c r="D995" s="15"/>
      <c r="E995" s="25" t="str">
        <f aca="true">IF(OR(C995="",D995=""),"",IFERROR(C995*INDEX(UnidadesFactor,MATCH(D995,Unidades,0)),""))</f>
        <v/>
      </c>
      <c r="F995" s="18" t="str">
        <f aca="true">IF(B995="","",IFERROR(INDEX(InsCosto,MATCH(B995,ListaInsumos,0)),""))</f>
        <v/>
      </c>
      <c r="G995" s="19" t="str">
        <f aca="false">IF(AND(A995="",B995=""),"",IF(H995="OK",E995*F995,0))</f>
        <v/>
      </c>
      <c r="H995" s="20" t="str">
        <f aca="true">IF(AND(A995="",B995=""),"",IF(ISNA(MATCH(B995,ListaInsumos,0)),"Insumo no está en Insumos",IF(C995="","Falta cantidad",IF(IFERROR(INDEX(UnidadesBase,MATCH(D995,Unidades,0)),"")&lt;&gt;INDEX(InsBase,MATCH(B995,ListaInsumos,0)),"Unidad incompatible",IF(F995="","Insumo sin compras","OK")))))</f>
        <v/>
      </c>
      <c r="I995" s="15"/>
    </row>
    <row r="996" customFormat="false" ht="15" hidden="false" customHeight="false" outlineLevel="0" collapsed="false">
      <c r="A996" s="15"/>
      <c r="B996" s="15"/>
      <c r="C996" s="27"/>
      <c r="D996" s="15"/>
      <c r="E996" s="25" t="str">
        <f aca="true">IF(OR(C996="",D996=""),"",IFERROR(C996*INDEX(UnidadesFactor,MATCH(D996,Unidades,0)),""))</f>
        <v/>
      </c>
      <c r="F996" s="18" t="str">
        <f aca="true">IF(B996="","",IFERROR(INDEX(InsCosto,MATCH(B996,ListaInsumos,0)),""))</f>
        <v/>
      </c>
      <c r="G996" s="19" t="str">
        <f aca="false">IF(AND(A996="",B996=""),"",IF(H996="OK",E996*F996,0))</f>
        <v/>
      </c>
      <c r="H996" s="20" t="str">
        <f aca="true">IF(AND(A996="",B996=""),"",IF(ISNA(MATCH(B996,ListaInsumos,0)),"Insumo no está en Insumos",IF(C996="","Falta cantidad",IF(IFERROR(INDEX(UnidadesBase,MATCH(D996,Unidades,0)),"")&lt;&gt;INDEX(InsBase,MATCH(B996,ListaInsumos,0)),"Unidad incompatible",IF(F996="","Insumo sin compras","OK")))))</f>
        <v/>
      </c>
      <c r="I996" s="15"/>
    </row>
    <row r="997" customFormat="false" ht="15" hidden="false" customHeight="false" outlineLevel="0" collapsed="false">
      <c r="A997" s="15"/>
      <c r="B997" s="15"/>
      <c r="C997" s="27"/>
      <c r="D997" s="15"/>
      <c r="E997" s="25" t="str">
        <f aca="true">IF(OR(C997="",D997=""),"",IFERROR(C997*INDEX(UnidadesFactor,MATCH(D997,Unidades,0)),""))</f>
        <v/>
      </c>
      <c r="F997" s="18" t="str">
        <f aca="true">IF(B997="","",IFERROR(INDEX(InsCosto,MATCH(B997,ListaInsumos,0)),""))</f>
        <v/>
      </c>
      <c r="G997" s="19" t="str">
        <f aca="false">IF(AND(A997="",B997=""),"",IF(H997="OK",E997*F997,0))</f>
        <v/>
      </c>
      <c r="H997" s="20" t="str">
        <f aca="true">IF(AND(A997="",B997=""),"",IF(ISNA(MATCH(B997,ListaInsumos,0)),"Insumo no está en Insumos",IF(C997="","Falta cantidad",IF(IFERROR(INDEX(UnidadesBase,MATCH(D997,Unidades,0)),"")&lt;&gt;INDEX(InsBase,MATCH(B997,ListaInsumos,0)),"Unidad incompatible",IF(F997="","Insumo sin compras","OK")))))</f>
        <v/>
      </c>
      <c r="I997" s="15"/>
    </row>
    <row r="998" customFormat="false" ht="15" hidden="false" customHeight="false" outlineLevel="0" collapsed="false">
      <c r="A998" s="15"/>
      <c r="B998" s="15"/>
      <c r="C998" s="27"/>
      <c r="D998" s="15"/>
      <c r="E998" s="25" t="str">
        <f aca="true">IF(OR(C998="",D998=""),"",IFERROR(C998*INDEX(UnidadesFactor,MATCH(D998,Unidades,0)),""))</f>
        <v/>
      </c>
      <c r="F998" s="18" t="str">
        <f aca="true">IF(B998="","",IFERROR(INDEX(InsCosto,MATCH(B998,ListaInsumos,0)),""))</f>
        <v/>
      </c>
      <c r="G998" s="19" t="str">
        <f aca="false">IF(AND(A998="",B998=""),"",IF(H998="OK",E998*F998,0))</f>
        <v/>
      </c>
      <c r="H998" s="20" t="str">
        <f aca="true">IF(AND(A998="",B998=""),"",IF(ISNA(MATCH(B998,ListaInsumos,0)),"Insumo no está en Insumos",IF(C998="","Falta cantidad",IF(IFERROR(INDEX(UnidadesBase,MATCH(D998,Unidades,0)),"")&lt;&gt;INDEX(InsBase,MATCH(B998,ListaInsumos,0)),"Unidad incompatible",IF(F998="","Insumo sin compras","OK")))))</f>
        <v/>
      </c>
      <c r="I998" s="15"/>
    </row>
    <row r="999" customFormat="false" ht="15" hidden="false" customHeight="false" outlineLevel="0" collapsed="false">
      <c r="A999" s="15"/>
      <c r="B999" s="15"/>
      <c r="C999" s="27"/>
      <c r="D999" s="15"/>
      <c r="E999" s="25" t="str">
        <f aca="true">IF(OR(C999="",D999=""),"",IFERROR(C999*INDEX(UnidadesFactor,MATCH(D999,Unidades,0)),""))</f>
        <v/>
      </c>
      <c r="F999" s="18" t="str">
        <f aca="true">IF(B999="","",IFERROR(INDEX(InsCosto,MATCH(B999,ListaInsumos,0)),""))</f>
        <v/>
      </c>
      <c r="G999" s="19" t="str">
        <f aca="false">IF(AND(A999="",B999=""),"",IF(H999="OK",E999*F999,0))</f>
        <v/>
      </c>
      <c r="H999" s="20" t="str">
        <f aca="true">IF(AND(A999="",B999=""),"",IF(ISNA(MATCH(B999,ListaInsumos,0)),"Insumo no está en Insumos",IF(C999="","Falta cantidad",IF(IFERROR(INDEX(UnidadesBase,MATCH(D999,Unidades,0)),"")&lt;&gt;INDEX(InsBase,MATCH(B999,ListaInsumos,0)),"Unidad incompatible",IF(F999="","Insumo sin compras","OK")))))</f>
        <v/>
      </c>
      <c r="I999" s="15"/>
    </row>
    <row r="1000" customFormat="false" ht="15" hidden="false" customHeight="false" outlineLevel="0" collapsed="false">
      <c r="A1000" s="15"/>
      <c r="B1000" s="15"/>
      <c r="C1000" s="27"/>
      <c r="D1000" s="15"/>
      <c r="E1000" s="25" t="str">
        <f aca="true">IF(OR(C1000="",D1000=""),"",IFERROR(C1000*INDEX(UnidadesFactor,MATCH(D1000,Unidades,0)),""))</f>
        <v/>
      </c>
      <c r="F1000" s="18" t="str">
        <f aca="true">IF(B1000="","",IFERROR(INDEX(InsCosto,MATCH(B1000,ListaInsumos,0)),""))</f>
        <v/>
      </c>
      <c r="G1000" s="19" t="str">
        <f aca="false">IF(AND(A1000="",B1000=""),"",IF(H1000="OK",E1000*F1000,0))</f>
        <v/>
      </c>
      <c r="H1000" s="20" t="str">
        <f aca="true">IF(AND(A1000="",B1000=""),"",IF(ISNA(MATCH(B1000,ListaInsumos,0)),"Insumo no está en Insumos",IF(C1000="","Falta cantidad",IF(IFERROR(INDEX(UnidadesBase,MATCH(D1000,Unidades,0)),"")&lt;&gt;INDEX(InsBase,MATCH(B1000,ListaInsumos,0)),"Unidad incompatible",IF(F1000="","Insumo sin compras","OK")))))</f>
        <v/>
      </c>
      <c r="I1000" s="15"/>
    </row>
  </sheetData>
  <dataValidations count="3">
    <dataValidation allowBlank="true" error="Elegí un valor de la lista desplegable." errorStyle="stop" errorTitle="Valor no válido" operator="between" prompt="Elegí la receta. Si es nueva, agregala primero en la hoja Costo por Receta." showDropDown="false" showErrorMessage="false" showInputMessage="true" sqref="A5:A1000" type="list">
      <formula1>ListaRecetas</formula1>
      <formula2>0</formula2>
    </dataValidation>
    <dataValidation allowBlank="true" error="Elegí un valor de la lista desplegable." errorStyle="stop" errorTitle="Valor no válido" operator="between" showDropDown="false" showErrorMessage="false" showInputMessage="false" sqref="B5:B1000" type="list">
      <formula1>ListaInsumos</formula1>
      <formula2>0</formula2>
    </dataValidation>
    <dataValidation allowBlank="true" error="Elegí un valor de la lista desplegable." errorStyle="stop" errorTitle="Valor no válido" operator="between" showDropDown="false" showErrorMessage="false" showInputMessage="false" sqref="D5:D1000" type="list">
      <formula1>Unidades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D2E"/>
    <pageSetUpPr fitToPage="false"/>
  </sheetPr>
  <dimension ref="A1:H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2" t="s">
        <v>145</v>
      </c>
    </row>
    <row r="2" customFormat="false" ht="15" hidden="false" customHeight="false" outlineLevel="0" collapsed="false">
      <c r="A2" s="13" t="s">
        <v>146</v>
      </c>
    </row>
    <row r="4" customFormat="false" ht="42" hidden="false" customHeight="true" outlineLevel="0" collapsed="false">
      <c r="A4" s="14" t="s">
        <v>124</v>
      </c>
      <c r="B4" s="14" t="s">
        <v>147</v>
      </c>
      <c r="C4" s="14" t="s">
        <v>148</v>
      </c>
      <c r="D4" s="14" t="s">
        <v>149</v>
      </c>
      <c r="E4" s="14" t="s">
        <v>150</v>
      </c>
      <c r="F4" s="14" t="s">
        <v>151</v>
      </c>
      <c r="G4" s="14" t="s">
        <v>152</v>
      </c>
      <c r="H4" s="14" t="s">
        <v>51</v>
      </c>
    </row>
    <row r="5" customFormat="false" ht="15" hidden="false" customHeight="false" outlineLevel="0" collapsed="false">
      <c r="A5" s="15" t="s">
        <v>127</v>
      </c>
      <c r="B5" s="27"/>
      <c r="C5" s="15" t="s">
        <v>56</v>
      </c>
      <c r="D5" s="29" t="n">
        <f aca="false">IF(A5="","",SUMIFS(Recetas!$G$5:$G$1000,Recetas!$A$5:$A$1000,A5))</f>
        <v>0</v>
      </c>
      <c r="E5" s="17" t="str">
        <f aca="false">IF(OR(A5="",B5="",B5=0),"",D5/B5)</f>
        <v/>
      </c>
      <c r="F5" s="30" t="str">
        <f aca="false">IF(OR(E5="",C5&lt;&gt;"g"),"",E5*1000)</f>
        <v/>
      </c>
      <c r="G5" s="31" t="n">
        <f aca="false">IF(A5="","",COUNTIFS(Recetas!$A$5:$A$1000,A5))</f>
        <v>7</v>
      </c>
      <c r="H5" s="20" t="str">
        <f aca="false">IF(A5="","",IF(G5=0,"Sin ingredientes en Recetas",IF(OR(B5="",B5=0),"Falta rendimiento",IF(COUNTIFS(Recetas!$A$5:$A$1000,A5,Recetas!$H$5:$H$1000,"&lt;&gt;OK")&gt;0,"Revisar: "&amp;COUNTIFS(Recetas!$A$5:$A$1000,A5,Recetas!$H$5:$H$1000,"&lt;&gt;OK")&amp;" ingrediente(s) con aviso","OK"))))</f>
        <v>Falta rendimiento</v>
      </c>
    </row>
    <row r="6" customFormat="false" ht="15" hidden="false" customHeight="false" outlineLevel="0" collapsed="false">
      <c r="A6" s="15" t="s">
        <v>128</v>
      </c>
      <c r="B6" s="27" t="n">
        <v>1</v>
      </c>
      <c r="C6" s="15" t="s">
        <v>93</v>
      </c>
      <c r="D6" s="29" t="n">
        <f aca="false">IF(A6="","",SUMIFS(Recetas!$G$5:$G$1000,Recetas!$A$5:$A$1000,A6))</f>
        <v>0</v>
      </c>
      <c r="E6" s="17" t="n">
        <f aca="false">IF(OR(A6="",B6="",B6=0),"",D6/B6)</f>
        <v>0</v>
      </c>
      <c r="F6" s="30" t="str">
        <f aca="false">IF(OR(E6="",C6&lt;&gt;"g"),"",E6*1000)</f>
        <v/>
      </c>
      <c r="G6" s="31" t="n">
        <f aca="false">IF(A6="","",COUNTIFS(Recetas!$A$5:$A$1000,A6))</f>
        <v>8</v>
      </c>
      <c r="H6" s="20" t="str">
        <f aca="false">IF(A6="","",IF(G6=0,"Sin ingredientes en Recetas",IF(OR(B6="",B6=0),"Falta rendimiento",IF(COUNTIFS(Recetas!$A$5:$A$1000,A6,Recetas!$H$5:$H$1000,"&lt;&gt;OK")&gt;0,"Revisar: "&amp;COUNTIFS(Recetas!$A$5:$A$1000,A6,Recetas!$H$5:$H$1000,"&lt;&gt;OK")&amp;" ingrediente(s) con aviso","OK"))))</f>
        <v>Revisar: 8 ingrediente(s) con aviso</v>
      </c>
    </row>
    <row r="7" customFormat="false" ht="15" hidden="false" customHeight="false" outlineLevel="0" collapsed="false">
      <c r="A7" s="15" t="s">
        <v>129</v>
      </c>
      <c r="B7" s="27"/>
      <c r="C7" s="15" t="s">
        <v>56</v>
      </c>
      <c r="D7" s="29" t="n">
        <f aca="false">IF(A7="","",SUMIFS(Recetas!$G$5:$G$1000,Recetas!$A$5:$A$1000,A7))</f>
        <v>0</v>
      </c>
      <c r="E7" s="17" t="str">
        <f aca="false">IF(OR(A7="",B7="",B7=0),"",D7/B7)</f>
        <v/>
      </c>
      <c r="F7" s="30" t="str">
        <f aca="false">IF(OR(E7="",C7&lt;&gt;"g"),"",E7*1000)</f>
        <v/>
      </c>
      <c r="G7" s="31" t="n">
        <f aca="false">IF(A7="","",COUNTIFS(Recetas!$A$5:$A$1000,A7))</f>
        <v>8</v>
      </c>
      <c r="H7" s="20" t="str">
        <f aca="false">IF(A7="","",IF(G7=0,"Sin ingredientes en Recetas",IF(OR(B7="",B7=0),"Falta rendimiento",IF(COUNTIFS(Recetas!$A$5:$A$1000,A7,Recetas!$H$5:$H$1000,"&lt;&gt;OK")&gt;0,"Revisar: "&amp;COUNTIFS(Recetas!$A$5:$A$1000,A7,Recetas!$H$5:$H$1000,"&lt;&gt;OK")&amp;" ingrediente(s) con aviso","OK"))))</f>
        <v>Falta rendimiento</v>
      </c>
    </row>
    <row r="8" customFormat="false" ht="15" hidden="false" customHeight="false" outlineLevel="0" collapsed="false">
      <c r="A8" s="15" t="s">
        <v>130</v>
      </c>
      <c r="B8" s="23" t="n">
        <v>500</v>
      </c>
      <c r="C8" s="15" t="s">
        <v>56</v>
      </c>
      <c r="D8" s="29" t="n">
        <f aca="false">IF(A8="","",SUMIFS(Recetas!$G$5:$G$1000,Recetas!$A$5:$A$1000,A8))</f>
        <v>2895</v>
      </c>
      <c r="E8" s="17" t="n">
        <f aca="false">IF(OR(A8="",B8="",B8=0),"",D8/B8)</f>
        <v>5.79</v>
      </c>
      <c r="F8" s="30" t="n">
        <f aca="false">IF(OR(E8="",C8&lt;&gt;"g"),"",E8*1000)</f>
        <v>5790</v>
      </c>
      <c r="G8" s="31" t="n">
        <f aca="false">IF(A8="","",COUNTIFS(Recetas!$A$5:$A$1000,A8))</f>
        <v>7</v>
      </c>
      <c r="H8" s="20" t="str">
        <f aca="false">IF(A8="","",IF(G8=0,"Sin ingredientes en Recetas",IF(OR(B8="",B8=0),"Falta rendimiento",IF(COUNTIFS(Recetas!$A$5:$A$1000,A8,Recetas!$H$5:$H$1000,"&lt;&gt;OK")&gt;0,"Revisar: "&amp;COUNTIFS(Recetas!$A$5:$A$1000,A8,Recetas!$H$5:$H$1000,"&lt;&gt;OK")&amp;" ingrediente(s) con aviso","OK"))))</f>
        <v>OK</v>
      </c>
    </row>
    <row r="9" customFormat="false" ht="15" hidden="false" customHeight="false" outlineLevel="0" collapsed="false">
      <c r="A9" s="15" t="s">
        <v>131</v>
      </c>
      <c r="B9" s="27"/>
      <c r="C9" s="15" t="s">
        <v>56</v>
      </c>
      <c r="D9" s="29" t="n">
        <f aca="false">IF(A9="","",SUMIFS(Recetas!$G$5:$G$1000,Recetas!$A$5:$A$1000,A9))</f>
        <v>0</v>
      </c>
      <c r="E9" s="17" t="str">
        <f aca="false">IF(OR(A9="",B9="",B9=0),"",D9/B9)</f>
        <v/>
      </c>
      <c r="F9" s="30" t="str">
        <f aca="false">IF(OR(E9="",C9&lt;&gt;"g"),"",E9*1000)</f>
        <v/>
      </c>
      <c r="G9" s="31" t="n">
        <f aca="false">IF(A9="","",COUNTIFS(Recetas!$A$5:$A$1000,A9))</f>
        <v>7</v>
      </c>
      <c r="H9" s="20" t="str">
        <f aca="false">IF(A9="","",IF(G9=0,"Sin ingredientes en Recetas",IF(OR(B9="",B9=0),"Falta rendimiento",IF(COUNTIFS(Recetas!$A$5:$A$1000,A9,Recetas!$H$5:$H$1000,"&lt;&gt;OK")&gt;0,"Revisar: "&amp;COUNTIFS(Recetas!$A$5:$A$1000,A9,Recetas!$H$5:$H$1000,"&lt;&gt;OK")&amp;" ingrediente(s) con aviso","OK"))))</f>
        <v>Falta rendimiento</v>
      </c>
    </row>
    <row r="10" customFormat="false" ht="15" hidden="false" customHeight="false" outlineLevel="0" collapsed="false">
      <c r="A10" s="15" t="s">
        <v>132</v>
      </c>
      <c r="B10" s="27"/>
      <c r="C10" s="15" t="s">
        <v>56</v>
      </c>
      <c r="D10" s="29" t="n">
        <f aca="false">IF(A10="","",SUMIFS(Recetas!$G$5:$G$1000,Recetas!$A$5:$A$1000,A10))</f>
        <v>0</v>
      </c>
      <c r="E10" s="17" t="str">
        <f aca="false">IF(OR(A10="",B10="",B10=0),"",D10/B10)</f>
        <v/>
      </c>
      <c r="F10" s="30" t="str">
        <f aca="false">IF(OR(E10="",C10&lt;&gt;"g"),"",E10*1000)</f>
        <v/>
      </c>
      <c r="G10" s="31" t="n">
        <f aca="false">IF(A10="","",COUNTIFS(Recetas!$A$5:$A$1000,A10))</f>
        <v>5</v>
      </c>
      <c r="H10" s="20" t="str">
        <f aca="false">IF(A10="","",IF(G10=0,"Sin ingredientes en Recetas",IF(OR(B10="",B10=0),"Falta rendimiento",IF(COUNTIFS(Recetas!$A$5:$A$1000,A10,Recetas!$H$5:$H$1000,"&lt;&gt;OK")&gt;0,"Revisar: "&amp;COUNTIFS(Recetas!$A$5:$A$1000,A10,Recetas!$H$5:$H$1000,"&lt;&gt;OK")&amp;" ingrediente(s) con aviso","OK"))))</f>
        <v>Falta rendimiento</v>
      </c>
    </row>
    <row r="11" customFormat="false" ht="15" hidden="false" customHeight="false" outlineLevel="0" collapsed="false">
      <c r="A11" s="15" t="s">
        <v>133</v>
      </c>
      <c r="B11" s="27"/>
      <c r="C11" s="15" t="s">
        <v>56</v>
      </c>
      <c r="D11" s="29" t="n">
        <f aca="false">IF(A11="","",SUMIFS(Recetas!$G$5:$G$1000,Recetas!$A$5:$A$1000,A11))</f>
        <v>0</v>
      </c>
      <c r="E11" s="17" t="str">
        <f aca="false">IF(OR(A11="",B11="",B11=0),"",D11/B11)</f>
        <v/>
      </c>
      <c r="F11" s="30" t="str">
        <f aca="false">IF(OR(E11="",C11&lt;&gt;"g"),"",E11*1000)</f>
        <v/>
      </c>
      <c r="G11" s="31" t="n">
        <f aca="false">IF(A11="","",COUNTIFS(Recetas!$A$5:$A$1000,A11))</f>
        <v>6</v>
      </c>
      <c r="H11" s="20" t="str">
        <f aca="false">IF(A11="","",IF(G11=0,"Sin ingredientes en Recetas",IF(OR(B11="",B11=0),"Falta rendimiento",IF(COUNTIFS(Recetas!$A$5:$A$1000,A11,Recetas!$H$5:$H$1000,"&lt;&gt;OK")&gt;0,"Revisar: "&amp;COUNTIFS(Recetas!$A$5:$A$1000,A11,Recetas!$H$5:$H$1000,"&lt;&gt;OK")&amp;" ingrediente(s) con aviso","OK"))))</f>
        <v>Falta rendimiento</v>
      </c>
    </row>
    <row r="12" customFormat="false" ht="15" hidden="false" customHeight="false" outlineLevel="0" collapsed="false">
      <c r="A12" s="15" t="s">
        <v>134</v>
      </c>
      <c r="B12" s="27"/>
      <c r="C12" s="15" t="s">
        <v>56</v>
      </c>
      <c r="D12" s="29" t="n">
        <f aca="false">IF(A12="","",SUMIFS(Recetas!$G$5:$G$1000,Recetas!$A$5:$A$1000,A12))</f>
        <v>0</v>
      </c>
      <c r="E12" s="17" t="str">
        <f aca="false">IF(OR(A12="",B12="",B12=0),"",D12/B12)</f>
        <v/>
      </c>
      <c r="F12" s="30" t="str">
        <f aca="false">IF(OR(E12="",C12&lt;&gt;"g"),"",E12*1000)</f>
        <v/>
      </c>
      <c r="G12" s="31" t="n">
        <f aca="false">IF(A12="","",COUNTIFS(Recetas!$A$5:$A$1000,A12))</f>
        <v>7</v>
      </c>
      <c r="H12" s="20" t="str">
        <f aca="false">IF(A12="","",IF(G12=0,"Sin ingredientes en Recetas",IF(OR(B12="",B12=0),"Falta rendimiento",IF(COUNTIFS(Recetas!$A$5:$A$1000,A12,Recetas!$H$5:$H$1000,"&lt;&gt;OK")&gt;0,"Revisar: "&amp;COUNTIFS(Recetas!$A$5:$A$1000,A12,Recetas!$H$5:$H$1000,"&lt;&gt;OK")&amp;" ingrediente(s) con aviso","OK"))))</f>
        <v>Falta rendimiento</v>
      </c>
    </row>
    <row r="13" customFormat="false" ht="15" hidden="false" customHeight="false" outlineLevel="0" collapsed="false">
      <c r="A13" s="15" t="s">
        <v>135</v>
      </c>
      <c r="B13" s="27"/>
      <c r="C13" s="15" t="s">
        <v>56</v>
      </c>
      <c r="D13" s="29" t="n">
        <f aca="false">IF(A13="","",SUMIFS(Recetas!$G$5:$G$1000,Recetas!$A$5:$A$1000,A13))</f>
        <v>0</v>
      </c>
      <c r="E13" s="17" t="str">
        <f aca="false">IF(OR(A13="",B13="",B13=0),"",D13/B13)</f>
        <v/>
      </c>
      <c r="F13" s="30" t="str">
        <f aca="false">IF(OR(E13="",C13&lt;&gt;"g"),"",E13*1000)</f>
        <v/>
      </c>
      <c r="G13" s="31" t="n">
        <f aca="false">IF(A13="","",COUNTIFS(Recetas!$A$5:$A$1000,A13))</f>
        <v>4</v>
      </c>
      <c r="H13" s="20" t="str">
        <f aca="false">IF(A13="","",IF(G13=0,"Sin ingredientes en Recetas",IF(OR(B13="",B13=0),"Falta rendimiento",IF(COUNTIFS(Recetas!$A$5:$A$1000,A13,Recetas!$H$5:$H$1000,"&lt;&gt;OK")&gt;0,"Revisar: "&amp;COUNTIFS(Recetas!$A$5:$A$1000,A13,Recetas!$H$5:$H$1000,"&lt;&gt;OK")&amp;" ingrediente(s) con aviso","OK"))))</f>
        <v>Falta rendimiento</v>
      </c>
    </row>
    <row r="14" customFormat="false" ht="15" hidden="false" customHeight="false" outlineLevel="0" collapsed="false">
      <c r="A14" s="15" t="s">
        <v>136</v>
      </c>
      <c r="B14" s="27"/>
      <c r="C14" s="15" t="s">
        <v>56</v>
      </c>
      <c r="D14" s="29" t="n">
        <f aca="false">IF(A14="","",SUMIFS(Recetas!$G$5:$G$1000,Recetas!$A$5:$A$1000,A14))</f>
        <v>0</v>
      </c>
      <c r="E14" s="17" t="str">
        <f aca="false">IF(OR(A14="",B14="",B14=0),"",D14/B14)</f>
        <v/>
      </c>
      <c r="F14" s="30" t="str">
        <f aca="false">IF(OR(E14="",C14&lt;&gt;"g"),"",E14*1000)</f>
        <v/>
      </c>
      <c r="G14" s="31" t="n">
        <f aca="false">IF(A14="","",COUNTIFS(Recetas!$A$5:$A$1000,A14))</f>
        <v>7</v>
      </c>
      <c r="H14" s="20" t="str">
        <f aca="false">IF(A14="","",IF(G14=0,"Sin ingredientes en Recetas",IF(OR(B14="",B14=0),"Falta rendimiento",IF(COUNTIFS(Recetas!$A$5:$A$1000,A14,Recetas!$H$5:$H$1000,"&lt;&gt;OK")&gt;0,"Revisar: "&amp;COUNTIFS(Recetas!$A$5:$A$1000,A14,Recetas!$H$5:$H$1000,"&lt;&gt;OK")&amp;" ingrediente(s) con aviso","OK"))))</f>
        <v>Falta rendimiento</v>
      </c>
    </row>
    <row r="15" customFormat="false" ht="15" hidden="false" customHeight="false" outlineLevel="0" collapsed="false">
      <c r="A15" s="15" t="s">
        <v>137</v>
      </c>
      <c r="B15" s="27"/>
      <c r="C15" s="15" t="s">
        <v>56</v>
      </c>
      <c r="D15" s="29" t="n">
        <f aca="false">IF(A15="","",SUMIFS(Recetas!$G$5:$G$1000,Recetas!$A$5:$A$1000,A15))</f>
        <v>0</v>
      </c>
      <c r="E15" s="17" t="str">
        <f aca="false">IF(OR(A15="",B15="",B15=0),"",D15/B15)</f>
        <v/>
      </c>
      <c r="F15" s="30" t="str">
        <f aca="false">IF(OR(E15="",C15&lt;&gt;"g"),"",E15*1000)</f>
        <v/>
      </c>
      <c r="G15" s="31" t="n">
        <f aca="false">IF(A15="","",COUNTIFS(Recetas!$A$5:$A$1000,A15))</f>
        <v>7</v>
      </c>
      <c r="H15" s="20" t="str">
        <f aca="false">IF(A15="","",IF(G15=0,"Sin ingredientes en Recetas",IF(OR(B15="",B15=0),"Falta rendimiento",IF(COUNTIFS(Recetas!$A$5:$A$1000,A15,Recetas!$H$5:$H$1000,"&lt;&gt;OK")&gt;0,"Revisar: "&amp;COUNTIFS(Recetas!$A$5:$A$1000,A15,Recetas!$H$5:$H$1000,"&lt;&gt;OK")&amp;" ingrediente(s) con aviso","OK"))))</f>
        <v>Falta rendimiento</v>
      </c>
    </row>
    <row r="16" customFormat="false" ht="15" hidden="false" customHeight="false" outlineLevel="0" collapsed="false">
      <c r="A16" s="15" t="s">
        <v>138</v>
      </c>
      <c r="B16" s="27"/>
      <c r="C16" s="15" t="s">
        <v>56</v>
      </c>
      <c r="D16" s="29" t="n">
        <f aca="false">IF(A16="","",SUMIFS(Recetas!$G$5:$G$1000,Recetas!$A$5:$A$1000,A16))</f>
        <v>0</v>
      </c>
      <c r="E16" s="17" t="str">
        <f aca="false">IF(OR(A16="",B16="",B16=0),"",D16/B16)</f>
        <v/>
      </c>
      <c r="F16" s="30" t="str">
        <f aca="false">IF(OR(E16="",C16&lt;&gt;"g"),"",E16*1000)</f>
        <v/>
      </c>
      <c r="G16" s="31" t="n">
        <f aca="false">IF(A16="","",COUNTIFS(Recetas!$A$5:$A$1000,A16))</f>
        <v>7</v>
      </c>
      <c r="H16" s="20" t="str">
        <f aca="false">IF(A16="","",IF(G16=0,"Sin ingredientes en Recetas",IF(OR(B16="",B16=0),"Falta rendimiento",IF(COUNTIFS(Recetas!$A$5:$A$1000,A16,Recetas!$H$5:$H$1000,"&lt;&gt;OK")&gt;0,"Revisar: "&amp;COUNTIFS(Recetas!$A$5:$A$1000,A16,Recetas!$H$5:$H$1000,"&lt;&gt;OK")&amp;" ingrediente(s) con aviso","OK"))))</f>
        <v>Falta rendimiento</v>
      </c>
    </row>
    <row r="17" customFormat="false" ht="15" hidden="false" customHeight="false" outlineLevel="0" collapsed="false">
      <c r="A17" s="15" t="s">
        <v>139</v>
      </c>
      <c r="B17" s="27" t="n">
        <v>200</v>
      </c>
      <c r="C17" s="15" t="s">
        <v>56</v>
      </c>
      <c r="D17" s="29" t="n">
        <f aca="false">IF(A17="","",SUMIFS(Recetas!$G$5:$G$1000,Recetas!$A$5:$A$1000,A17))</f>
        <v>0</v>
      </c>
      <c r="E17" s="17" t="n">
        <f aca="false">IF(OR(A17="",B17="",B17=0),"",D17/B17)</f>
        <v>0</v>
      </c>
      <c r="F17" s="30" t="n">
        <f aca="false">IF(OR(E17="",C17&lt;&gt;"g"),"",E17*1000)</f>
        <v>0</v>
      </c>
      <c r="G17" s="31" t="n">
        <f aca="false">IF(A17="","",COUNTIFS(Recetas!$A$5:$A$1000,A17))</f>
        <v>1</v>
      </c>
      <c r="H17" s="20" t="str">
        <f aca="false">IF(A17="","",IF(G17=0,"Sin ingredientes en Recetas",IF(OR(B17="",B17=0),"Falta rendimiento",IF(COUNTIFS(Recetas!$A$5:$A$1000,A17,Recetas!$H$5:$H$1000,"&lt;&gt;OK")&gt;0,"Revisar: "&amp;COUNTIFS(Recetas!$A$5:$A$1000,A17,Recetas!$H$5:$H$1000,"&lt;&gt;OK")&amp;" ingrediente(s) con aviso","OK"))))</f>
        <v>Revisar: 1 ingrediente(s) con aviso</v>
      </c>
    </row>
    <row r="18" customFormat="false" ht="15" hidden="false" customHeight="false" outlineLevel="0" collapsed="false">
      <c r="A18" s="15" t="s">
        <v>140</v>
      </c>
      <c r="B18" s="27" t="n">
        <v>1</v>
      </c>
      <c r="C18" s="15" t="s">
        <v>93</v>
      </c>
      <c r="D18" s="29" t="n">
        <f aca="false">IF(A18="","",SUMIFS(Recetas!$G$5:$G$1000,Recetas!$A$5:$A$1000,A18))</f>
        <v>0</v>
      </c>
      <c r="E18" s="17" t="n">
        <f aca="false">IF(OR(A18="",B18="",B18=0),"",D18/B18)</f>
        <v>0</v>
      </c>
      <c r="F18" s="30" t="str">
        <f aca="false">IF(OR(E18="",C18&lt;&gt;"g"),"",E18*1000)</f>
        <v/>
      </c>
      <c r="G18" s="31" t="n">
        <f aca="false">IF(A18="","",COUNTIFS(Recetas!$A$5:$A$1000,A18))</f>
        <v>1</v>
      </c>
      <c r="H18" s="20" t="str">
        <f aca="false">IF(A18="","",IF(G18=0,"Sin ingredientes en Recetas",IF(OR(B18="",B18=0),"Falta rendimiento",IF(COUNTIFS(Recetas!$A$5:$A$1000,A18,Recetas!$H$5:$H$1000,"&lt;&gt;OK")&gt;0,"Revisar: "&amp;COUNTIFS(Recetas!$A$5:$A$1000,A18,Recetas!$H$5:$H$1000,"&lt;&gt;OK")&amp;" ingrediente(s) con aviso","OK"))))</f>
        <v>Revisar: 1 ingrediente(s) con aviso</v>
      </c>
    </row>
    <row r="19" customFormat="false" ht="15" hidden="false" customHeight="false" outlineLevel="0" collapsed="false">
      <c r="A19" s="15" t="s">
        <v>141</v>
      </c>
      <c r="B19" s="27" t="n">
        <v>1</v>
      </c>
      <c r="C19" s="15" t="s">
        <v>93</v>
      </c>
      <c r="D19" s="29" t="n">
        <f aca="false">IF(A19="","",SUMIFS(Recetas!$G$5:$G$1000,Recetas!$A$5:$A$1000,A19))</f>
        <v>0</v>
      </c>
      <c r="E19" s="17" t="n">
        <f aca="false">IF(OR(A19="",B19="",B19=0),"",D19/B19)</f>
        <v>0</v>
      </c>
      <c r="F19" s="30" t="str">
        <f aca="false">IF(OR(E19="",C19&lt;&gt;"g"),"",E19*1000)</f>
        <v/>
      </c>
      <c r="G19" s="31" t="n">
        <f aca="false">IF(A19="","",COUNTIFS(Recetas!$A$5:$A$1000,A19))</f>
        <v>1</v>
      </c>
      <c r="H19" s="20" t="str">
        <f aca="false">IF(A19="","",IF(G19=0,"Sin ingredientes en Recetas",IF(OR(B19="",B19=0),"Falta rendimiento",IF(COUNTIFS(Recetas!$A$5:$A$1000,A19,Recetas!$H$5:$H$1000,"&lt;&gt;OK")&gt;0,"Revisar: "&amp;COUNTIFS(Recetas!$A$5:$A$1000,A19,Recetas!$H$5:$H$1000,"&lt;&gt;OK")&amp;" ingrediente(s) con aviso","OK"))))</f>
        <v>Revisar: 1 ingrediente(s) con aviso</v>
      </c>
    </row>
    <row r="20" customFormat="false" ht="15" hidden="false" customHeight="false" outlineLevel="0" collapsed="false">
      <c r="A20" s="15" t="s">
        <v>142</v>
      </c>
      <c r="B20" s="27" t="n">
        <v>1</v>
      </c>
      <c r="C20" s="15" t="s">
        <v>93</v>
      </c>
      <c r="D20" s="29" t="n">
        <f aca="false">IF(A20="","",SUMIFS(Recetas!$G$5:$G$1000,Recetas!$A$5:$A$1000,A20))</f>
        <v>0</v>
      </c>
      <c r="E20" s="17" t="n">
        <f aca="false">IF(OR(A20="",B20="",B20=0),"",D20/B20)</f>
        <v>0</v>
      </c>
      <c r="F20" s="30" t="str">
        <f aca="false">IF(OR(E20="",C20&lt;&gt;"g"),"",E20*1000)</f>
        <v/>
      </c>
      <c r="G20" s="31" t="n">
        <f aca="false">IF(A20="","",COUNTIFS(Recetas!$A$5:$A$1000,A20))</f>
        <v>1</v>
      </c>
      <c r="H20" s="20" t="str">
        <f aca="false">IF(A20="","",IF(G20=0,"Sin ingredientes en Recetas",IF(OR(B20="",B20=0),"Falta rendimiento",IF(COUNTIFS(Recetas!$A$5:$A$1000,A20,Recetas!$H$5:$H$1000,"&lt;&gt;OK")&gt;0,"Revisar: "&amp;COUNTIFS(Recetas!$A$5:$A$1000,A20,Recetas!$H$5:$H$1000,"&lt;&gt;OK")&amp;" ingrediente(s) con aviso","OK"))))</f>
        <v>Revisar: 1 ingrediente(s) con aviso</v>
      </c>
    </row>
    <row r="21" customFormat="false" ht="15" hidden="false" customHeight="false" outlineLevel="0" collapsed="false">
      <c r="A21" s="15" t="s">
        <v>143</v>
      </c>
      <c r="B21" s="27" t="n">
        <v>1</v>
      </c>
      <c r="C21" s="15" t="s">
        <v>93</v>
      </c>
      <c r="D21" s="29" t="n">
        <f aca="false">IF(A21="","",SUMIFS(Recetas!$G$5:$G$1000,Recetas!$A$5:$A$1000,A21))</f>
        <v>0</v>
      </c>
      <c r="E21" s="17" t="n">
        <f aca="false">IF(OR(A21="",B21="",B21=0),"",D21/B21)</f>
        <v>0</v>
      </c>
      <c r="F21" s="30" t="str">
        <f aca="false">IF(OR(E21="",C21&lt;&gt;"g"),"",E21*1000)</f>
        <v/>
      </c>
      <c r="G21" s="31" t="n">
        <f aca="false">IF(A21="","",COUNTIFS(Recetas!$A$5:$A$1000,A21))</f>
        <v>1</v>
      </c>
      <c r="H21" s="20" t="str">
        <f aca="false">IF(A21="","",IF(G21=0,"Sin ingredientes en Recetas",IF(OR(B21="",B21=0),"Falta rendimiento",IF(COUNTIFS(Recetas!$A$5:$A$1000,A21,Recetas!$H$5:$H$1000,"&lt;&gt;OK")&gt;0,"Revisar: "&amp;COUNTIFS(Recetas!$A$5:$A$1000,A21,Recetas!$H$5:$H$1000,"&lt;&gt;OK")&amp;" ingrediente(s) con aviso","OK"))))</f>
        <v>Revisar: 1 ingrediente(s) con aviso</v>
      </c>
    </row>
    <row r="22" customFormat="false" ht="15" hidden="false" customHeight="false" outlineLevel="0" collapsed="false">
      <c r="A22" s="15" t="s">
        <v>144</v>
      </c>
      <c r="B22" s="27" t="n">
        <v>1</v>
      </c>
      <c r="C22" s="15" t="s">
        <v>93</v>
      </c>
      <c r="D22" s="29" t="n">
        <f aca="false">IF(A22="","",SUMIFS(Recetas!$G$5:$G$1000,Recetas!$A$5:$A$1000,A22))</f>
        <v>0</v>
      </c>
      <c r="E22" s="17" t="n">
        <f aca="false">IF(OR(A22="",B22="",B22=0),"",D22/B22)</f>
        <v>0</v>
      </c>
      <c r="F22" s="30" t="str">
        <f aca="false">IF(OR(E22="",C22&lt;&gt;"g"),"",E22*1000)</f>
        <v/>
      </c>
      <c r="G22" s="31" t="n">
        <f aca="false">IF(A22="","",COUNTIFS(Recetas!$A$5:$A$1000,A22))</f>
        <v>1</v>
      </c>
      <c r="H22" s="20" t="str">
        <f aca="false">IF(A22="","",IF(G22=0,"Sin ingredientes en Recetas",IF(OR(B22="",B22=0),"Falta rendimiento",IF(COUNTIFS(Recetas!$A$5:$A$1000,A22,Recetas!$H$5:$H$1000,"&lt;&gt;OK")&gt;0,"Revisar: "&amp;COUNTIFS(Recetas!$A$5:$A$1000,A22,Recetas!$H$5:$H$1000,"&lt;&gt;OK")&amp;" ingrediente(s) con aviso","OK"))))</f>
        <v>Revisar: 1 ingrediente(s) con aviso</v>
      </c>
    </row>
    <row r="23" customFormat="false" ht="15" hidden="false" customHeight="false" outlineLevel="0" collapsed="false">
      <c r="A23" s="15"/>
      <c r="B23" s="27"/>
      <c r="C23" s="15"/>
      <c r="D23" s="29" t="str">
        <f aca="false">IF(A23="","",SUMIFS(Recetas!$G$5:$G$1000,Recetas!$A$5:$A$1000,A23))</f>
        <v/>
      </c>
      <c r="E23" s="17" t="str">
        <f aca="false">IF(OR(A23="",B23="",B23=0),"",D23/B23)</f>
        <v/>
      </c>
      <c r="F23" s="30" t="str">
        <f aca="false">IF(OR(E23="",C23&lt;&gt;"g"),"",E23*1000)</f>
        <v/>
      </c>
      <c r="G23" s="31" t="str">
        <f aca="false">IF(A23="","",COUNTIFS(Recetas!$A$5:$A$1000,A23))</f>
        <v/>
      </c>
      <c r="H23" s="20" t="str">
        <f aca="false">IF(A23="","",IF(G23=0,"Sin ingredientes en Recetas",IF(OR(B23="",B23=0),"Falta rendimiento",IF(COUNTIFS(Recetas!$A$5:$A$1000,A23,Recetas!$H$5:$H$1000,"&lt;&gt;OK")&gt;0,"Revisar: "&amp;COUNTIFS(Recetas!$A$5:$A$1000,A23,Recetas!$H$5:$H$1000,"&lt;&gt;OK")&amp;" ingrediente(s) con aviso","OK"))))</f>
        <v/>
      </c>
    </row>
    <row r="24" customFormat="false" ht="15" hidden="false" customHeight="false" outlineLevel="0" collapsed="false">
      <c r="A24" s="15"/>
      <c r="B24" s="27"/>
      <c r="C24" s="15"/>
      <c r="D24" s="29" t="str">
        <f aca="false">IF(A24="","",SUMIFS(Recetas!$G$5:$G$1000,Recetas!$A$5:$A$1000,A24))</f>
        <v/>
      </c>
      <c r="E24" s="17" t="str">
        <f aca="false">IF(OR(A24="",B24="",B24=0),"",D24/B24)</f>
        <v/>
      </c>
      <c r="F24" s="30" t="str">
        <f aca="false">IF(OR(E24="",C24&lt;&gt;"g"),"",E24*1000)</f>
        <v/>
      </c>
      <c r="G24" s="31" t="str">
        <f aca="false">IF(A24="","",COUNTIFS(Recetas!$A$5:$A$1000,A24))</f>
        <v/>
      </c>
      <c r="H24" s="20" t="str">
        <f aca="false">IF(A24="","",IF(G24=0,"Sin ingredientes en Recetas",IF(OR(B24="",B24=0),"Falta rendimiento",IF(COUNTIFS(Recetas!$A$5:$A$1000,A24,Recetas!$H$5:$H$1000,"&lt;&gt;OK")&gt;0,"Revisar: "&amp;COUNTIFS(Recetas!$A$5:$A$1000,A24,Recetas!$H$5:$H$1000,"&lt;&gt;OK")&amp;" ingrediente(s) con aviso","OK"))))</f>
        <v/>
      </c>
    </row>
    <row r="25" customFormat="false" ht="15" hidden="false" customHeight="false" outlineLevel="0" collapsed="false">
      <c r="A25" s="15"/>
      <c r="B25" s="27"/>
      <c r="C25" s="15"/>
      <c r="D25" s="29" t="str">
        <f aca="false">IF(A25="","",SUMIFS(Recetas!$G$5:$G$1000,Recetas!$A$5:$A$1000,A25))</f>
        <v/>
      </c>
      <c r="E25" s="17" t="str">
        <f aca="false">IF(OR(A25="",B25="",B25=0),"",D25/B25)</f>
        <v/>
      </c>
      <c r="F25" s="30" t="str">
        <f aca="false">IF(OR(E25="",C25&lt;&gt;"g"),"",E25*1000)</f>
        <v/>
      </c>
      <c r="G25" s="31" t="str">
        <f aca="false">IF(A25="","",COUNTIFS(Recetas!$A$5:$A$1000,A25))</f>
        <v/>
      </c>
      <c r="H25" s="20" t="str">
        <f aca="false">IF(A25="","",IF(G25=0,"Sin ingredientes en Recetas",IF(OR(B25="",B25=0),"Falta rendimiento",IF(COUNTIFS(Recetas!$A$5:$A$1000,A25,Recetas!$H$5:$H$1000,"&lt;&gt;OK")&gt;0,"Revisar: "&amp;COUNTIFS(Recetas!$A$5:$A$1000,A25,Recetas!$H$5:$H$1000,"&lt;&gt;OK")&amp;" ingrediente(s) con aviso","OK"))))</f>
        <v/>
      </c>
    </row>
    <row r="26" customFormat="false" ht="15" hidden="false" customHeight="false" outlineLevel="0" collapsed="false">
      <c r="A26" s="15"/>
      <c r="B26" s="27"/>
      <c r="C26" s="15"/>
      <c r="D26" s="29" t="str">
        <f aca="false">IF(A26="","",SUMIFS(Recetas!$G$5:$G$1000,Recetas!$A$5:$A$1000,A26))</f>
        <v/>
      </c>
      <c r="E26" s="17" t="str">
        <f aca="false">IF(OR(A26="",B26="",B26=0),"",D26/B26)</f>
        <v/>
      </c>
      <c r="F26" s="30" t="str">
        <f aca="false">IF(OR(E26="",C26&lt;&gt;"g"),"",E26*1000)</f>
        <v/>
      </c>
      <c r="G26" s="31" t="str">
        <f aca="false">IF(A26="","",COUNTIFS(Recetas!$A$5:$A$1000,A26))</f>
        <v/>
      </c>
      <c r="H26" s="20" t="str">
        <f aca="false">IF(A26="","",IF(G26=0,"Sin ingredientes en Recetas",IF(OR(B26="",B26=0),"Falta rendimiento",IF(COUNTIFS(Recetas!$A$5:$A$1000,A26,Recetas!$H$5:$H$1000,"&lt;&gt;OK")&gt;0,"Revisar: "&amp;COUNTIFS(Recetas!$A$5:$A$1000,A26,Recetas!$H$5:$H$1000,"&lt;&gt;OK")&amp;" ingrediente(s) con aviso","OK"))))</f>
        <v/>
      </c>
    </row>
    <row r="27" customFormat="false" ht="15" hidden="false" customHeight="false" outlineLevel="0" collapsed="false">
      <c r="A27" s="15"/>
      <c r="B27" s="27"/>
      <c r="C27" s="15"/>
      <c r="D27" s="29" t="str">
        <f aca="false">IF(A27="","",SUMIFS(Recetas!$G$5:$G$1000,Recetas!$A$5:$A$1000,A27))</f>
        <v/>
      </c>
      <c r="E27" s="17" t="str">
        <f aca="false">IF(OR(A27="",B27="",B27=0),"",D27/B27)</f>
        <v/>
      </c>
      <c r="F27" s="30" t="str">
        <f aca="false">IF(OR(E27="",C27&lt;&gt;"g"),"",E27*1000)</f>
        <v/>
      </c>
      <c r="G27" s="31" t="str">
        <f aca="false">IF(A27="","",COUNTIFS(Recetas!$A$5:$A$1000,A27))</f>
        <v/>
      </c>
      <c r="H27" s="20" t="str">
        <f aca="false">IF(A27="","",IF(G27=0,"Sin ingredientes en Recetas",IF(OR(B27="",B27=0),"Falta rendimiento",IF(COUNTIFS(Recetas!$A$5:$A$1000,A27,Recetas!$H$5:$H$1000,"&lt;&gt;OK")&gt;0,"Revisar: "&amp;COUNTIFS(Recetas!$A$5:$A$1000,A27,Recetas!$H$5:$H$1000,"&lt;&gt;OK")&amp;" ingrediente(s) con aviso","OK"))))</f>
        <v/>
      </c>
    </row>
    <row r="28" customFormat="false" ht="15" hidden="false" customHeight="false" outlineLevel="0" collapsed="false">
      <c r="A28" s="15"/>
      <c r="B28" s="27"/>
      <c r="C28" s="15"/>
      <c r="D28" s="29" t="str">
        <f aca="false">IF(A28="","",SUMIFS(Recetas!$G$5:$G$1000,Recetas!$A$5:$A$1000,A28))</f>
        <v/>
      </c>
      <c r="E28" s="17" t="str">
        <f aca="false">IF(OR(A28="",B28="",B28=0),"",D28/B28)</f>
        <v/>
      </c>
      <c r="F28" s="30" t="str">
        <f aca="false">IF(OR(E28="",C28&lt;&gt;"g"),"",E28*1000)</f>
        <v/>
      </c>
      <c r="G28" s="31" t="str">
        <f aca="false">IF(A28="","",COUNTIFS(Recetas!$A$5:$A$1000,A28))</f>
        <v/>
      </c>
      <c r="H28" s="20" t="str">
        <f aca="false">IF(A28="","",IF(G28=0,"Sin ingredientes en Recetas",IF(OR(B28="",B28=0),"Falta rendimiento",IF(COUNTIFS(Recetas!$A$5:$A$1000,A28,Recetas!$H$5:$H$1000,"&lt;&gt;OK")&gt;0,"Revisar: "&amp;COUNTIFS(Recetas!$A$5:$A$1000,A28,Recetas!$H$5:$H$1000,"&lt;&gt;OK")&amp;" ingrediente(s) con aviso","OK"))))</f>
        <v/>
      </c>
    </row>
    <row r="29" customFormat="false" ht="15" hidden="false" customHeight="false" outlineLevel="0" collapsed="false">
      <c r="A29" s="15"/>
      <c r="B29" s="27"/>
      <c r="C29" s="15"/>
      <c r="D29" s="29" t="str">
        <f aca="false">IF(A29="","",SUMIFS(Recetas!$G$5:$G$1000,Recetas!$A$5:$A$1000,A29))</f>
        <v/>
      </c>
      <c r="E29" s="17" t="str">
        <f aca="false">IF(OR(A29="",B29="",B29=0),"",D29/B29)</f>
        <v/>
      </c>
      <c r="F29" s="30" t="str">
        <f aca="false">IF(OR(E29="",C29&lt;&gt;"g"),"",E29*1000)</f>
        <v/>
      </c>
      <c r="G29" s="31" t="str">
        <f aca="false">IF(A29="","",COUNTIFS(Recetas!$A$5:$A$1000,A29))</f>
        <v/>
      </c>
      <c r="H29" s="20" t="str">
        <f aca="false">IF(A29="","",IF(G29=0,"Sin ingredientes en Recetas",IF(OR(B29="",B29=0),"Falta rendimiento",IF(COUNTIFS(Recetas!$A$5:$A$1000,A29,Recetas!$H$5:$H$1000,"&lt;&gt;OK")&gt;0,"Revisar: "&amp;COUNTIFS(Recetas!$A$5:$A$1000,A29,Recetas!$H$5:$H$1000,"&lt;&gt;OK")&amp;" ingrediente(s) con aviso","OK"))))</f>
        <v/>
      </c>
    </row>
    <row r="30" customFormat="false" ht="15" hidden="false" customHeight="false" outlineLevel="0" collapsed="false">
      <c r="A30" s="15"/>
      <c r="B30" s="27"/>
      <c r="C30" s="15"/>
      <c r="D30" s="29" t="str">
        <f aca="false">IF(A30="","",SUMIFS(Recetas!$G$5:$G$1000,Recetas!$A$5:$A$1000,A30))</f>
        <v/>
      </c>
      <c r="E30" s="17" t="str">
        <f aca="false">IF(OR(A30="",B30="",B30=0),"",D30/B30)</f>
        <v/>
      </c>
      <c r="F30" s="30" t="str">
        <f aca="false">IF(OR(E30="",C30&lt;&gt;"g"),"",E30*1000)</f>
        <v/>
      </c>
      <c r="G30" s="31" t="str">
        <f aca="false">IF(A30="","",COUNTIFS(Recetas!$A$5:$A$1000,A30))</f>
        <v/>
      </c>
      <c r="H30" s="20" t="str">
        <f aca="false">IF(A30="","",IF(G30=0,"Sin ingredientes en Recetas",IF(OR(B30="",B30=0),"Falta rendimiento",IF(COUNTIFS(Recetas!$A$5:$A$1000,A30,Recetas!$H$5:$H$1000,"&lt;&gt;OK")&gt;0,"Revisar: "&amp;COUNTIFS(Recetas!$A$5:$A$1000,A30,Recetas!$H$5:$H$1000,"&lt;&gt;OK")&amp;" ingrediente(s) con aviso","OK"))))</f>
        <v/>
      </c>
    </row>
    <row r="31" customFormat="false" ht="15" hidden="false" customHeight="false" outlineLevel="0" collapsed="false">
      <c r="A31" s="15"/>
      <c r="B31" s="27"/>
      <c r="C31" s="15"/>
      <c r="D31" s="29" t="str">
        <f aca="false">IF(A31="","",SUMIFS(Recetas!$G$5:$G$1000,Recetas!$A$5:$A$1000,A31))</f>
        <v/>
      </c>
      <c r="E31" s="17" t="str">
        <f aca="false">IF(OR(A31="",B31="",B31=0),"",D31/B31)</f>
        <v/>
      </c>
      <c r="F31" s="30" t="str">
        <f aca="false">IF(OR(E31="",C31&lt;&gt;"g"),"",E31*1000)</f>
        <v/>
      </c>
      <c r="G31" s="31" t="str">
        <f aca="false">IF(A31="","",COUNTIFS(Recetas!$A$5:$A$1000,A31))</f>
        <v/>
      </c>
      <c r="H31" s="20" t="str">
        <f aca="false">IF(A31="","",IF(G31=0,"Sin ingredientes en Recetas",IF(OR(B31="",B31=0),"Falta rendimiento",IF(COUNTIFS(Recetas!$A$5:$A$1000,A31,Recetas!$H$5:$H$1000,"&lt;&gt;OK")&gt;0,"Revisar: "&amp;COUNTIFS(Recetas!$A$5:$A$1000,A31,Recetas!$H$5:$H$1000,"&lt;&gt;OK")&amp;" ingrediente(s) con aviso","OK"))))</f>
        <v/>
      </c>
    </row>
    <row r="32" customFormat="false" ht="15" hidden="false" customHeight="false" outlineLevel="0" collapsed="false">
      <c r="A32" s="15"/>
      <c r="B32" s="27"/>
      <c r="C32" s="15"/>
      <c r="D32" s="29" t="str">
        <f aca="false">IF(A32="","",SUMIFS(Recetas!$G$5:$G$1000,Recetas!$A$5:$A$1000,A32))</f>
        <v/>
      </c>
      <c r="E32" s="17" t="str">
        <f aca="false">IF(OR(A32="",B32="",B32=0),"",D32/B32)</f>
        <v/>
      </c>
      <c r="F32" s="30" t="str">
        <f aca="false">IF(OR(E32="",C32&lt;&gt;"g"),"",E32*1000)</f>
        <v/>
      </c>
      <c r="G32" s="31" t="str">
        <f aca="false">IF(A32="","",COUNTIFS(Recetas!$A$5:$A$1000,A32))</f>
        <v/>
      </c>
      <c r="H32" s="20" t="str">
        <f aca="false">IF(A32="","",IF(G32=0,"Sin ingredientes en Recetas",IF(OR(B32="",B32=0),"Falta rendimiento",IF(COUNTIFS(Recetas!$A$5:$A$1000,A32,Recetas!$H$5:$H$1000,"&lt;&gt;OK")&gt;0,"Revisar: "&amp;COUNTIFS(Recetas!$A$5:$A$1000,A32,Recetas!$H$5:$H$1000,"&lt;&gt;OK")&amp;" ingrediente(s) con aviso","OK"))))</f>
        <v/>
      </c>
    </row>
    <row r="33" customFormat="false" ht="15" hidden="false" customHeight="false" outlineLevel="0" collapsed="false">
      <c r="A33" s="15"/>
      <c r="B33" s="27"/>
      <c r="C33" s="15"/>
      <c r="D33" s="29" t="str">
        <f aca="false">IF(A33="","",SUMIFS(Recetas!$G$5:$G$1000,Recetas!$A$5:$A$1000,A33))</f>
        <v/>
      </c>
      <c r="E33" s="17" t="str">
        <f aca="false">IF(OR(A33="",B33="",B33=0),"",D33/B33)</f>
        <v/>
      </c>
      <c r="F33" s="30" t="str">
        <f aca="false">IF(OR(E33="",C33&lt;&gt;"g"),"",E33*1000)</f>
        <v/>
      </c>
      <c r="G33" s="31" t="str">
        <f aca="false">IF(A33="","",COUNTIFS(Recetas!$A$5:$A$1000,A33))</f>
        <v/>
      </c>
      <c r="H33" s="20" t="str">
        <f aca="false">IF(A33="","",IF(G33=0,"Sin ingredientes en Recetas",IF(OR(B33="",B33=0),"Falta rendimiento",IF(COUNTIFS(Recetas!$A$5:$A$1000,A33,Recetas!$H$5:$H$1000,"&lt;&gt;OK")&gt;0,"Revisar: "&amp;COUNTIFS(Recetas!$A$5:$A$1000,A33,Recetas!$H$5:$H$1000,"&lt;&gt;OK")&amp;" ingrediente(s) con aviso","OK"))))</f>
        <v/>
      </c>
    </row>
    <row r="34" customFormat="false" ht="15" hidden="false" customHeight="false" outlineLevel="0" collapsed="false">
      <c r="A34" s="15"/>
      <c r="B34" s="27"/>
      <c r="C34" s="15"/>
      <c r="D34" s="29" t="str">
        <f aca="false">IF(A34="","",SUMIFS(Recetas!$G$5:$G$1000,Recetas!$A$5:$A$1000,A34))</f>
        <v/>
      </c>
      <c r="E34" s="17" t="str">
        <f aca="false">IF(OR(A34="",B34="",B34=0),"",D34/B34)</f>
        <v/>
      </c>
      <c r="F34" s="30" t="str">
        <f aca="false">IF(OR(E34="",C34&lt;&gt;"g"),"",E34*1000)</f>
        <v/>
      </c>
      <c r="G34" s="31" t="str">
        <f aca="false">IF(A34="","",COUNTIFS(Recetas!$A$5:$A$1000,A34))</f>
        <v/>
      </c>
      <c r="H34" s="20" t="str">
        <f aca="false">IF(A34="","",IF(G34=0,"Sin ingredientes en Recetas",IF(OR(B34="",B34=0),"Falta rendimiento",IF(COUNTIFS(Recetas!$A$5:$A$1000,A34,Recetas!$H$5:$H$1000,"&lt;&gt;OK")&gt;0,"Revisar: "&amp;COUNTIFS(Recetas!$A$5:$A$1000,A34,Recetas!$H$5:$H$1000,"&lt;&gt;OK")&amp;" ingrediente(s) con aviso","OK"))))</f>
        <v/>
      </c>
    </row>
    <row r="35" customFormat="false" ht="15" hidden="false" customHeight="false" outlineLevel="0" collapsed="false">
      <c r="A35" s="15"/>
      <c r="B35" s="27"/>
      <c r="C35" s="15"/>
      <c r="D35" s="29" t="str">
        <f aca="false">IF(A35="","",SUMIFS(Recetas!$G$5:$G$1000,Recetas!$A$5:$A$1000,A35))</f>
        <v/>
      </c>
      <c r="E35" s="17" t="str">
        <f aca="false">IF(OR(A35="",B35="",B35=0),"",D35/B35)</f>
        <v/>
      </c>
      <c r="F35" s="30" t="str">
        <f aca="false">IF(OR(E35="",C35&lt;&gt;"g"),"",E35*1000)</f>
        <v/>
      </c>
      <c r="G35" s="31" t="str">
        <f aca="false">IF(A35="","",COUNTIFS(Recetas!$A$5:$A$1000,A35))</f>
        <v/>
      </c>
      <c r="H35" s="20" t="str">
        <f aca="false">IF(A35="","",IF(G35=0,"Sin ingredientes en Recetas",IF(OR(B35="",B35=0),"Falta rendimiento",IF(COUNTIFS(Recetas!$A$5:$A$1000,A35,Recetas!$H$5:$H$1000,"&lt;&gt;OK")&gt;0,"Revisar: "&amp;COUNTIFS(Recetas!$A$5:$A$1000,A35,Recetas!$H$5:$H$1000,"&lt;&gt;OK")&amp;" ingrediente(s) con aviso","OK"))))</f>
        <v/>
      </c>
    </row>
    <row r="36" customFormat="false" ht="15" hidden="false" customHeight="false" outlineLevel="0" collapsed="false">
      <c r="A36" s="15"/>
      <c r="B36" s="27"/>
      <c r="C36" s="15"/>
      <c r="D36" s="29" t="str">
        <f aca="false">IF(A36="","",SUMIFS(Recetas!$G$5:$G$1000,Recetas!$A$5:$A$1000,A36))</f>
        <v/>
      </c>
      <c r="E36" s="17" t="str">
        <f aca="false">IF(OR(A36="",B36="",B36=0),"",D36/B36)</f>
        <v/>
      </c>
      <c r="F36" s="30" t="str">
        <f aca="false">IF(OR(E36="",C36&lt;&gt;"g"),"",E36*1000)</f>
        <v/>
      </c>
      <c r="G36" s="31" t="str">
        <f aca="false">IF(A36="","",COUNTIFS(Recetas!$A$5:$A$1000,A36))</f>
        <v/>
      </c>
      <c r="H36" s="20" t="str">
        <f aca="false">IF(A36="","",IF(G36=0,"Sin ingredientes en Recetas",IF(OR(B36="",B36=0),"Falta rendimiento",IF(COUNTIFS(Recetas!$A$5:$A$1000,A36,Recetas!$H$5:$H$1000,"&lt;&gt;OK")&gt;0,"Revisar: "&amp;COUNTIFS(Recetas!$A$5:$A$1000,A36,Recetas!$H$5:$H$1000,"&lt;&gt;OK")&amp;" ingrediente(s) con aviso","OK"))))</f>
        <v/>
      </c>
    </row>
    <row r="37" customFormat="false" ht="15" hidden="false" customHeight="false" outlineLevel="0" collapsed="false">
      <c r="A37" s="15"/>
      <c r="B37" s="27"/>
      <c r="C37" s="15"/>
      <c r="D37" s="29" t="str">
        <f aca="false">IF(A37="","",SUMIFS(Recetas!$G$5:$G$1000,Recetas!$A$5:$A$1000,A37))</f>
        <v/>
      </c>
      <c r="E37" s="17" t="str">
        <f aca="false">IF(OR(A37="",B37="",B37=0),"",D37/B37)</f>
        <v/>
      </c>
      <c r="F37" s="30" t="str">
        <f aca="false">IF(OR(E37="",C37&lt;&gt;"g"),"",E37*1000)</f>
        <v/>
      </c>
      <c r="G37" s="31" t="str">
        <f aca="false">IF(A37="","",COUNTIFS(Recetas!$A$5:$A$1000,A37))</f>
        <v/>
      </c>
      <c r="H37" s="20" t="str">
        <f aca="false">IF(A37="","",IF(G37=0,"Sin ingredientes en Recetas",IF(OR(B37="",B37=0),"Falta rendimiento",IF(COUNTIFS(Recetas!$A$5:$A$1000,A37,Recetas!$H$5:$H$1000,"&lt;&gt;OK")&gt;0,"Revisar: "&amp;COUNTIFS(Recetas!$A$5:$A$1000,A37,Recetas!$H$5:$H$1000,"&lt;&gt;OK")&amp;" ingrediente(s) con aviso","OK"))))</f>
        <v/>
      </c>
    </row>
    <row r="38" customFormat="false" ht="15" hidden="false" customHeight="false" outlineLevel="0" collapsed="false">
      <c r="A38" s="15"/>
      <c r="B38" s="27"/>
      <c r="C38" s="15"/>
      <c r="D38" s="29" t="str">
        <f aca="false">IF(A38="","",SUMIFS(Recetas!$G$5:$G$1000,Recetas!$A$5:$A$1000,A38))</f>
        <v/>
      </c>
      <c r="E38" s="17" t="str">
        <f aca="false">IF(OR(A38="",B38="",B38=0),"",D38/B38)</f>
        <v/>
      </c>
      <c r="F38" s="30" t="str">
        <f aca="false">IF(OR(E38="",C38&lt;&gt;"g"),"",E38*1000)</f>
        <v/>
      </c>
      <c r="G38" s="31" t="str">
        <f aca="false">IF(A38="","",COUNTIFS(Recetas!$A$5:$A$1000,A38))</f>
        <v/>
      </c>
      <c r="H38" s="20" t="str">
        <f aca="false">IF(A38="","",IF(G38=0,"Sin ingredientes en Recetas",IF(OR(B38="",B38=0),"Falta rendimiento",IF(COUNTIFS(Recetas!$A$5:$A$1000,A38,Recetas!$H$5:$H$1000,"&lt;&gt;OK")&gt;0,"Revisar: "&amp;COUNTIFS(Recetas!$A$5:$A$1000,A38,Recetas!$H$5:$H$1000,"&lt;&gt;OK")&amp;" ingrediente(s) con aviso","OK"))))</f>
        <v/>
      </c>
    </row>
    <row r="39" customFormat="false" ht="15" hidden="false" customHeight="false" outlineLevel="0" collapsed="false">
      <c r="A39" s="15"/>
      <c r="B39" s="27"/>
      <c r="C39" s="15"/>
      <c r="D39" s="29" t="str">
        <f aca="false">IF(A39="","",SUMIFS(Recetas!$G$5:$G$1000,Recetas!$A$5:$A$1000,A39))</f>
        <v/>
      </c>
      <c r="E39" s="17" t="str">
        <f aca="false">IF(OR(A39="",B39="",B39=0),"",D39/B39)</f>
        <v/>
      </c>
      <c r="F39" s="30" t="str">
        <f aca="false">IF(OR(E39="",C39&lt;&gt;"g"),"",E39*1000)</f>
        <v/>
      </c>
      <c r="G39" s="31" t="str">
        <f aca="false">IF(A39="","",COUNTIFS(Recetas!$A$5:$A$1000,A39))</f>
        <v/>
      </c>
      <c r="H39" s="20" t="str">
        <f aca="false">IF(A39="","",IF(G39=0,"Sin ingredientes en Recetas",IF(OR(B39="",B39=0),"Falta rendimiento",IF(COUNTIFS(Recetas!$A$5:$A$1000,A39,Recetas!$H$5:$H$1000,"&lt;&gt;OK")&gt;0,"Revisar: "&amp;COUNTIFS(Recetas!$A$5:$A$1000,A39,Recetas!$H$5:$H$1000,"&lt;&gt;OK")&amp;" ingrediente(s) con aviso","OK"))))</f>
        <v/>
      </c>
    </row>
    <row r="40" customFormat="false" ht="15" hidden="false" customHeight="false" outlineLevel="0" collapsed="false">
      <c r="A40" s="15"/>
      <c r="B40" s="27"/>
      <c r="C40" s="15"/>
      <c r="D40" s="29" t="str">
        <f aca="false">IF(A40="","",SUMIFS(Recetas!$G$5:$G$1000,Recetas!$A$5:$A$1000,A40))</f>
        <v/>
      </c>
      <c r="E40" s="17" t="str">
        <f aca="false">IF(OR(A40="",B40="",B40=0),"",D40/B40)</f>
        <v/>
      </c>
      <c r="F40" s="30" t="str">
        <f aca="false">IF(OR(E40="",C40&lt;&gt;"g"),"",E40*1000)</f>
        <v/>
      </c>
      <c r="G40" s="31" t="str">
        <f aca="false">IF(A40="","",COUNTIFS(Recetas!$A$5:$A$1000,A40))</f>
        <v/>
      </c>
      <c r="H40" s="20" t="str">
        <f aca="false">IF(A40="","",IF(G40=0,"Sin ingredientes en Recetas",IF(OR(B40="",B40=0),"Falta rendimiento",IF(COUNTIFS(Recetas!$A$5:$A$1000,A40,Recetas!$H$5:$H$1000,"&lt;&gt;OK")&gt;0,"Revisar: "&amp;COUNTIFS(Recetas!$A$5:$A$1000,A40,Recetas!$H$5:$H$1000,"&lt;&gt;OK")&amp;" ingrediente(s) con aviso","OK"))))</f>
        <v/>
      </c>
    </row>
    <row r="41" customFormat="false" ht="15" hidden="false" customHeight="false" outlineLevel="0" collapsed="false">
      <c r="A41" s="15"/>
      <c r="B41" s="27"/>
      <c r="C41" s="15"/>
      <c r="D41" s="29" t="str">
        <f aca="false">IF(A41="","",SUMIFS(Recetas!$G$5:$G$1000,Recetas!$A$5:$A$1000,A41))</f>
        <v/>
      </c>
      <c r="E41" s="17" t="str">
        <f aca="false">IF(OR(A41="",B41="",B41=0),"",D41/B41)</f>
        <v/>
      </c>
      <c r="F41" s="30" t="str">
        <f aca="false">IF(OR(E41="",C41&lt;&gt;"g"),"",E41*1000)</f>
        <v/>
      </c>
      <c r="G41" s="31" t="str">
        <f aca="false">IF(A41="","",COUNTIFS(Recetas!$A$5:$A$1000,A41))</f>
        <v/>
      </c>
      <c r="H41" s="20" t="str">
        <f aca="false">IF(A41="","",IF(G41=0,"Sin ingredientes en Recetas",IF(OR(B41="",B41=0),"Falta rendimiento",IF(COUNTIFS(Recetas!$A$5:$A$1000,A41,Recetas!$H$5:$H$1000,"&lt;&gt;OK")&gt;0,"Revisar: "&amp;COUNTIFS(Recetas!$A$5:$A$1000,A41,Recetas!$H$5:$H$1000,"&lt;&gt;OK")&amp;" ingrediente(s) con aviso","OK"))))</f>
        <v/>
      </c>
    </row>
    <row r="42" customFormat="false" ht="15" hidden="false" customHeight="false" outlineLevel="0" collapsed="false">
      <c r="A42" s="15"/>
      <c r="B42" s="27"/>
      <c r="C42" s="15"/>
      <c r="D42" s="29" t="str">
        <f aca="false">IF(A42="","",SUMIFS(Recetas!$G$5:$G$1000,Recetas!$A$5:$A$1000,A42))</f>
        <v/>
      </c>
      <c r="E42" s="17" t="str">
        <f aca="false">IF(OR(A42="",B42="",B42=0),"",D42/B42)</f>
        <v/>
      </c>
      <c r="F42" s="30" t="str">
        <f aca="false">IF(OR(E42="",C42&lt;&gt;"g"),"",E42*1000)</f>
        <v/>
      </c>
      <c r="G42" s="31" t="str">
        <f aca="false">IF(A42="","",COUNTIFS(Recetas!$A$5:$A$1000,A42))</f>
        <v/>
      </c>
      <c r="H42" s="20" t="str">
        <f aca="false">IF(A42="","",IF(G42=0,"Sin ingredientes en Recetas",IF(OR(B42="",B42=0),"Falta rendimiento",IF(COUNTIFS(Recetas!$A$5:$A$1000,A42,Recetas!$H$5:$H$1000,"&lt;&gt;OK")&gt;0,"Revisar: "&amp;COUNTIFS(Recetas!$A$5:$A$1000,A42,Recetas!$H$5:$H$1000,"&lt;&gt;OK")&amp;" ingrediente(s) con aviso","OK"))))</f>
        <v/>
      </c>
    </row>
    <row r="43" customFormat="false" ht="15" hidden="false" customHeight="false" outlineLevel="0" collapsed="false">
      <c r="A43" s="15"/>
      <c r="B43" s="27"/>
      <c r="C43" s="15"/>
      <c r="D43" s="29" t="str">
        <f aca="false">IF(A43="","",SUMIFS(Recetas!$G$5:$G$1000,Recetas!$A$5:$A$1000,A43))</f>
        <v/>
      </c>
      <c r="E43" s="17" t="str">
        <f aca="false">IF(OR(A43="",B43="",B43=0),"",D43/B43)</f>
        <v/>
      </c>
      <c r="F43" s="30" t="str">
        <f aca="false">IF(OR(E43="",C43&lt;&gt;"g"),"",E43*1000)</f>
        <v/>
      </c>
      <c r="G43" s="31" t="str">
        <f aca="false">IF(A43="","",COUNTIFS(Recetas!$A$5:$A$1000,A43))</f>
        <v/>
      </c>
      <c r="H43" s="20" t="str">
        <f aca="false">IF(A43="","",IF(G43=0,"Sin ingredientes en Recetas",IF(OR(B43="",B43=0),"Falta rendimiento",IF(COUNTIFS(Recetas!$A$5:$A$1000,A43,Recetas!$H$5:$H$1000,"&lt;&gt;OK")&gt;0,"Revisar: "&amp;COUNTIFS(Recetas!$A$5:$A$1000,A43,Recetas!$H$5:$H$1000,"&lt;&gt;OK")&amp;" ingrediente(s) con aviso","OK"))))</f>
        <v/>
      </c>
    </row>
    <row r="44" customFormat="false" ht="15" hidden="false" customHeight="false" outlineLevel="0" collapsed="false">
      <c r="A44" s="15"/>
      <c r="B44" s="27"/>
      <c r="C44" s="15"/>
      <c r="D44" s="29" t="str">
        <f aca="false">IF(A44="","",SUMIFS(Recetas!$G$5:$G$1000,Recetas!$A$5:$A$1000,A44))</f>
        <v/>
      </c>
      <c r="E44" s="17" t="str">
        <f aca="false">IF(OR(A44="",B44="",B44=0),"",D44/B44)</f>
        <v/>
      </c>
      <c r="F44" s="30" t="str">
        <f aca="false">IF(OR(E44="",C44&lt;&gt;"g"),"",E44*1000)</f>
        <v/>
      </c>
      <c r="G44" s="31" t="str">
        <f aca="false">IF(A44="","",COUNTIFS(Recetas!$A$5:$A$1000,A44))</f>
        <v/>
      </c>
      <c r="H44" s="20" t="str">
        <f aca="false">IF(A44="","",IF(G44=0,"Sin ingredientes en Recetas",IF(OR(B44="",B44=0),"Falta rendimiento",IF(COUNTIFS(Recetas!$A$5:$A$1000,A44,Recetas!$H$5:$H$1000,"&lt;&gt;OK")&gt;0,"Revisar: "&amp;COUNTIFS(Recetas!$A$5:$A$1000,A44,Recetas!$H$5:$H$1000,"&lt;&gt;OK")&amp;" ingrediente(s) con aviso","OK"))))</f>
        <v/>
      </c>
    </row>
    <row r="45" customFormat="false" ht="15" hidden="false" customHeight="false" outlineLevel="0" collapsed="false">
      <c r="A45" s="15"/>
      <c r="B45" s="27"/>
      <c r="C45" s="15"/>
      <c r="D45" s="29" t="str">
        <f aca="false">IF(A45="","",SUMIFS(Recetas!$G$5:$G$1000,Recetas!$A$5:$A$1000,A45))</f>
        <v/>
      </c>
      <c r="E45" s="17" t="str">
        <f aca="false">IF(OR(A45="",B45="",B45=0),"",D45/B45)</f>
        <v/>
      </c>
      <c r="F45" s="30" t="str">
        <f aca="false">IF(OR(E45="",C45&lt;&gt;"g"),"",E45*1000)</f>
        <v/>
      </c>
      <c r="G45" s="31" t="str">
        <f aca="false">IF(A45="","",COUNTIFS(Recetas!$A$5:$A$1000,A45))</f>
        <v/>
      </c>
      <c r="H45" s="20" t="str">
        <f aca="false">IF(A45="","",IF(G45=0,"Sin ingredientes en Recetas",IF(OR(B45="",B45=0),"Falta rendimiento",IF(COUNTIFS(Recetas!$A$5:$A$1000,A45,Recetas!$H$5:$H$1000,"&lt;&gt;OK")&gt;0,"Revisar: "&amp;COUNTIFS(Recetas!$A$5:$A$1000,A45,Recetas!$H$5:$H$1000,"&lt;&gt;OK")&amp;" ingrediente(s) con aviso","OK"))))</f>
        <v/>
      </c>
    </row>
    <row r="46" customFormat="false" ht="15" hidden="false" customHeight="false" outlineLevel="0" collapsed="false">
      <c r="A46" s="15"/>
      <c r="B46" s="27"/>
      <c r="C46" s="15"/>
      <c r="D46" s="29" t="str">
        <f aca="false">IF(A46="","",SUMIFS(Recetas!$G$5:$G$1000,Recetas!$A$5:$A$1000,A46))</f>
        <v/>
      </c>
      <c r="E46" s="17" t="str">
        <f aca="false">IF(OR(A46="",B46="",B46=0),"",D46/B46)</f>
        <v/>
      </c>
      <c r="F46" s="30" t="str">
        <f aca="false">IF(OR(E46="",C46&lt;&gt;"g"),"",E46*1000)</f>
        <v/>
      </c>
      <c r="G46" s="31" t="str">
        <f aca="false">IF(A46="","",COUNTIFS(Recetas!$A$5:$A$1000,A46))</f>
        <v/>
      </c>
      <c r="H46" s="20" t="str">
        <f aca="false">IF(A46="","",IF(G46=0,"Sin ingredientes en Recetas",IF(OR(B46="",B46=0),"Falta rendimiento",IF(COUNTIFS(Recetas!$A$5:$A$1000,A46,Recetas!$H$5:$H$1000,"&lt;&gt;OK")&gt;0,"Revisar: "&amp;COUNTIFS(Recetas!$A$5:$A$1000,A46,Recetas!$H$5:$H$1000,"&lt;&gt;OK")&amp;" ingrediente(s) con aviso","OK"))))</f>
        <v/>
      </c>
    </row>
    <row r="47" customFormat="false" ht="15" hidden="false" customHeight="false" outlineLevel="0" collapsed="false">
      <c r="A47" s="15"/>
      <c r="B47" s="27"/>
      <c r="C47" s="15"/>
      <c r="D47" s="29" t="str">
        <f aca="false">IF(A47="","",SUMIFS(Recetas!$G$5:$G$1000,Recetas!$A$5:$A$1000,A47))</f>
        <v/>
      </c>
      <c r="E47" s="17" t="str">
        <f aca="false">IF(OR(A47="",B47="",B47=0),"",D47/B47)</f>
        <v/>
      </c>
      <c r="F47" s="30" t="str">
        <f aca="false">IF(OR(E47="",C47&lt;&gt;"g"),"",E47*1000)</f>
        <v/>
      </c>
      <c r="G47" s="31" t="str">
        <f aca="false">IF(A47="","",COUNTIFS(Recetas!$A$5:$A$1000,A47))</f>
        <v/>
      </c>
      <c r="H47" s="20" t="str">
        <f aca="false">IF(A47="","",IF(G47=0,"Sin ingredientes en Recetas",IF(OR(B47="",B47=0),"Falta rendimiento",IF(COUNTIFS(Recetas!$A$5:$A$1000,A47,Recetas!$H$5:$H$1000,"&lt;&gt;OK")&gt;0,"Revisar: "&amp;COUNTIFS(Recetas!$A$5:$A$1000,A47,Recetas!$H$5:$H$1000,"&lt;&gt;OK")&amp;" ingrediente(s) con aviso","OK"))))</f>
        <v/>
      </c>
    </row>
    <row r="48" customFormat="false" ht="15" hidden="false" customHeight="false" outlineLevel="0" collapsed="false">
      <c r="A48" s="15"/>
      <c r="B48" s="27"/>
      <c r="C48" s="15"/>
      <c r="D48" s="29" t="str">
        <f aca="false">IF(A48="","",SUMIFS(Recetas!$G$5:$G$1000,Recetas!$A$5:$A$1000,A48))</f>
        <v/>
      </c>
      <c r="E48" s="17" t="str">
        <f aca="false">IF(OR(A48="",B48="",B48=0),"",D48/B48)</f>
        <v/>
      </c>
      <c r="F48" s="30" t="str">
        <f aca="false">IF(OR(E48="",C48&lt;&gt;"g"),"",E48*1000)</f>
        <v/>
      </c>
      <c r="G48" s="31" t="str">
        <f aca="false">IF(A48="","",COUNTIFS(Recetas!$A$5:$A$1000,A48))</f>
        <v/>
      </c>
      <c r="H48" s="20" t="str">
        <f aca="false">IF(A48="","",IF(G48=0,"Sin ingredientes en Recetas",IF(OR(B48="",B48=0),"Falta rendimiento",IF(COUNTIFS(Recetas!$A$5:$A$1000,A48,Recetas!$H$5:$H$1000,"&lt;&gt;OK")&gt;0,"Revisar: "&amp;COUNTIFS(Recetas!$A$5:$A$1000,A48,Recetas!$H$5:$H$1000,"&lt;&gt;OK")&amp;" ingrediente(s) con aviso","OK"))))</f>
        <v/>
      </c>
    </row>
    <row r="49" customFormat="false" ht="15" hidden="false" customHeight="false" outlineLevel="0" collapsed="false">
      <c r="A49" s="15"/>
      <c r="B49" s="27"/>
      <c r="C49" s="15"/>
      <c r="D49" s="29" t="str">
        <f aca="false">IF(A49="","",SUMIFS(Recetas!$G$5:$G$1000,Recetas!$A$5:$A$1000,A49))</f>
        <v/>
      </c>
      <c r="E49" s="17" t="str">
        <f aca="false">IF(OR(A49="",B49="",B49=0),"",D49/B49)</f>
        <v/>
      </c>
      <c r="F49" s="30" t="str">
        <f aca="false">IF(OR(E49="",C49&lt;&gt;"g"),"",E49*1000)</f>
        <v/>
      </c>
      <c r="G49" s="31" t="str">
        <f aca="false">IF(A49="","",COUNTIFS(Recetas!$A$5:$A$1000,A49))</f>
        <v/>
      </c>
      <c r="H49" s="20" t="str">
        <f aca="false">IF(A49="","",IF(G49=0,"Sin ingredientes en Recetas",IF(OR(B49="",B49=0),"Falta rendimiento",IF(COUNTIFS(Recetas!$A$5:$A$1000,A49,Recetas!$H$5:$H$1000,"&lt;&gt;OK")&gt;0,"Revisar: "&amp;COUNTIFS(Recetas!$A$5:$A$1000,A49,Recetas!$H$5:$H$1000,"&lt;&gt;OK")&amp;" ingrediente(s) con aviso","OK"))))</f>
        <v/>
      </c>
    </row>
    <row r="50" customFormat="false" ht="15" hidden="false" customHeight="false" outlineLevel="0" collapsed="false">
      <c r="A50" s="15"/>
      <c r="B50" s="27"/>
      <c r="C50" s="15"/>
      <c r="D50" s="29" t="str">
        <f aca="false">IF(A50="","",SUMIFS(Recetas!$G$5:$G$1000,Recetas!$A$5:$A$1000,A50))</f>
        <v/>
      </c>
      <c r="E50" s="17" t="str">
        <f aca="false">IF(OR(A50="",B50="",B50=0),"",D50/B50)</f>
        <v/>
      </c>
      <c r="F50" s="30" t="str">
        <f aca="false">IF(OR(E50="",C50&lt;&gt;"g"),"",E50*1000)</f>
        <v/>
      </c>
      <c r="G50" s="31" t="str">
        <f aca="false">IF(A50="","",COUNTIFS(Recetas!$A$5:$A$1000,A50))</f>
        <v/>
      </c>
      <c r="H50" s="20" t="str">
        <f aca="false">IF(A50="","",IF(G50=0,"Sin ingredientes en Recetas",IF(OR(B50="",B50=0),"Falta rendimiento",IF(COUNTIFS(Recetas!$A$5:$A$1000,A50,Recetas!$H$5:$H$1000,"&lt;&gt;OK")&gt;0,"Revisar: "&amp;COUNTIFS(Recetas!$A$5:$A$1000,A50,Recetas!$H$5:$H$1000,"&lt;&gt;OK")&amp;" ingrediente(s) con aviso","OK"))))</f>
        <v/>
      </c>
    </row>
    <row r="51" customFormat="false" ht="15" hidden="false" customHeight="false" outlineLevel="0" collapsed="false">
      <c r="A51" s="15"/>
      <c r="B51" s="27"/>
      <c r="C51" s="15"/>
      <c r="D51" s="29" t="str">
        <f aca="false">IF(A51="","",SUMIFS(Recetas!$G$5:$G$1000,Recetas!$A$5:$A$1000,A51))</f>
        <v/>
      </c>
      <c r="E51" s="17" t="str">
        <f aca="false">IF(OR(A51="",B51="",B51=0),"",D51/B51)</f>
        <v/>
      </c>
      <c r="F51" s="30" t="str">
        <f aca="false">IF(OR(E51="",C51&lt;&gt;"g"),"",E51*1000)</f>
        <v/>
      </c>
      <c r="G51" s="31" t="str">
        <f aca="false">IF(A51="","",COUNTIFS(Recetas!$A$5:$A$1000,A51))</f>
        <v/>
      </c>
      <c r="H51" s="20" t="str">
        <f aca="false">IF(A51="","",IF(G51=0,"Sin ingredientes en Recetas",IF(OR(B51="",B51=0),"Falta rendimiento",IF(COUNTIFS(Recetas!$A$5:$A$1000,A51,Recetas!$H$5:$H$1000,"&lt;&gt;OK")&gt;0,"Revisar: "&amp;COUNTIFS(Recetas!$A$5:$A$1000,A51,Recetas!$H$5:$H$1000,"&lt;&gt;OK")&amp;" ingrediente(s) con aviso","OK"))))</f>
        <v/>
      </c>
    </row>
    <row r="52" customFormat="false" ht="15" hidden="false" customHeight="false" outlineLevel="0" collapsed="false">
      <c r="A52" s="15"/>
      <c r="B52" s="27"/>
      <c r="C52" s="15"/>
      <c r="D52" s="29" t="str">
        <f aca="false">IF(A52="","",SUMIFS(Recetas!$G$5:$G$1000,Recetas!$A$5:$A$1000,A52))</f>
        <v/>
      </c>
      <c r="E52" s="17" t="str">
        <f aca="false">IF(OR(A52="",B52="",B52=0),"",D52/B52)</f>
        <v/>
      </c>
      <c r="F52" s="30" t="str">
        <f aca="false">IF(OR(E52="",C52&lt;&gt;"g"),"",E52*1000)</f>
        <v/>
      </c>
      <c r="G52" s="31" t="str">
        <f aca="false">IF(A52="","",COUNTIFS(Recetas!$A$5:$A$1000,A52))</f>
        <v/>
      </c>
      <c r="H52" s="20" t="str">
        <f aca="false">IF(A52="","",IF(G52=0,"Sin ingredientes en Recetas",IF(OR(B52="",B52=0),"Falta rendimiento",IF(COUNTIFS(Recetas!$A$5:$A$1000,A52,Recetas!$H$5:$H$1000,"&lt;&gt;OK")&gt;0,"Revisar: "&amp;COUNTIFS(Recetas!$A$5:$A$1000,A52,Recetas!$H$5:$H$1000,"&lt;&gt;OK")&amp;" ingrediente(s) con aviso","OK"))))</f>
        <v/>
      </c>
    </row>
    <row r="53" customFormat="false" ht="15" hidden="false" customHeight="false" outlineLevel="0" collapsed="false">
      <c r="A53" s="15"/>
      <c r="B53" s="27"/>
      <c r="C53" s="15"/>
      <c r="D53" s="29" t="str">
        <f aca="false">IF(A53="","",SUMIFS(Recetas!$G$5:$G$1000,Recetas!$A$5:$A$1000,A53))</f>
        <v/>
      </c>
      <c r="E53" s="17" t="str">
        <f aca="false">IF(OR(A53="",B53="",B53=0),"",D53/B53)</f>
        <v/>
      </c>
      <c r="F53" s="30" t="str">
        <f aca="false">IF(OR(E53="",C53&lt;&gt;"g"),"",E53*1000)</f>
        <v/>
      </c>
      <c r="G53" s="31" t="str">
        <f aca="false">IF(A53="","",COUNTIFS(Recetas!$A$5:$A$1000,A53))</f>
        <v/>
      </c>
      <c r="H53" s="20" t="str">
        <f aca="false">IF(A53="","",IF(G53=0,"Sin ingredientes en Recetas",IF(OR(B53="",B53=0),"Falta rendimiento",IF(COUNTIFS(Recetas!$A$5:$A$1000,A53,Recetas!$H$5:$H$1000,"&lt;&gt;OK")&gt;0,"Revisar: "&amp;COUNTIFS(Recetas!$A$5:$A$1000,A53,Recetas!$H$5:$H$1000,"&lt;&gt;OK")&amp;" ingrediente(s) con aviso","OK"))))</f>
        <v/>
      </c>
    </row>
    <row r="54" customFormat="false" ht="15" hidden="false" customHeight="false" outlineLevel="0" collapsed="false">
      <c r="A54" s="15"/>
      <c r="B54" s="27"/>
      <c r="C54" s="15"/>
      <c r="D54" s="29" t="str">
        <f aca="false">IF(A54="","",SUMIFS(Recetas!$G$5:$G$1000,Recetas!$A$5:$A$1000,A54))</f>
        <v/>
      </c>
      <c r="E54" s="17" t="str">
        <f aca="false">IF(OR(A54="",B54="",B54=0),"",D54/B54)</f>
        <v/>
      </c>
      <c r="F54" s="30" t="str">
        <f aca="false">IF(OR(E54="",C54&lt;&gt;"g"),"",E54*1000)</f>
        <v/>
      </c>
      <c r="G54" s="31" t="str">
        <f aca="false">IF(A54="","",COUNTIFS(Recetas!$A$5:$A$1000,A54))</f>
        <v/>
      </c>
      <c r="H54" s="20" t="str">
        <f aca="false">IF(A54="","",IF(G54=0,"Sin ingredientes en Recetas",IF(OR(B54="",B54=0),"Falta rendimiento",IF(COUNTIFS(Recetas!$A$5:$A$1000,A54,Recetas!$H$5:$H$1000,"&lt;&gt;OK")&gt;0,"Revisar: "&amp;COUNTIFS(Recetas!$A$5:$A$1000,A54,Recetas!$H$5:$H$1000,"&lt;&gt;OK")&amp;" ingrediente(s) con aviso","OK"))))</f>
        <v/>
      </c>
    </row>
    <row r="55" customFormat="false" ht="15" hidden="false" customHeight="false" outlineLevel="0" collapsed="false">
      <c r="A55" s="15"/>
      <c r="B55" s="27"/>
      <c r="C55" s="15"/>
      <c r="D55" s="29" t="str">
        <f aca="false">IF(A55="","",SUMIFS(Recetas!$G$5:$G$1000,Recetas!$A$5:$A$1000,A55))</f>
        <v/>
      </c>
      <c r="E55" s="17" t="str">
        <f aca="false">IF(OR(A55="",B55="",B55=0),"",D55/B55)</f>
        <v/>
      </c>
      <c r="F55" s="30" t="str">
        <f aca="false">IF(OR(E55="",C55&lt;&gt;"g"),"",E55*1000)</f>
        <v/>
      </c>
      <c r="G55" s="31" t="str">
        <f aca="false">IF(A55="","",COUNTIFS(Recetas!$A$5:$A$1000,A55))</f>
        <v/>
      </c>
      <c r="H55" s="20" t="str">
        <f aca="false">IF(A55="","",IF(G55=0,"Sin ingredientes en Recetas",IF(OR(B55="",B55=0),"Falta rendimiento",IF(COUNTIFS(Recetas!$A$5:$A$1000,A55,Recetas!$H$5:$H$1000,"&lt;&gt;OK")&gt;0,"Revisar: "&amp;COUNTIFS(Recetas!$A$5:$A$1000,A55,Recetas!$H$5:$H$1000,"&lt;&gt;OK")&amp;" ingrediente(s) con aviso","OK"))))</f>
        <v/>
      </c>
    </row>
    <row r="56" customFormat="false" ht="15" hidden="false" customHeight="false" outlineLevel="0" collapsed="false">
      <c r="A56" s="15"/>
      <c r="B56" s="27"/>
      <c r="C56" s="15"/>
      <c r="D56" s="29" t="str">
        <f aca="false">IF(A56="","",SUMIFS(Recetas!$G$5:$G$1000,Recetas!$A$5:$A$1000,A56))</f>
        <v/>
      </c>
      <c r="E56" s="17" t="str">
        <f aca="false">IF(OR(A56="",B56="",B56=0),"",D56/B56)</f>
        <v/>
      </c>
      <c r="F56" s="30" t="str">
        <f aca="false">IF(OR(E56="",C56&lt;&gt;"g"),"",E56*1000)</f>
        <v/>
      </c>
      <c r="G56" s="31" t="str">
        <f aca="false">IF(A56="","",COUNTIFS(Recetas!$A$5:$A$1000,A56))</f>
        <v/>
      </c>
      <c r="H56" s="20" t="str">
        <f aca="false">IF(A56="","",IF(G56=0,"Sin ingredientes en Recetas",IF(OR(B56="",B56=0),"Falta rendimiento",IF(COUNTIFS(Recetas!$A$5:$A$1000,A56,Recetas!$H$5:$H$1000,"&lt;&gt;OK")&gt;0,"Revisar: "&amp;COUNTIFS(Recetas!$A$5:$A$1000,A56,Recetas!$H$5:$H$1000,"&lt;&gt;OK")&amp;" ingrediente(s) con aviso","OK"))))</f>
        <v/>
      </c>
    </row>
    <row r="57" customFormat="false" ht="15" hidden="false" customHeight="false" outlineLevel="0" collapsed="false">
      <c r="A57" s="15"/>
      <c r="B57" s="27"/>
      <c r="C57" s="15"/>
      <c r="D57" s="29" t="str">
        <f aca="false">IF(A57="","",SUMIFS(Recetas!$G$5:$G$1000,Recetas!$A$5:$A$1000,A57))</f>
        <v/>
      </c>
      <c r="E57" s="17" t="str">
        <f aca="false">IF(OR(A57="",B57="",B57=0),"",D57/B57)</f>
        <v/>
      </c>
      <c r="F57" s="30" t="str">
        <f aca="false">IF(OR(E57="",C57&lt;&gt;"g"),"",E57*1000)</f>
        <v/>
      </c>
      <c r="G57" s="31" t="str">
        <f aca="false">IF(A57="","",COUNTIFS(Recetas!$A$5:$A$1000,A57))</f>
        <v/>
      </c>
      <c r="H57" s="20" t="str">
        <f aca="false">IF(A57="","",IF(G57=0,"Sin ingredientes en Recetas",IF(OR(B57="",B57=0),"Falta rendimiento",IF(COUNTIFS(Recetas!$A$5:$A$1000,A57,Recetas!$H$5:$H$1000,"&lt;&gt;OK")&gt;0,"Revisar: "&amp;COUNTIFS(Recetas!$A$5:$A$1000,A57,Recetas!$H$5:$H$1000,"&lt;&gt;OK")&amp;" ingrediente(s) con aviso","OK"))))</f>
        <v/>
      </c>
    </row>
    <row r="58" customFormat="false" ht="15" hidden="false" customHeight="false" outlineLevel="0" collapsed="false">
      <c r="A58" s="15"/>
      <c r="B58" s="27"/>
      <c r="C58" s="15"/>
      <c r="D58" s="29" t="str">
        <f aca="false">IF(A58="","",SUMIFS(Recetas!$G$5:$G$1000,Recetas!$A$5:$A$1000,A58))</f>
        <v/>
      </c>
      <c r="E58" s="17" t="str">
        <f aca="false">IF(OR(A58="",B58="",B58=0),"",D58/B58)</f>
        <v/>
      </c>
      <c r="F58" s="30" t="str">
        <f aca="false">IF(OR(E58="",C58&lt;&gt;"g"),"",E58*1000)</f>
        <v/>
      </c>
      <c r="G58" s="31" t="str">
        <f aca="false">IF(A58="","",COUNTIFS(Recetas!$A$5:$A$1000,A58))</f>
        <v/>
      </c>
      <c r="H58" s="20" t="str">
        <f aca="false">IF(A58="","",IF(G58=0,"Sin ingredientes en Recetas",IF(OR(B58="",B58=0),"Falta rendimiento",IF(COUNTIFS(Recetas!$A$5:$A$1000,A58,Recetas!$H$5:$H$1000,"&lt;&gt;OK")&gt;0,"Revisar: "&amp;COUNTIFS(Recetas!$A$5:$A$1000,A58,Recetas!$H$5:$H$1000,"&lt;&gt;OK")&amp;" ingrediente(s) con aviso","OK"))))</f>
        <v/>
      </c>
    </row>
    <row r="59" customFormat="false" ht="15" hidden="false" customHeight="false" outlineLevel="0" collapsed="false">
      <c r="A59" s="15"/>
      <c r="B59" s="27"/>
      <c r="C59" s="15"/>
      <c r="D59" s="29" t="str">
        <f aca="false">IF(A59="","",SUMIFS(Recetas!$G$5:$G$1000,Recetas!$A$5:$A$1000,A59))</f>
        <v/>
      </c>
      <c r="E59" s="17" t="str">
        <f aca="false">IF(OR(A59="",B59="",B59=0),"",D59/B59)</f>
        <v/>
      </c>
      <c r="F59" s="30" t="str">
        <f aca="false">IF(OR(E59="",C59&lt;&gt;"g"),"",E59*1000)</f>
        <v/>
      </c>
      <c r="G59" s="31" t="str">
        <f aca="false">IF(A59="","",COUNTIFS(Recetas!$A$5:$A$1000,A59))</f>
        <v/>
      </c>
      <c r="H59" s="20" t="str">
        <f aca="false">IF(A59="","",IF(G59=0,"Sin ingredientes en Recetas",IF(OR(B59="",B59=0),"Falta rendimiento",IF(COUNTIFS(Recetas!$A$5:$A$1000,A59,Recetas!$H$5:$H$1000,"&lt;&gt;OK")&gt;0,"Revisar: "&amp;COUNTIFS(Recetas!$A$5:$A$1000,A59,Recetas!$H$5:$H$1000,"&lt;&gt;OK")&amp;" ingrediente(s) con aviso","OK"))))</f>
        <v/>
      </c>
    </row>
    <row r="60" customFormat="false" ht="15" hidden="false" customHeight="false" outlineLevel="0" collapsed="false">
      <c r="A60" s="15"/>
      <c r="B60" s="27"/>
      <c r="C60" s="15"/>
      <c r="D60" s="29" t="str">
        <f aca="false">IF(A60="","",SUMIFS(Recetas!$G$5:$G$1000,Recetas!$A$5:$A$1000,A60))</f>
        <v/>
      </c>
      <c r="E60" s="17" t="str">
        <f aca="false">IF(OR(A60="",B60="",B60=0),"",D60/B60)</f>
        <v/>
      </c>
      <c r="F60" s="30" t="str">
        <f aca="false">IF(OR(E60="",C60&lt;&gt;"g"),"",E60*1000)</f>
        <v/>
      </c>
      <c r="G60" s="31" t="str">
        <f aca="false">IF(A60="","",COUNTIFS(Recetas!$A$5:$A$1000,A60))</f>
        <v/>
      </c>
      <c r="H60" s="20" t="str">
        <f aca="false">IF(A60="","",IF(G60=0,"Sin ingredientes en Recetas",IF(OR(B60="",B60=0),"Falta rendimiento",IF(COUNTIFS(Recetas!$A$5:$A$1000,A60,Recetas!$H$5:$H$1000,"&lt;&gt;OK")&gt;0,"Revisar: "&amp;COUNTIFS(Recetas!$A$5:$A$1000,A60,Recetas!$H$5:$H$1000,"&lt;&gt;OK")&amp;" ingrediente(s) con aviso","OK"))))</f>
        <v/>
      </c>
    </row>
    <row r="61" customFormat="false" ht="15" hidden="false" customHeight="false" outlineLevel="0" collapsed="false">
      <c r="A61" s="15"/>
      <c r="B61" s="27"/>
      <c r="C61" s="15"/>
      <c r="D61" s="29" t="str">
        <f aca="false">IF(A61="","",SUMIFS(Recetas!$G$5:$G$1000,Recetas!$A$5:$A$1000,A61))</f>
        <v/>
      </c>
      <c r="E61" s="17" t="str">
        <f aca="false">IF(OR(A61="",B61="",B61=0),"",D61/B61)</f>
        <v/>
      </c>
      <c r="F61" s="30" t="str">
        <f aca="false">IF(OR(E61="",C61&lt;&gt;"g"),"",E61*1000)</f>
        <v/>
      </c>
      <c r="G61" s="31" t="str">
        <f aca="false">IF(A61="","",COUNTIFS(Recetas!$A$5:$A$1000,A61))</f>
        <v/>
      </c>
      <c r="H61" s="20" t="str">
        <f aca="false">IF(A61="","",IF(G61=0,"Sin ingredientes en Recetas",IF(OR(B61="",B61=0),"Falta rendimiento",IF(COUNTIFS(Recetas!$A$5:$A$1000,A61,Recetas!$H$5:$H$1000,"&lt;&gt;OK")&gt;0,"Revisar: "&amp;COUNTIFS(Recetas!$A$5:$A$1000,A61,Recetas!$H$5:$H$1000,"&lt;&gt;OK")&amp;" ingrediente(s) con aviso","OK"))))</f>
        <v/>
      </c>
    </row>
    <row r="62" customFormat="false" ht="15" hidden="false" customHeight="false" outlineLevel="0" collapsed="false">
      <c r="A62" s="15"/>
      <c r="B62" s="27"/>
      <c r="C62" s="15"/>
      <c r="D62" s="29" t="str">
        <f aca="false">IF(A62="","",SUMIFS(Recetas!$G$5:$G$1000,Recetas!$A$5:$A$1000,A62))</f>
        <v/>
      </c>
      <c r="E62" s="17" t="str">
        <f aca="false">IF(OR(A62="",B62="",B62=0),"",D62/B62)</f>
        <v/>
      </c>
      <c r="F62" s="30" t="str">
        <f aca="false">IF(OR(E62="",C62&lt;&gt;"g"),"",E62*1000)</f>
        <v/>
      </c>
      <c r="G62" s="31" t="str">
        <f aca="false">IF(A62="","",COUNTIFS(Recetas!$A$5:$A$1000,A62))</f>
        <v/>
      </c>
      <c r="H62" s="20" t="str">
        <f aca="false">IF(A62="","",IF(G62=0,"Sin ingredientes en Recetas",IF(OR(B62="",B62=0),"Falta rendimiento",IF(COUNTIFS(Recetas!$A$5:$A$1000,A62,Recetas!$H$5:$H$1000,"&lt;&gt;OK")&gt;0,"Revisar: "&amp;COUNTIFS(Recetas!$A$5:$A$1000,A62,Recetas!$H$5:$H$1000,"&lt;&gt;OK")&amp;" ingrediente(s) con aviso","OK"))))</f>
        <v/>
      </c>
    </row>
    <row r="63" customFormat="false" ht="15" hidden="false" customHeight="false" outlineLevel="0" collapsed="false">
      <c r="A63" s="15"/>
      <c r="B63" s="27"/>
      <c r="C63" s="15"/>
      <c r="D63" s="29" t="str">
        <f aca="false">IF(A63="","",SUMIFS(Recetas!$G$5:$G$1000,Recetas!$A$5:$A$1000,A63))</f>
        <v/>
      </c>
      <c r="E63" s="17" t="str">
        <f aca="false">IF(OR(A63="",B63="",B63=0),"",D63/B63)</f>
        <v/>
      </c>
      <c r="F63" s="30" t="str">
        <f aca="false">IF(OR(E63="",C63&lt;&gt;"g"),"",E63*1000)</f>
        <v/>
      </c>
      <c r="G63" s="31" t="str">
        <f aca="false">IF(A63="","",COUNTIFS(Recetas!$A$5:$A$1000,A63))</f>
        <v/>
      </c>
      <c r="H63" s="20" t="str">
        <f aca="false">IF(A63="","",IF(G63=0,"Sin ingredientes en Recetas",IF(OR(B63="",B63=0),"Falta rendimiento",IF(COUNTIFS(Recetas!$A$5:$A$1000,A63,Recetas!$H$5:$H$1000,"&lt;&gt;OK")&gt;0,"Revisar: "&amp;COUNTIFS(Recetas!$A$5:$A$1000,A63,Recetas!$H$5:$H$1000,"&lt;&gt;OK")&amp;" ingrediente(s) con aviso","OK"))))</f>
        <v/>
      </c>
    </row>
    <row r="64" customFormat="false" ht="15" hidden="false" customHeight="false" outlineLevel="0" collapsed="false">
      <c r="A64" s="15"/>
      <c r="B64" s="27"/>
      <c r="C64" s="15"/>
      <c r="D64" s="29" t="str">
        <f aca="false">IF(A64="","",SUMIFS(Recetas!$G$5:$G$1000,Recetas!$A$5:$A$1000,A64))</f>
        <v/>
      </c>
      <c r="E64" s="17" t="str">
        <f aca="false">IF(OR(A64="",B64="",B64=0),"",D64/B64)</f>
        <v/>
      </c>
      <c r="F64" s="30" t="str">
        <f aca="false">IF(OR(E64="",C64&lt;&gt;"g"),"",E64*1000)</f>
        <v/>
      </c>
      <c r="G64" s="31" t="str">
        <f aca="false">IF(A64="","",COUNTIFS(Recetas!$A$5:$A$1000,A64))</f>
        <v/>
      </c>
      <c r="H64" s="20" t="str">
        <f aca="false">IF(A64="","",IF(G64=0,"Sin ingredientes en Recetas",IF(OR(B64="",B64=0),"Falta rendimiento",IF(COUNTIFS(Recetas!$A$5:$A$1000,A64,Recetas!$H$5:$H$1000,"&lt;&gt;OK")&gt;0,"Revisar: "&amp;COUNTIFS(Recetas!$A$5:$A$1000,A64,Recetas!$H$5:$H$1000,"&lt;&gt;OK")&amp;" ingrediente(s) con aviso","OK"))))</f>
        <v/>
      </c>
    </row>
    <row r="65" customFormat="false" ht="15" hidden="false" customHeight="false" outlineLevel="0" collapsed="false">
      <c r="A65" s="15"/>
      <c r="B65" s="27"/>
      <c r="C65" s="15"/>
      <c r="D65" s="29" t="str">
        <f aca="false">IF(A65="","",SUMIFS(Recetas!$G$5:$G$1000,Recetas!$A$5:$A$1000,A65))</f>
        <v/>
      </c>
      <c r="E65" s="17" t="str">
        <f aca="false">IF(OR(A65="",B65="",B65=0),"",D65/B65)</f>
        <v/>
      </c>
      <c r="F65" s="30" t="str">
        <f aca="false">IF(OR(E65="",C65&lt;&gt;"g"),"",E65*1000)</f>
        <v/>
      </c>
      <c r="G65" s="31" t="str">
        <f aca="false">IF(A65="","",COUNTIFS(Recetas!$A$5:$A$1000,A65))</f>
        <v/>
      </c>
      <c r="H65" s="20" t="str">
        <f aca="false">IF(A65="","",IF(G65=0,"Sin ingredientes en Recetas",IF(OR(B65="",B65=0),"Falta rendimiento",IF(COUNTIFS(Recetas!$A$5:$A$1000,A65,Recetas!$H$5:$H$1000,"&lt;&gt;OK")&gt;0,"Revisar: "&amp;COUNTIFS(Recetas!$A$5:$A$1000,A65,Recetas!$H$5:$H$1000,"&lt;&gt;OK")&amp;" ingrediente(s) con aviso","OK"))))</f>
        <v/>
      </c>
    </row>
    <row r="66" customFormat="false" ht="15" hidden="false" customHeight="false" outlineLevel="0" collapsed="false">
      <c r="A66" s="15"/>
      <c r="B66" s="27"/>
      <c r="C66" s="15"/>
      <c r="D66" s="29" t="str">
        <f aca="false">IF(A66="","",SUMIFS(Recetas!$G$5:$G$1000,Recetas!$A$5:$A$1000,A66))</f>
        <v/>
      </c>
      <c r="E66" s="17" t="str">
        <f aca="false">IF(OR(A66="",B66="",B66=0),"",D66/B66)</f>
        <v/>
      </c>
      <c r="F66" s="30" t="str">
        <f aca="false">IF(OR(E66="",C66&lt;&gt;"g"),"",E66*1000)</f>
        <v/>
      </c>
      <c r="G66" s="31" t="str">
        <f aca="false">IF(A66="","",COUNTIFS(Recetas!$A$5:$A$1000,A66))</f>
        <v/>
      </c>
      <c r="H66" s="20" t="str">
        <f aca="false">IF(A66="","",IF(G66=0,"Sin ingredientes en Recetas",IF(OR(B66="",B66=0),"Falta rendimiento",IF(COUNTIFS(Recetas!$A$5:$A$1000,A66,Recetas!$H$5:$H$1000,"&lt;&gt;OK")&gt;0,"Revisar: "&amp;COUNTIFS(Recetas!$A$5:$A$1000,A66,Recetas!$H$5:$H$1000,"&lt;&gt;OK")&amp;" ingrediente(s) con aviso","OK"))))</f>
        <v/>
      </c>
    </row>
    <row r="67" customFormat="false" ht="15" hidden="false" customHeight="false" outlineLevel="0" collapsed="false">
      <c r="A67" s="15"/>
      <c r="B67" s="27"/>
      <c r="C67" s="15"/>
      <c r="D67" s="29" t="str">
        <f aca="false">IF(A67="","",SUMIFS(Recetas!$G$5:$G$1000,Recetas!$A$5:$A$1000,A67))</f>
        <v/>
      </c>
      <c r="E67" s="17" t="str">
        <f aca="false">IF(OR(A67="",B67="",B67=0),"",D67/B67)</f>
        <v/>
      </c>
      <c r="F67" s="30" t="str">
        <f aca="false">IF(OR(E67="",C67&lt;&gt;"g"),"",E67*1000)</f>
        <v/>
      </c>
      <c r="G67" s="31" t="str">
        <f aca="false">IF(A67="","",COUNTIFS(Recetas!$A$5:$A$1000,A67))</f>
        <v/>
      </c>
      <c r="H67" s="20" t="str">
        <f aca="false">IF(A67="","",IF(G67=0,"Sin ingredientes en Recetas",IF(OR(B67="",B67=0),"Falta rendimiento",IF(COUNTIFS(Recetas!$A$5:$A$1000,A67,Recetas!$H$5:$H$1000,"&lt;&gt;OK")&gt;0,"Revisar: "&amp;COUNTIFS(Recetas!$A$5:$A$1000,A67,Recetas!$H$5:$H$1000,"&lt;&gt;OK")&amp;" ingrediente(s) con aviso","OK"))))</f>
        <v/>
      </c>
    </row>
    <row r="68" customFormat="false" ht="15" hidden="false" customHeight="false" outlineLevel="0" collapsed="false">
      <c r="A68" s="15"/>
      <c r="B68" s="27"/>
      <c r="C68" s="15"/>
      <c r="D68" s="29" t="str">
        <f aca="false">IF(A68="","",SUMIFS(Recetas!$G$5:$G$1000,Recetas!$A$5:$A$1000,A68))</f>
        <v/>
      </c>
      <c r="E68" s="17" t="str">
        <f aca="false">IF(OR(A68="",B68="",B68=0),"",D68/B68)</f>
        <v/>
      </c>
      <c r="F68" s="30" t="str">
        <f aca="false">IF(OR(E68="",C68&lt;&gt;"g"),"",E68*1000)</f>
        <v/>
      </c>
      <c r="G68" s="31" t="str">
        <f aca="false">IF(A68="","",COUNTIFS(Recetas!$A$5:$A$1000,A68))</f>
        <v/>
      </c>
      <c r="H68" s="20" t="str">
        <f aca="false">IF(A68="","",IF(G68=0,"Sin ingredientes en Recetas",IF(OR(B68="",B68=0),"Falta rendimiento",IF(COUNTIFS(Recetas!$A$5:$A$1000,A68,Recetas!$H$5:$H$1000,"&lt;&gt;OK")&gt;0,"Revisar: "&amp;COUNTIFS(Recetas!$A$5:$A$1000,A68,Recetas!$H$5:$H$1000,"&lt;&gt;OK")&amp;" ingrediente(s) con aviso","OK"))))</f>
        <v/>
      </c>
    </row>
    <row r="69" customFormat="false" ht="15" hidden="false" customHeight="false" outlineLevel="0" collapsed="false">
      <c r="A69" s="15"/>
      <c r="B69" s="27"/>
      <c r="C69" s="15"/>
      <c r="D69" s="29" t="str">
        <f aca="false">IF(A69="","",SUMIFS(Recetas!$G$5:$G$1000,Recetas!$A$5:$A$1000,A69))</f>
        <v/>
      </c>
      <c r="E69" s="17" t="str">
        <f aca="false">IF(OR(A69="",B69="",B69=0),"",D69/B69)</f>
        <v/>
      </c>
      <c r="F69" s="30" t="str">
        <f aca="false">IF(OR(E69="",C69&lt;&gt;"g"),"",E69*1000)</f>
        <v/>
      </c>
      <c r="G69" s="31" t="str">
        <f aca="false">IF(A69="","",COUNTIFS(Recetas!$A$5:$A$1000,A69))</f>
        <v/>
      </c>
      <c r="H69" s="20" t="str">
        <f aca="false">IF(A69="","",IF(G69=0,"Sin ingredientes en Recetas",IF(OR(B69="",B69=0),"Falta rendimiento",IF(COUNTIFS(Recetas!$A$5:$A$1000,A69,Recetas!$H$5:$H$1000,"&lt;&gt;OK")&gt;0,"Revisar: "&amp;COUNTIFS(Recetas!$A$5:$A$1000,A69,Recetas!$H$5:$H$1000,"&lt;&gt;OK")&amp;" ingrediente(s) con aviso","OK"))))</f>
        <v/>
      </c>
    </row>
    <row r="70" customFormat="false" ht="15" hidden="false" customHeight="false" outlineLevel="0" collapsed="false">
      <c r="A70" s="15"/>
      <c r="B70" s="27"/>
      <c r="C70" s="15"/>
      <c r="D70" s="29" t="str">
        <f aca="false">IF(A70="","",SUMIFS(Recetas!$G$5:$G$1000,Recetas!$A$5:$A$1000,A70))</f>
        <v/>
      </c>
      <c r="E70" s="17" t="str">
        <f aca="false">IF(OR(A70="",B70="",B70=0),"",D70/B70)</f>
        <v/>
      </c>
      <c r="F70" s="30" t="str">
        <f aca="false">IF(OR(E70="",C70&lt;&gt;"g"),"",E70*1000)</f>
        <v/>
      </c>
      <c r="G70" s="31" t="str">
        <f aca="false">IF(A70="","",COUNTIFS(Recetas!$A$5:$A$1000,A70))</f>
        <v/>
      </c>
      <c r="H70" s="20" t="str">
        <f aca="false">IF(A70="","",IF(G70=0,"Sin ingredientes en Recetas",IF(OR(B70="",B70=0),"Falta rendimiento",IF(COUNTIFS(Recetas!$A$5:$A$1000,A70,Recetas!$H$5:$H$1000,"&lt;&gt;OK")&gt;0,"Revisar: "&amp;COUNTIFS(Recetas!$A$5:$A$1000,A70,Recetas!$H$5:$H$1000,"&lt;&gt;OK")&amp;" ingrediente(s) con aviso","OK"))))</f>
        <v/>
      </c>
    </row>
    <row r="71" customFormat="false" ht="15" hidden="false" customHeight="false" outlineLevel="0" collapsed="false">
      <c r="A71" s="15"/>
      <c r="B71" s="27"/>
      <c r="C71" s="15"/>
      <c r="D71" s="29" t="str">
        <f aca="false">IF(A71="","",SUMIFS(Recetas!$G$5:$G$1000,Recetas!$A$5:$A$1000,A71))</f>
        <v/>
      </c>
      <c r="E71" s="17" t="str">
        <f aca="false">IF(OR(A71="",B71="",B71=0),"",D71/B71)</f>
        <v/>
      </c>
      <c r="F71" s="30" t="str">
        <f aca="false">IF(OR(E71="",C71&lt;&gt;"g"),"",E71*1000)</f>
        <v/>
      </c>
      <c r="G71" s="31" t="str">
        <f aca="false">IF(A71="","",COUNTIFS(Recetas!$A$5:$A$1000,A71))</f>
        <v/>
      </c>
      <c r="H71" s="20" t="str">
        <f aca="false">IF(A71="","",IF(G71=0,"Sin ingredientes en Recetas",IF(OR(B71="",B71=0),"Falta rendimiento",IF(COUNTIFS(Recetas!$A$5:$A$1000,A71,Recetas!$H$5:$H$1000,"&lt;&gt;OK")&gt;0,"Revisar: "&amp;COUNTIFS(Recetas!$A$5:$A$1000,A71,Recetas!$H$5:$H$1000,"&lt;&gt;OK")&amp;" ingrediente(s) con aviso","OK"))))</f>
        <v/>
      </c>
    </row>
    <row r="72" customFormat="false" ht="15" hidden="false" customHeight="false" outlineLevel="0" collapsed="false">
      <c r="A72" s="15"/>
      <c r="B72" s="27"/>
      <c r="C72" s="15"/>
      <c r="D72" s="29" t="str">
        <f aca="false">IF(A72="","",SUMIFS(Recetas!$G$5:$G$1000,Recetas!$A$5:$A$1000,A72))</f>
        <v/>
      </c>
      <c r="E72" s="17" t="str">
        <f aca="false">IF(OR(A72="",B72="",B72=0),"",D72/B72)</f>
        <v/>
      </c>
      <c r="F72" s="30" t="str">
        <f aca="false">IF(OR(E72="",C72&lt;&gt;"g"),"",E72*1000)</f>
        <v/>
      </c>
      <c r="G72" s="31" t="str">
        <f aca="false">IF(A72="","",COUNTIFS(Recetas!$A$5:$A$1000,A72))</f>
        <v/>
      </c>
      <c r="H72" s="20" t="str">
        <f aca="false">IF(A72="","",IF(G72=0,"Sin ingredientes en Recetas",IF(OR(B72="",B72=0),"Falta rendimiento",IF(COUNTIFS(Recetas!$A$5:$A$1000,A72,Recetas!$H$5:$H$1000,"&lt;&gt;OK")&gt;0,"Revisar: "&amp;COUNTIFS(Recetas!$A$5:$A$1000,A72,Recetas!$H$5:$H$1000,"&lt;&gt;OK")&amp;" ingrediente(s) con aviso","OK"))))</f>
        <v/>
      </c>
    </row>
    <row r="73" customFormat="false" ht="15" hidden="false" customHeight="false" outlineLevel="0" collapsed="false">
      <c r="A73" s="15"/>
      <c r="B73" s="27"/>
      <c r="C73" s="15"/>
      <c r="D73" s="29" t="str">
        <f aca="false">IF(A73="","",SUMIFS(Recetas!$G$5:$G$1000,Recetas!$A$5:$A$1000,A73))</f>
        <v/>
      </c>
      <c r="E73" s="17" t="str">
        <f aca="false">IF(OR(A73="",B73="",B73=0),"",D73/B73)</f>
        <v/>
      </c>
      <c r="F73" s="30" t="str">
        <f aca="false">IF(OR(E73="",C73&lt;&gt;"g"),"",E73*1000)</f>
        <v/>
      </c>
      <c r="G73" s="31" t="str">
        <f aca="false">IF(A73="","",COUNTIFS(Recetas!$A$5:$A$1000,A73))</f>
        <v/>
      </c>
      <c r="H73" s="20" t="str">
        <f aca="false">IF(A73="","",IF(G73=0,"Sin ingredientes en Recetas",IF(OR(B73="",B73=0),"Falta rendimiento",IF(COUNTIFS(Recetas!$A$5:$A$1000,A73,Recetas!$H$5:$H$1000,"&lt;&gt;OK")&gt;0,"Revisar: "&amp;COUNTIFS(Recetas!$A$5:$A$1000,A73,Recetas!$H$5:$H$1000,"&lt;&gt;OK")&amp;" ingrediente(s) con aviso","OK"))))</f>
        <v/>
      </c>
    </row>
    <row r="74" customFormat="false" ht="15" hidden="false" customHeight="false" outlineLevel="0" collapsed="false">
      <c r="A74" s="15"/>
      <c r="B74" s="27"/>
      <c r="C74" s="15"/>
      <c r="D74" s="29" t="str">
        <f aca="false">IF(A74="","",SUMIFS(Recetas!$G$5:$G$1000,Recetas!$A$5:$A$1000,A74))</f>
        <v/>
      </c>
      <c r="E74" s="17" t="str">
        <f aca="false">IF(OR(A74="",B74="",B74=0),"",D74/B74)</f>
        <v/>
      </c>
      <c r="F74" s="30" t="str">
        <f aca="false">IF(OR(E74="",C74&lt;&gt;"g"),"",E74*1000)</f>
        <v/>
      </c>
      <c r="G74" s="31" t="str">
        <f aca="false">IF(A74="","",COUNTIFS(Recetas!$A$5:$A$1000,A74))</f>
        <v/>
      </c>
      <c r="H74" s="20" t="str">
        <f aca="false">IF(A74="","",IF(G74=0,"Sin ingredientes en Recetas",IF(OR(B74="",B74=0),"Falta rendimiento",IF(COUNTIFS(Recetas!$A$5:$A$1000,A74,Recetas!$H$5:$H$1000,"&lt;&gt;OK")&gt;0,"Revisar: "&amp;COUNTIFS(Recetas!$A$5:$A$1000,A74,Recetas!$H$5:$H$1000,"&lt;&gt;OK")&amp;" ingrediente(s) con aviso","OK"))))</f>
        <v/>
      </c>
    </row>
    <row r="75" customFormat="false" ht="15" hidden="false" customHeight="false" outlineLevel="0" collapsed="false">
      <c r="A75" s="15"/>
      <c r="B75" s="27"/>
      <c r="C75" s="15"/>
      <c r="D75" s="29" t="str">
        <f aca="false">IF(A75="","",SUMIFS(Recetas!$G$5:$G$1000,Recetas!$A$5:$A$1000,A75))</f>
        <v/>
      </c>
      <c r="E75" s="17" t="str">
        <f aca="false">IF(OR(A75="",B75="",B75=0),"",D75/B75)</f>
        <v/>
      </c>
      <c r="F75" s="30" t="str">
        <f aca="false">IF(OR(E75="",C75&lt;&gt;"g"),"",E75*1000)</f>
        <v/>
      </c>
      <c r="G75" s="31" t="str">
        <f aca="false">IF(A75="","",COUNTIFS(Recetas!$A$5:$A$1000,A75))</f>
        <v/>
      </c>
      <c r="H75" s="20" t="str">
        <f aca="false">IF(A75="","",IF(G75=0,"Sin ingredientes en Recetas",IF(OR(B75="",B75=0),"Falta rendimiento",IF(COUNTIFS(Recetas!$A$5:$A$1000,A75,Recetas!$H$5:$H$1000,"&lt;&gt;OK")&gt;0,"Revisar: "&amp;COUNTIFS(Recetas!$A$5:$A$1000,A75,Recetas!$H$5:$H$1000,"&lt;&gt;OK")&amp;" ingrediente(s) con aviso","OK"))))</f>
        <v/>
      </c>
    </row>
    <row r="76" customFormat="false" ht="15" hidden="false" customHeight="false" outlineLevel="0" collapsed="false">
      <c r="A76" s="15"/>
      <c r="B76" s="27"/>
      <c r="C76" s="15"/>
      <c r="D76" s="29" t="str">
        <f aca="false">IF(A76="","",SUMIFS(Recetas!$G$5:$G$1000,Recetas!$A$5:$A$1000,A76))</f>
        <v/>
      </c>
      <c r="E76" s="17" t="str">
        <f aca="false">IF(OR(A76="",B76="",B76=0),"",D76/B76)</f>
        <v/>
      </c>
      <c r="F76" s="30" t="str">
        <f aca="false">IF(OR(E76="",C76&lt;&gt;"g"),"",E76*1000)</f>
        <v/>
      </c>
      <c r="G76" s="31" t="str">
        <f aca="false">IF(A76="","",COUNTIFS(Recetas!$A$5:$A$1000,A76))</f>
        <v/>
      </c>
      <c r="H76" s="20" t="str">
        <f aca="false">IF(A76="","",IF(G76=0,"Sin ingredientes en Recetas",IF(OR(B76="",B76=0),"Falta rendimiento",IF(COUNTIFS(Recetas!$A$5:$A$1000,A76,Recetas!$H$5:$H$1000,"&lt;&gt;OK")&gt;0,"Revisar: "&amp;COUNTIFS(Recetas!$A$5:$A$1000,A76,Recetas!$H$5:$H$1000,"&lt;&gt;OK")&amp;" ingrediente(s) con aviso","OK"))))</f>
        <v/>
      </c>
    </row>
    <row r="77" customFormat="false" ht="15" hidden="false" customHeight="false" outlineLevel="0" collapsed="false">
      <c r="A77" s="15"/>
      <c r="B77" s="27"/>
      <c r="C77" s="15"/>
      <c r="D77" s="29" t="str">
        <f aca="false">IF(A77="","",SUMIFS(Recetas!$G$5:$G$1000,Recetas!$A$5:$A$1000,A77))</f>
        <v/>
      </c>
      <c r="E77" s="17" t="str">
        <f aca="false">IF(OR(A77="",B77="",B77=0),"",D77/B77)</f>
        <v/>
      </c>
      <c r="F77" s="30" t="str">
        <f aca="false">IF(OR(E77="",C77&lt;&gt;"g"),"",E77*1000)</f>
        <v/>
      </c>
      <c r="G77" s="31" t="str">
        <f aca="false">IF(A77="","",COUNTIFS(Recetas!$A$5:$A$1000,A77))</f>
        <v/>
      </c>
      <c r="H77" s="20" t="str">
        <f aca="false">IF(A77="","",IF(G77=0,"Sin ingredientes en Recetas",IF(OR(B77="",B77=0),"Falta rendimiento",IF(COUNTIFS(Recetas!$A$5:$A$1000,A77,Recetas!$H$5:$H$1000,"&lt;&gt;OK")&gt;0,"Revisar: "&amp;COUNTIFS(Recetas!$A$5:$A$1000,A77,Recetas!$H$5:$H$1000,"&lt;&gt;OK")&amp;" ingrediente(s) con aviso","OK"))))</f>
        <v/>
      </c>
    </row>
    <row r="78" customFormat="false" ht="15" hidden="false" customHeight="false" outlineLevel="0" collapsed="false">
      <c r="A78" s="15"/>
      <c r="B78" s="27"/>
      <c r="C78" s="15"/>
      <c r="D78" s="29" t="str">
        <f aca="false">IF(A78="","",SUMIFS(Recetas!$G$5:$G$1000,Recetas!$A$5:$A$1000,A78))</f>
        <v/>
      </c>
      <c r="E78" s="17" t="str">
        <f aca="false">IF(OR(A78="",B78="",B78=0),"",D78/B78)</f>
        <v/>
      </c>
      <c r="F78" s="30" t="str">
        <f aca="false">IF(OR(E78="",C78&lt;&gt;"g"),"",E78*1000)</f>
        <v/>
      </c>
      <c r="G78" s="31" t="str">
        <f aca="false">IF(A78="","",COUNTIFS(Recetas!$A$5:$A$1000,A78))</f>
        <v/>
      </c>
      <c r="H78" s="20" t="str">
        <f aca="false">IF(A78="","",IF(G78=0,"Sin ingredientes en Recetas",IF(OR(B78="",B78=0),"Falta rendimiento",IF(COUNTIFS(Recetas!$A$5:$A$1000,A78,Recetas!$H$5:$H$1000,"&lt;&gt;OK")&gt;0,"Revisar: "&amp;COUNTIFS(Recetas!$A$5:$A$1000,A78,Recetas!$H$5:$H$1000,"&lt;&gt;OK")&amp;" ingrediente(s) con aviso","OK"))))</f>
        <v/>
      </c>
    </row>
    <row r="79" customFormat="false" ht="15" hidden="false" customHeight="false" outlineLevel="0" collapsed="false">
      <c r="A79" s="15"/>
      <c r="B79" s="27"/>
      <c r="C79" s="15"/>
      <c r="D79" s="29" t="str">
        <f aca="false">IF(A79="","",SUMIFS(Recetas!$G$5:$G$1000,Recetas!$A$5:$A$1000,A79))</f>
        <v/>
      </c>
      <c r="E79" s="17" t="str">
        <f aca="false">IF(OR(A79="",B79="",B79=0),"",D79/B79)</f>
        <v/>
      </c>
      <c r="F79" s="30" t="str">
        <f aca="false">IF(OR(E79="",C79&lt;&gt;"g"),"",E79*1000)</f>
        <v/>
      </c>
      <c r="G79" s="31" t="str">
        <f aca="false">IF(A79="","",COUNTIFS(Recetas!$A$5:$A$1000,A79))</f>
        <v/>
      </c>
      <c r="H79" s="20" t="str">
        <f aca="false">IF(A79="","",IF(G79=0,"Sin ingredientes en Recetas",IF(OR(B79="",B79=0),"Falta rendimiento",IF(COUNTIFS(Recetas!$A$5:$A$1000,A79,Recetas!$H$5:$H$1000,"&lt;&gt;OK")&gt;0,"Revisar: "&amp;COUNTIFS(Recetas!$A$5:$A$1000,A79,Recetas!$H$5:$H$1000,"&lt;&gt;OK")&amp;" ingrediente(s) con aviso","OK"))))</f>
        <v/>
      </c>
    </row>
    <row r="80" customFormat="false" ht="15" hidden="false" customHeight="false" outlineLevel="0" collapsed="false">
      <c r="A80" s="15"/>
      <c r="B80" s="27"/>
      <c r="C80" s="15"/>
      <c r="D80" s="29" t="str">
        <f aca="false">IF(A80="","",SUMIFS(Recetas!$G$5:$G$1000,Recetas!$A$5:$A$1000,A80))</f>
        <v/>
      </c>
      <c r="E80" s="17" t="str">
        <f aca="false">IF(OR(A80="",B80="",B80=0),"",D80/B80)</f>
        <v/>
      </c>
      <c r="F80" s="30" t="str">
        <f aca="false">IF(OR(E80="",C80&lt;&gt;"g"),"",E80*1000)</f>
        <v/>
      </c>
      <c r="G80" s="31" t="str">
        <f aca="false">IF(A80="","",COUNTIFS(Recetas!$A$5:$A$1000,A80))</f>
        <v/>
      </c>
      <c r="H80" s="20" t="str">
        <f aca="false">IF(A80="","",IF(G80=0,"Sin ingredientes en Recetas",IF(OR(B80="",B80=0),"Falta rendimiento",IF(COUNTIFS(Recetas!$A$5:$A$1000,A80,Recetas!$H$5:$H$1000,"&lt;&gt;OK")&gt;0,"Revisar: "&amp;COUNTIFS(Recetas!$A$5:$A$1000,A80,Recetas!$H$5:$H$1000,"&lt;&gt;OK")&amp;" ingrediente(s) con aviso","OK"))))</f>
        <v/>
      </c>
    </row>
    <row r="81" customFormat="false" ht="15" hidden="false" customHeight="false" outlineLevel="0" collapsed="false">
      <c r="A81" s="15"/>
      <c r="B81" s="27"/>
      <c r="C81" s="15"/>
      <c r="D81" s="29" t="str">
        <f aca="false">IF(A81="","",SUMIFS(Recetas!$G$5:$G$1000,Recetas!$A$5:$A$1000,A81))</f>
        <v/>
      </c>
      <c r="E81" s="17" t="str">
        <f aca="false">IF(OR(A81="",B81="",B81=0),"",D81/B81)</f>
        <v/>
      </c>
      <c r="F81" s="30" t="str">
        <f aca="false">IF(OR(E81="",C81&lt;&gt;"g"),"",E81*1000)</f>
        <v/>
      </c>
      <c r="G81" s="31" t="str">
        <f aca="false">IF(A81="","",COUNTIFS(Recetas!$A$5:$A$1000,A81))</f>
        <v/>
      </c>
      <c r="H81" s="20" t="str">
        <f aca="false">IF(A81="","",IF(G81=0,"Sin ingredientes en Recetas",IF(OR(B81="",B81=0),"Falta rendimiento",IF(COUNTIFS(Recetas!$A$5:$A$1000,A81,Recetas!$H$5:$H$1000,"&lt;&gt;OK")&gt;0,"Revisar: "&amp;COUNTIFS(Recetas!$A$5:$A$1000,A81,Recetas!$H$5:$H$1000,"&lt;&gt;OK")&amp;" ingrediente(s) con aviso","OK"))))</f>
        <v/>
      </c>
    </row>
    <row r="82" customFormat="false" ht="15" hidden="false" customHeight="false" outlineLevel="0" collapsed="false">
      <c r="A82" s="15"/>
      <c r="B82" s="27"/>
      <c r="C82" s="15"/>
      <c r="D82" s="29" t="str">
        <f aca="false">IF(A82="","",SUMIFS(Recetas!$G$5:$G$1000,Recetas!$A$5:$A$1000,A82))</f>
        <v/>
      </c>
      <c r="E82" s="17" t="str">
        <f aca="false">IF(OR(A82="",B82="",B82=0),"",D82/B82)</f>
        <v/>
      </c>
      <c r="F82" s="30" t="str">
        <f aca="false">IF(OR(E82="",C82&lt;&gt;"g"),"",E82*1000)</f>
        <v/>
      </c>
      <c r="G82" s="31" t="str">
        <f aca="false">IF(A82="","",COUNTIFS(Recetas!$A$5:$A$1000,A82))</f>
        <v/>
      </c>
      <c r="H82" s="20" t="str">
        <f aca="false">IF(A82="","",IF(G82=0,"Sin ingredientes en Recetas",IF(OR(B82="",B82=0),"Falta rendimiento",IF(COUNTIFS(Recetas!$A$5:$A$1000,A82,Recetas!$H$5:$H$1000,"&lt;&gt;OK")&gt;0,"Revisar: "&amp;COUNTIFS(Recetas!$A$5:$A$1000,A82,Recetas!$H$5:$H$1000,"&lt;&gt;OK")&amp;" ingrediente(s) con aviso","OK"))))</f>
        <v/>
      </c>
    </row>
    <row r="83" customFormat="false" ht="15" hidden="false" customHeight="false" outlineLevel="0" collapsed="false">
      <c r="A83" s="15"/>
      <c r="B83" s="27"/>
      <c r="C83" s="15"/>
      <c r="D83" s="29" t="str">
        <f aca="false">IF(A83="","",SUMIFS(Recetas!$G$5:$G$1000,Recetas!$A$5:$A$1000,A83))</f>
        <v/>
      </c>
      <c r="E83" s="17" t="str">
        <f aca="false">IF(OR(A83="",B83="",B83=0),"",D83/B83)</f>
        <v/>
      </c>
      <c r="F83" s="30" t="str">
        <f aca="false">IF(OR(E83="",C83&lt;&gt;"g"),"",E83*1000)</f>
        <v/>
      </c>
      <c r="G83" s="31" t="str">
        <f aca="false">IF(A83="","",COUNTIFS(Recetas!$A$5:$A$1000,A83))</f>
        <v/>
      </c>
      <c r="H83" s="20" t="str">
        <f aca="false">IF(A83="","",IF(G83=0,"Sin ingredientes en Recetas",IF(OR(B83="",B83=0),"Falta rendimiento",IF(COUNTIFS(Recetas!$A$5:$A$1000,A83,Recetas!$H$5:$H$1000,"&lt;&gt;OK")&gt;0,"Revisar: "&amp;COUNTIFS(Recetas!$A$5:$A$1000,A83,Recetas!$H$5:$H$1000,"&lt;&gt;OK")&amp;" ingrediente(s) con aviso","OK"))))</f>
        <v/>
      </c>
    </row>
    <row r="84" customFormat="false" ht="15" hidden="false" customHeight="false" outlineLevel="0" collapsed="false">
      <c r="A84" s="15"/>
      <c r="B84" s="27"/>
      <c r="C84" s="15"/>
      <c r="D84" s="29" t="str">
        <f aca="false">IF(A84="","",SUMIFS(Recetas!$G$5:$G$1000,Recetas!$A$5:$A$1000,A84))</f>
        <v/>
      </c>
      <c r="E84" s="17" t="str">
        <f aca="false">IF(OR(A84="",B84="",B84=0),"",D84/B84)</f>
        <v/>
      </c>
      <c r="F84" s="30" t="str">
        <f aca="false">IF(OR(E84="",C84&lt;&gt;"g"),"",E84*1000)</f>
        <v/>
      </c>
      <c r="G84" s="31" t="str">
        <f aca="false">IF(A84="","",COUNTIFS(Recetas!$A$5:$A$1000,A84))</f>
        <v/>
      </c>
      <c r="H84" s="20" t="str">
        <f aca="false">IF(A84="","",IF(G84=0,"Sin ingredientes en Recetas",IF(OR(B84="",B84=0),"Falta rendimiento",IF(COUNTIFS(Recetas!$A$5:$A$1000,A84,Recetas!$H$5:$H$1000,"&lt;&gt;OK")&gt;0,"Revisar: "&amp;COUNTIFS(Recetas!$A$5:$A$1000,A84,Recetas!$H$5:$H$1000,"&lt;&gt;OK")&amp;" ingrediente(s) con aviso","OK"))))</f>
        <v/>
      </c>
    </row>
    <row r="85" customFormat="false" ht="15" hidden="false" customHeight="false" outlineLevel="0" collapsed="false">
      <c r="A85" s="15"/>
      <c r="B85" s="27"/>
      <c r="C85" s="15"/>
      <c r="D85" s="29" t="str">
        <f aca="false">IF(A85="","",SUMIFS(Recetas!$G$5:$G$1000,Recetas!$A$5:$A$1000,A85))</f>
        <v/>
      </c>
      <c r="E85" s="17" t="str">
        <f aca="false">IF(OR(A85="",B85="",B85=0),"",D85/B85)</f>
        <v/>
      </c>
      <c r="F85" s="30" t="str">
        <f aca="false">IF(OR(E85="",C85&lt;&gt;"g"),"",E85*1000)</f>
        <v/>
      </c>
      <c r="G85" s="31" t="str">
        <f aca="false">IF(A85="","",COUNTIFS(Recetas!$A$5:$A$1000,A85))</f>
        <v/>
      </c>
      <c r="H85" s="20" t="str">
        <f aca="false">IF(A85="","",IF(G85=0,"Sin ingredientes en Recetas",IF(OR(B85="",B85=0),"Falta rendimiento",IF(COUNTIFS(Recetas!$A$5:$A$1000,A85,Recetas!$H$5:$H$1000,"&lt;&gt;OK")&gt;0,"Revisar: "&amp;COUNTIFS(Recetas!$A$5:$A$1000,A85,Recetas!$H$5:$H$1000,"&lt;&gt;OK")&amp;" ingrediente(s) con aviso","OK"))))</f>
        <v/>
      </c>
    </row>
    <row r="86" customFormat="false" ht="15" hidden="false" customHeight="false" outlineLevel="0" collapsed="false">
      <c r="A86" s="15"/>
      <c r="B86" s="27"/>
      <c r="C86" s="15"/>
      <c r="D86" s="29" t="str">
        <f aca="false">IF(A86="","",SUMIFS(Recetas!$G$5:$G$1000,Recetas!$A$5:$A$1000,A86))</f>
        <v/>
      </c>
      <c r="E86" s="17" t="str">
        <f aca="false">IF(OR(A86="",B86="",B86=0),"",D86/B86)</f>
        <v/>
      </c>
      <c r="F86" s="30" t="str">
        <f aca="false">IF(OR(E86="",C86&lt;&gt;"g"),"",E86*1000)</f>
        <v/>
      </c>
      <c r="G86" s="31" t="str">
        <f aca="false">IF(A86="","",COUNTIFS(Recetas!$A$5:$A$1000,A86))</f>
        <v/>
      </c>
      <c r="H86" s="20" t="str">
        <f aca="false">IF(A86="","",IF(G86=0,"Sin ingredientes en Recetas",IF(OR(B86="",B86=0),"Falta rendimiento",IF(COUNTIFS(Recetas!$A$5:$A$1000,A86,Recetas!$H$5:$H$1000,"&lt;&gt;OK")&gt;0,"Revisar: "&amp;COUNTIFS(Recetas!$A$5:$A$1000,A86,Recetas!$H$5:$H$1000,"&lt;&gt;OK")&amp;" ingrediente(s) con aviso","OK"))))</f>
        <v/>
      </c>
    </row>
    <row r="87" customFormat="false" ht="15" hidden="false" customHeight="false" outlineLevel="0" collapsed="false">
      <c r="A87" s="15"/>
      <c r="B87" s="27"/>
      <c r="C87" s="15"/>
      <c r="D87" s="29" t="str">
        <f aca="false">IF(A87="","",SUMIFS(Recetas!$G$5:$G$1000,Recetas!$A$5:$A$1000,A87))</f>
        <v/>
      </c>
      <c r="E87" s="17" t="str">
        <f aca="false">IF(OR(A87="",B87="",B87=0),"",D87/B87)</f>
        <v/>
      </c>
      <c r="F87" s="30" t="str">
        <f aca="false">IF(OR(E87="",C87&lt;&gt;"g"),"",E87*1000)</f>
        <v/>
      </c>
      <c r="G87" s="31" t="str">
        <f aca="false">IF(A87="","",COUNTIFS(Recetas!$A$5:$A$1000,A87))</f>
        <v/>
      </c>
      <c r="H87" s="20" t="str">
        <f aca="false">IF(A87="","",IF(G87=0,"Sin ingredientes en Recetas",IF(OR(B87="",B87=0),"Falta rendimiento",IF(COUNTIFS(Recetas!$A$5:$A$1000,A87,Recetas!$H$5:$H$1000,"&lt;&gt;OK")&gt;0,"Revisar: "&amp;COUNTIFS(Recetas!$A$5:$A$1000,A87,Recetas!$H$5:$H$1000,"&lt;&gt;OK")&amp;" ingrediente(s) con aviso","OK"))))</f>
        <v/>
      </c>
    </row>
    <row r="88" customFormat="false" ht="15" hidden="false" customHeight="false" outlineLevel="0" collapsed="false">
      <c r="A88" s="15"/>
      <c r="B88" s="27"/>
      <c r="C88" s="15"/>
      <c r="D88" s="29" t="str">
        <f aca="false">IF(A88="","",SUMIFS(Recetas!$G$5:$G$1000,Recetas!$A$5:$A$1000,A88))</f>
        <v/>
      </c>
      <c r="E88" s="17" t="str">
        <f aca="false">IF(OR(A88="",B88="",B88=0),"",D88/B88)</f>
        <v/>
      </c>
      <c r="F88" s="30" t="str">
        <f aca="false">IF(OR(E88="",C88&lt;&gt;"g"),"",E88*1000)</f>
        <v/>
      </c>
      <c r="G88" s="31" t="str">
        <f aca="false">IF(A88="","",COUNTIFS(Recetas!$A$5:$A$1000,A88))</f>
        <v/>
      </c>
      <c r="H88" s="20" t="str">
        <f aca="false">IF(A88="","",IF(G88=0,"Sin ingredientes en Recetas",IF(OR(B88="",B88=0),"Falta rendimiento",IF(COUNTIFS(Recetas!$A$5:$A$1000,A88,Recetas!$H$5:$H$1000,"&lt;&gt;OK")&gt;0,"Revisar: "&amp;COUNTIFS(Recetas!$A$5:$A$1000,A88,Recetas!$H$5:$H$1000,"&lt;&gt;OK")&amp;" ingrediente(s) con aviso","OK"))))</f>
        <v/>
      </c>
    </row>
    <row r="89" customFormat="false" ht="15" hidden="false" customHeight="false" outlineLevel="0" collapsed="false">
      <c r="A89" s="15"/>
      <c r="B89" s="27"/>
      <c r="C89" s="15"/>
      <c r="D89" s="29" t="str">
        <f aca="false">IF(A89="","",SUMIFS(Recetas!$G$5:$G$1000,Recetas!$A$5:$A$1000,A89))</f>
        <v/>
      </c>
      <c r="E89" s="17" t="str">
        <f aca="false">IF(OR(A89="",B89="",B89=0),"",D89/B89)</f>
        <v/>
      </c>
      <c r="F89" s="30" t="str">
        <f aca="false">IF(OR(E89="",C89&lt;&gt;"g"),"",E89*1000)</f>
        <v/>
      </c>
      <c r="G89" s="31" t="str">
        <f aca="false">IF(A89="","",COUNTIFS(Recetas!$A$5:$A$1000,A89))</f>
        <v/>
      </c>
      <c r="H89" s="20" t="str">
        <f aca="false">IF(A89="","",IF(G89=0,"Sin ingredientes en Recetas",IF(OR(B89="",B89=0),"Falta rendimiento",IF(COUNTIFS(Recetas!$A$5:$A$1000,A89,Recetas!$H$5:$H$1000,"&lt;&gt;OK")&gt;0,"Revisar: "&amp;COUNTIFS(Recetas!$A$5:$A$1000,A89,Recetas!$H$5:$H$1000,"&lt;&gt;OK")&amp;" ingrediente(s) con aviso","OK"))))</f>
        <v/>
      </c>
    </row>
    <row r="90" customFormat="false" ht="15" hidden="false" customHeight="false" outlineLevel="0" collapsed="false">
      <c r="A90" s="15"/>
      <c r="B90" s="27"/>
      <c r="C90" s="15"/>
      <c r="D90" s="29" t="str">
        <f aca="false">IF(A90="","",SUMIFS(Recetas!$G$5:$G$1000,Recetas!$A$5:$A$1000,A90))</f>
        <v/>
      </c>
      <c r="E90" s="17" t="str">
        <f aca="false">IF(OR(A90="",B90="",B90=0),"",D90/B90)</f>
        <v/>
      </c>
      <c r="F90" s="30" t="str">
        <f aca="false">IF(OR(E90="",C90&lt;&gt;"g"),"",E90*1000)</f>
        <v/>
      </c>
      <c r="G90" s="31" t="str">
        <f aca="false">IF(A90="","",COUNTIFS(Recetas!$A$5:$A$1000,A90))</f>
        <v/>
      </c>
      <c r="H90" s="20" t="str">
        <f aca="false">IF(A90="","",IF(G90=0,"Sin ingredientes en Recetas",IF(OR(B90="",B90=0),"Falta rendimiento",IF(COUNTIFS(Recetas!$A$5:$A$1000,A90,Recetas!$H$5:$H$1000,"&lt;&gt;OK")&gt;0,"Revisar: "&amp;COUNTIFS(Recetas!$A$5:$A$1000,A90,Recetas!$H$5:$H$1000,"&lt;&gt;OK")&amp;" ingrediente(s) con aviso","OK"))))</f>
        <v/>
      </c>
    </row>
    <row r="91" customFormat="false" ht="15" hidden="false" customHeight="false" outlineLevel="0" collapsed="false">
      <c r="A91" s="15"/>
      <c r="B91" s="27"/>
      <c r="C91" s="15"/>
      <c r="D91" s="29" t="str">
        <f aca="false">IF(A91="","",SUMIFS(Recetas!$G$5:$G$1000,Recetas!$A$5:$A$1000,A91))</f>
        <v/>
      </c>
      <c r="E91" s="17" t="str">
        <f aca="false">IF(OR(A91="",B91="",B91=0),"",D91/B91)</f>
        <v/>
      </c>
      <c r="F91" s="30" t="str">
        <f aca="false">IF(OR(E91="",C91&lt;&gt;"g"),"",E91*1000)</f>
        <v/>
      </c>
      <c r="G91" s="31" t="str">
        <f aca="false">IF(A91="","",COUNTIFS(Recetas!$A$5:$A$1000,A91))</f>
        <v/>
      </c>
      <c r="H91" s="20" t="str">
        <f aca="false">IF(A91="","",IF(G91=0,"Sin ingredientes en Recetas",IF(OR(B91="",B91=0),"Falta rendimiento",IF(COUNTIFS(Recetas!$A$5:$A$1000,A91,Recetas!$H$5:$H$1000,"&lt;&gt;OK")&gt;0,"Revisar: "&amp;COUNTIFS(Recetas!$A$5:$A$1000,A91,Recetas!$H$5:$H$1000,"&lt;&gt;OK")&amp;" ingrediente(s) con aviso","OK"))))</f>
        <v/>
      </c>
    </row>
    <row r="92" customFormat="false" ht="15" hidden="false" customHeight="false" outlineLevel="0" collapsed="false">
      <c r="A92" s="15"/>
      <c r="B92" s="27"/>
      <c r="C92" s="15"/>
      <c r="D92" s="29" t="str">
        <f aca="false">IF(A92="","",SUMIFS(Recetas!$G$5:$G$1000,Recetas!$A$5:$A$1000,A92))</f>
        <v/>
      </c>
      <c r="E92" s="17" t="str">
        <f aca="false">IF(OR(A92="",B92="",B92=0),"",D92/B92)</f>
        <v/>
      </c>
      <c r="F92" s="30" t="str">
        <f aca="false">IF(OR(E92="",C92&lt;&gt;"g"),"",E92*1000)</f>
        <v/>
      </c>
      <c r="G92" s="31" t="str">
        <f aca="false">IF(A92="","",COUNTIFS(Recetas!$A$5:$A$1000,A92))</f>
        <v/>
      </c>
      <c r="H92" s="20" t="str">
        <f aca="false">IF(A92="","",IF(G92=0,"Sin ingredientes en Recetas",IF(OR(B92="",B92=0),"Falta rendimiento",IF(COUNTIFS(Recetas!$A$5:$A$1000,A92,Recetas!$H$5:$H$1000,"&lt;&gt;OK")&gt;0,"Revisar: "&amp;COUNTIFS(Recetas!$A$5:$A$1000,A92,Recetas!$H$5:$H$1000,"&lt;&gt;OK")&amp;" ingrediente(s) con aviso","OK"))))</f>
        <v/>
      </c>
    </row>
    <row r="93" customFormat="false" ht="15" hidden="false" customHeight="false" outlineLevel="0" collapsed="false">
      <c r="A93" s="15"/>
      <c r="B93" s="27"/>
      <c r="C93" s="15"/>
      <c r="D93" s="29" t="str">
        <f aca="false">IF(A93="","",SUMIFS(Recetas!$G$5:$G$1000,Recetas!$A$5:$A$1000,A93))</f>
        <v/>
      </c>
      <c r="E93" s="17" t="str">
        <f aca="false">IF(OR(A93="",B93="",B93=0),"",D93/B93)</f>
        <v/>
      </c>
      <c r="F93" s="30" t="str">
        <f aca="false">IF(OR(E93="",C93&lt;&gt;"g"),"",E93*1000)</f>
        <v/>
      </c>
      <c r="G93" s="31" t="str">
        <f aca="false">IF(A93="","",COUNTIFS(Recetas!$A$5:$A$1000,A93))</f>
        <v/>
      </c>
      <c r="H93" s="20" t="str">
        <f aca="false">IF(A93="","",IF(G93=0,"Sin ingredientes en Recetas",IF(OR(B93="",B93=0),"Falta rendimiento",IF(COUNTIFS(Recetas!$A$5:$A$1000,A93,Recetas!$H$5:$H$1000,"&lt;&gt;OK")&gt;0,"Revisar: "&amp;COUNTIFS(Recetas!$A$5:$A$1000,A93,Recetas!$H$5:$H$1000,"&lt;&gt;OK")&amp;" ingrediente(s) con aviso","OK"))))</f>
        <v/>
      </c>
    </row>
    <row r="94" customFormat="false" ht="15" hidden="false" customHeight="false" outlineLevel="0" collapsed="false">
      <c r="A94" s="15"/>
      <c r="B94" s="27"/>
      <c r="C94" s="15"/>
      <c r="D94" s="29" t="str">
        <f aca="false">IF(A94="","",SUMIFS(Recetas!$G$5:$G$1000,Recetas!$A$5:$A$1000,A94))</f>
        <v/>
      </c>
      <c r="E94" s="17" t="str">
        <f aca="false">IF(OR(A94="",B94="",B94=0),"",D94/B94)</f>
        <v/>
      </c>
      <c r="F94" s="30" t="str">
        <f aca="false">IF(OR(E94="",C94&lt;&gt;"g"),"",E94*1000)</f>
        <v/>
      </c>
      <c r="G94" s="31" t="str">
        <f aca="false">IF(A94="","",COUNTIFS(Recetas!$A$5:$A$1000,A94))</f>
        <v/>
      </c>
      <c r="H94" s="20" t="str">
        <f aca="false">IF(A94="","",IF(G94=0,"Sin ingredientes en Recetas",IF(OR(B94="",B94=0),"Falta rendimiento",IF(COUNTIFS(Recetas!$A$5:$A$1000,A94,Recetas!$H$5:$H$1000,"&lt;&gt;OK")&gt;0,"Revisar: "&amp;COUNTIFS(Recetas!$A$5:$A$1000,A94,Recetas!$H$5:$H$1000,"&lt;&gt;OK")&amp;" ingrediente(s) con aviso","OK"))))</f>
        <v/>
      </c>
    </row>
    <row r="95" customFormat="false" ht="15" hidden="false" customHeight="false" outlineLevel="0" collapsed="false">
      <c r="A95" s="15"/>
      <c r="B95" s="27"/>
      <c r="C95" s="15"/>
      <c r="D95" s="29" t="str">
        <f aca="false">IF(A95="","",SUMIFS(Recetas!$G$5:$G$1000,Recetas!$A$5:$A$1000,A95))</f>
        <v/>
      </c>
      <c r="E95" s="17" t="str">
        <f aca="false">IF(OR(A95="",B95="",B95=0),"",D95/B95)</f>
        <v/>
      </c>
      <c r="F95" s="30" t="str">
        <f aca="false">IF(OR(E95="",C95&lt;&gt;"g"),"",E95*1000)</f>
        <v/>
      </c>
      <c r="G95" s="31" t="str">
        <f aca="false">IF(A95="","",COUNTIFS(Recetas!$A$5:$A$1000,A95))</f>
        <v/>
      </c>
      <c r="H95" s="20" t="str">
        <f aca="false">IF(A95="","",IF(G95=0,"Sin ingredientes en Recetas",IF(OR(B95="",B95=0),"Falta rendimiento",IF(COUNTIFS(Recetas!$A$5:$A$1000,A95,Recetas!$H$5:$H$1000,"&lt;&gt;OK")&gt;0,"Revisar: "&amp;COUNTIFS(Recetas!$A$5:$A$1000,A95,Recetas!$H$5:$H$1000,"&lt;&gt;OK")&amp;" ingrediente(s) con aviso","OK"))))</f>
        <v/>
      </c>
    </row>
    <row r="96" customFormat="false" ht="15" hidden="false" customHeight="false" outlineLevel="0" collapsed="false">
      <c r="A96" s="15"/>
      <c r="B96" s="27"/>
      <c r="C96" s="15"/>
      <c r="D96" s="29" t="str">
        <f aca="false">IF(A96="","",SUMIFS(Recetas!$G$5:$G$1000,Recetas!$A$5:$A$1000,A96))</f>
        <v/>
      </c>
      <c r="E96" s="17" t="str">
        <f aca="false">IF(OR(A96="",B96="",B96=0),"",D96/B96)</f>
        <v/>
      </c>
      <c r="F96" s="30" t="str">
        <f aca="false">IF(OR(E96="",C96&lt;&gt;"g"),"",E96*1000)</f>
        <v/>
      </c>
      <c r="G96" s="31" t="str">
        <f aca="false">IF(A96="","",COUNTIFS(Recetas!$A$5:$A$1000,A96))</f>
        <v/>
      </c>
      <c r="H96" s="20" t="str">
        <f aca="false">IF(A96="","",IF(G96=0,"Sin ingredientes en Recetas",IF(OR(B96="",B96=0),"Falta rendimiento",IF(COUNTIFS(Recetas!$A$5:$A$1000,A96,Recetas!$H$5:$H$1000,"&lt;&gt;OK")&gt;0,"Revisar: "&amp;COUNTIFS(Recetas!$A$5:$A$1000,A96,Recetas!$H$5:$H$1000,"&lt;&gt;OK")&amp;" ingrediente(s) con aviso","OK"))))</f>
        <v/>
      </c>
    </row>
    <row r="97" customFormat="false" ht="15" hidden="false" customHeight="false" outlineLevel="0" collapsed="false">
      <c r="A97" s="15"/>
      <c r="B97" s="27"/>
      <c r="C97" s="15"/>
      <c r="D97" s="29" t="str">
        <f aca="false">IF(A97="","",SUMIFS(Recetas!$G$5:$G$1000,Recetas!$A$5:$A$1000,A97))</f>
        <v/>
      </c>
      <c r="E97" s="17" t="str">
        <f aca="false">IF(OR(A97="",B97="",B97=0),"",D97/B97)</f>
        <v/>
      </c>
      <c r="F97" s="30" t="str">
        <f aca="false">IF(OR(E97="",C97&lt;&gt;"g"),"",E97*1000)</f>
        <v/>
      </c>
      <c r="G97" s="31" t="str">
        <f aca="false">IF(A97="","",COUNTIFS(Recetas!$A$5:$A$1000,A97))</f>
        <v/>
      </c>
      <c r="H97" s="20" t="str">
        <f aca="false">IF(A97="","",IF(G97=0,"Sin ingredientes en Recetas",IF(OR(B97="",B97=0),"Falta rendimiento",IF(COUNTIFS(Recetas!$A$5:$A$1000,A97,Recetas!$H$5:$H$1000,"&lt;&gt;OK")&gt;0,"Revisar: "&amp;COUNTIFS(Recetas!$A$5:$A$1000,A97,Recetas!$H$5:$H$1000,"&lt;&gt;OK")&amp;" ingrediente(s) con aviso","OK"))))</f>
        <v/>
      </c>
    </row>
    <row r="98" customFormat="false" ht="15" hidden="false" customHeight="false" outlineLevel="0" collapsed="false">
      <c r="A98" s="15"/>
      <c r="B98" s="27"/>
      <c r="C98" s="15"/>
      <c r="D98" s="29" t="str">
        <f aca="false">IF(A98="","",SUMIFS(Recetas!$G$5:$G$1000,Recetas!$A$5:$A$1000,A98))</f>
        <v/>
      </c>
      <c r="E98" s="17" t="str">
        <f aca="false">IF(OR(A98="",B98="",B98=0),"",D98/B98)</f>
        <v/>
      </c>
      <c r="F98" s="30" t="str">
        <f aca="false">IF(OR(E98="",C98&lt;&gt;"g"),"",E98*1000)</f>
        <v/>
      </c>
      <c r="G98" s="31" t="str">
        <f aca="false">IF(A98="","",COUNTIFS(Recetas!$A$5:$A$1000,A98))</f>
        <v/>
      </c>
      <c r="H98" s="20" t="str">
        <f aca="false">IF(A98="","",IF(G98=0,"Sin ingredientes en Recetas",IF(OR(B98="",B98=0),"Falta rendimiento",IF(COUNTIFS(Recetas!$A$5:$A$1000,A98,Recetas!$H$5:$H$1000,"&lt;&gt;OK")&gt;0,"Revisar: "&amp;COUNTIFS(Recetas!$A$5:$A$1000,A98,Recetas!$H$5:$H$1000,"&lt;&gt;OK")&amp;" ingrediente(s) con aviso","OK"))))</f>
        <v/>
      </c>
    </row>
    <row r="99" customFormat="false" ht="15" hidden="false" customHeight="false" outlineLevel="0" collapsed="false">
      <c r="A99" s="15"/>
      <c r="B99" s="27"/>
      <c r="C99" s="15"/>
      <c r="D99" s="29" t="str">
        <f aca="false">IF(A99="","",SUMIFS(Recetas!$G$5:$G$1000,Recetas!$A$5:$A$1000,A99))</f>
        <v/>
      </c>
      <c r="E99" s="17" t="str">
        <f aca="false">IF(OR(A99="",B99="",B99=0),"",D99/B99)</f>
        <v/>
      </c>
      <c r="F99" s="30" t="str">
        <f aca="false">IF(OR(E99="",C99&lt;&gt;"g"),"",E99*1000)</f>
        <v/>
      </c>
      <c r="G99" s="31" t="str">
        <f aca="false">IF(A99="","",COUNTIFS(Recetas!$A$5:$A$1000,A99))</f>
        <v/>
      </c>
      <c r="H99" s="20" t="str">
        <f aca="false">IF(A99="","",IF(G99=0,"Sin ingredientes en Recetas",IF(OR(B99="",B99=0),"Falta rendimiento",IF(COUNTIFS(Recetas!$A$5:$A$1000,A99,Recetas!$H$5:$H$1000,"&lt;&gt;OK")&gt;0,"Revisar: "&amp;COUNTIFS(Recetas!$A$5:$A$1000,A99,Recetas!$H$5:$H$1000,"&lt;&gt;OK")&amp;" ingrediente(s) con aviso","OK"))))</f>
        <v/>
      </c>
    </row>
    <row r="100" customFormat="false" ht="15" hidden="false" customHeight="false" outlineLevel="0" collapsed="false">
      <c r="A100" s="15"/>
      <c r="B100" s="27"/>
      <c r="C100" s="15"/>
      <c r="D100" s="29" t="str">
        <f aca="false">IF(A100="","",SUMIFS(Recetas!$G$5:$G$1000,Recetas!$A$5:$A$1000,A100))</f>
        <v/>
      </c>
      <c r="E100" s="17" t="str">
        <f aca="false">IF(OR(A100="",B100="",B100=0),"",D100/B100)</f>
        <v/>
      </c>
      <c r="F100" s="30" t="str">
        <f aca="false">IF(OR(E100="",C100&lt;&gt;"g"),"",E100*1000)</f>
        <v/>
      </c>
      <c r="G100" s="31" t="str">
        <f aca="false">IF(A100="","",COUNTIFS(Recetas!$A$5:$A$1000,A100))</f>
        <v/>
      </c>
      <c r="H100" s="20" t="str">
        <f aca="false">IF(A100="","",IF(G100=0,"Sin ingredientes en Recetas",IF(OR(B100="",B100=0),"Falta rendimiento",IF(COUNTIFS(Recetas!$A$5:$A$1000,A100,Recetas!$H$5:$H$1000,"&lt;&gt;OK")&gt;0,"Revisar: "&amp;COUNTIFS(Recetas!$A$5:$A$1000,A100,Recetas!$H$5:$H$1000,"&lt;&gt;OK")&amp;" ingrediente(s) con aviso","OK"))))</f>
        <v/>
      </c>
    </row>
    <row r="101" customFormat="false" ht="15" hidden="false" customHeight="false" outlineLevel="0" collapsed="false">
      <c r="A101" s="15"/>
      <c r="B101" s="27"/>
      <c r="C101" s="15"/>
      <c r="D101" s="29" t="str">
        <f aca="false">IF(A101="","",SUMIFS(Recetas!$G$5:$G$1000,Recetas!$A$5:$A$1000,A101))</f>
        <v/>
      </c>
      <c r="E101" s="17" t="str">
        <f aca="false">IF(OR(A101="",B101="",B101=0),"",D101/B101)</f>
        <v/>
      </c>
      <c r="F101" s="30" t="str">
        <f aca="false">IF(OR(E101="",C101&lt;&gt;"g"),"",E101*1000)</f>
        <v/>
      </c>
      <c r="G101" s="31" t="str">
        <f aca="false">IF(A101="","",COUNTIFS(Recetas!$A$5:$A$1000,A101))</f>
        <v/>
      </c>
      <c r="H101" s="20" t="str">
        <f aca="false">IF(A101="","",IF(G101=0,"Sin ingredientes en Recetas",IF(OR(B101="",B101=0),"Falta rendimiento",IF(COUNTIFS(Recetas!$A$5:$A$1000,A101,Recetas!$H$5:$H$1000,"&lt;&gt;OK")&gt;0,"Revisar: "&amp;COUNTIFS(Recetas!$A$5:$A$1000,A101,Recetas!$H$5:$H$1000,"&lt;&gt;OK")&amp;" ingrediente(s) con aviso","OK"))))</f>
        <v/>
      </c>
    </row>
    <row r="102" customFormat="false" ht="15" hidden="false" customHeight="false" outlineLevel="0" collapsed="false">
      <c r="A102" s="15"/>
      <c r="B102" s="27"/>
      <c r="C102" s="15"/>
      <c r="D102" s="29" t="str">
        <f aca="false">IF(A102="","",SUMIFS(Recetas!$G$5:$G$1000,Recetas!$A$5:$A$1000,A102))</f>
        <v/>
      </c>
      <c r="E102" s="17" t="str">
        <f aca="false">IF(OR(A102="",B102="",B102=0),"",D102/B102)</f>
        <v/>
      </c>
      <c r="F102" s="30" t="str">
        <f aca="false">IF(OR(E102="",C102&lt;&gt;"g"),"",E102*1000)</f>
        <v/>
      </c>
      <c r="G102" s="31" t="str">
        <f aca="false">IF(A102="","",COUNTIFS(Recetas!$A$5:$A$1000,A102))</f>
        <v/>
      </c>
      <c r="H102" s="20" t="str">
        <f aca="false">IF(A102="","",IF(G102=0,"Sin ingredientes en Recetas",IF(OR(B102="",B102=0),"Falta rendimiento",IF(COUNTIFS(Recetas!$A$5:$A$1000,A102,Recetas!$H$5:$H$1000,"&lt;&gt;OK")&gt;0,"Revisar: "&amp;COUNTIFS(Recetas!$A$5:$A$1000,A102,Recetas!$H$5:$H$1000,"&lt;&gt;OK")&amp;" ingrediente(s) con aviso","OK"))))</f>
        <v/>
      </c>
    </row>
    <row r="103" customFormat="false" ht="15" hidden="false" customHeight="false" outlineLevel="0" collapsed="false">
      <c r="A103" s="15"/>
      <c r="B103" s="27"/>
      <c r="C103" s="15"/>
      <c r="D103" s="29" t="str">
        <f aca="false">IF(A103="","",SUMIFS(Recetas!$G$5:$G$1000,Recetas!$A$5:$A$1000,A103))</f>
        <v/>
      </c>
      <c r="E103" s="17" t="str">
        <f aca="false">IF(OR(A103="",B103="",B103=0),"",D103/B103)</f>
        <v/>
      </c>
      <c r="F103" s="30" t="str">
        <f aca="false">IF(OR(E103="",C103&lt;&gt;"g"),"",E103*1000)</f>
        <v/>
      </c>
      <c r="G103" s="31" t="str">
        <f aca="false">IF(A103="","",COUNTIFS(Recetas!$A$5:$A$1000,A103))</f>
        <v/>
      </c>
      <c r="H103" s="20" t="str">
        <f aca="false">IF(A103="","",IF(G103=0,"Sin ingredientes en Recetas",IF(OR(B103="",B103=0),"Falta rendimiento",IF(COUNTIFS(Recetas!$A$5:$A$1000,A103,Recetas!$H$5:$H$1000,"&lt;&gt;OK")&gt;0,"Revisar: "&amp;COUNTIFS(Recetas!$A$5:$A$1000,A103,Recetas!$H$5:$H$1000,"&lt;&gt;OK")&amp;" ingrediente(s) con aviso","OK"))))</f>
        <v/>
      </c>
    </row>
    <row r="104" customFormat="false" ht="15" hidden="false" customHeight="false" outlineLevel="0" collapsed="false">
      <c r="A104" s="15"/>
      <c r="B104" s="27"/>
      <c r="C104" s="15"/>
      <c r="D104" s="29" t="str">
        <f aca="false">IF(A104="","",SUMIFS(Recetas!$G$5:$G$1000,Recetas!$A$5:$A$1000,A104))</f>
        <v/>
      </c>
      <c r="E104" s="17" t="str">
        <f aca="false">IF(OR(A104="",B104="",B104=0),"",D104/B104)</f>
        <v/>
      </c>
      <c r="F104" s="30" t="str">
        <f aca="false">IF(OR(E104="",C104&lt;&gt;"g"),"",E104*1000)</f>
        <v/>
      </c>
      <c r="G104" s="31" t="str">
        <f aca="false">IF(A104="","",COUNTIFS(Recetas!$A$5:$A$1000,A104))</f>
        <v/>
      </c>
      <c r="H104" s="20" t="str">
        <f aca="false">IF(A104="","",IF(G104=0,"Sin ingredientes en Recetas",IF(OR(B104="",B104=0),"Falta rendimiento",IF(COUNTIFS(Recetas!$A$5:$A$1000,A104,Recetas!$H$5:$H$1000,"&lt;&gt;OK")&gt;0,"Revisar: "&amp;COUNTIFS(Recetas!$A$5:$A$1000,A104,Recetas!$H$5:$H$1000,"&lt;&gt;OK")&amp;" ingrediente(s) con aviso","OK"))))</f>
        <v/>
      </c>
    </row>
    <row r="105" customFormat="false" ht="15" hidden="false" customHeight="false" outlineLevel="0" collapsed="false">
      <c r="A105" s="15"/>
      <c r="B105" s="27"/>
      <c r="C105" s="15"/>
      <c r="D105" s="29" t="str">
        <f aca="false">IF(A105="","",SUMIFS(Recetas!$G$5:$G$1000,Recetas!$A$5:$A$1000,A105))</f>
        <v/>
      </c>
      <c r="E105" s="17" t="str">
        <f aca="false">IF(OR(A105="",B105="",B105=0),"",D105/B105)</f>
        <v/>
      </c>
      <c r="F105" s="30" t="str">
        <f aca="false">IF(OR(E105="",C105&lt;&gt;"g"),"",E105*1000)</f>
        <v/>
      </c>
      <c r="G105" s="31" t="str">
        <f aca="false">IF(A105="","",COUNTIFS(Recetas!$A$5:$A$1000,A105))</f>
        <v/>
      </c>
      <c r="H105" s="20" t="str">
        <f aca="false">IF(A105="","",IF(G105=0,"Sin ingredientes en Recetas",IF(OR(B105="",B105=0),"Falta rendimiento",IF(COUNTIFS(Recetas!$A$5:$A$1000,A105,Recetas!$H$5:$H$1000,"&lt;&gt;OK")&gt;0,"Revisar: "&amp;COUNTIFS(Recetas!$A$5:$A$1000,A105,Recetas!$H$5:$H$1000,"&lt;&gt;OK")&amp;" ingrediente(s) con aviso","OK"))))</f>
        <v/>
      </c>
    </row>
    <row r="106" customFormat="false" ht="15" hidden="false" customHeight="false" outlineLevel="0" collapsed="false">
      <c r="A106" s="15"/>
      <c r="B106" s="27"/>
      <c r="C106" s="15"/>
      <c r="D106" s="29" t="str">
        <f aca="false">IF(A106="","",SUMIFS(Recetas!$G$5:$G$1000,Recetas!$A$5:$A$1000,A106))</f>
        <v/>
      </c>
      <c r="E106" s="17" t="str">
        <f aca="false">IF(OR(A106="",B106="",B106=0),"",D106/B106)</f>
        <v/>
      </c>
      <c r="F106" s="30" t="str">
        <f aca="false">IF(OR(E106="",C106&lt;&gt;"g"),"",E106*1000)</f>
        <v/>
      </c>
      <c r="G106" s="31" t="str">
        <f aca="false">IF(A106="","",COUNTIFS(Recetas!$A$5:$A$1000,A106))</f>
        <v/>
      </c>
      <c r="H106" s="20" t="str">
        <f aca="false">IF(A106="","",IF(G106=0,"Sin ingredientes en Recetas",IF(OR(B106="",B106=0),"Falta rendimiento",IF(COUNTIFS(Recetas!$A$5:$A$1000,A106,Recetas!$H$5:$H$1000,"&lt;&gt;OK")&gt;0,"Revisar: "&amp;COUNTIFS(Recetas!$A$5:$A$1000,A106,Recetas!$H$5:$H$1000,"&lt;&gt;OK")&amp;" ingrediente(s) con aviso","OK"))))</f>
        <v/>
      </c>
    </row>
    <row r="107" customFormat="false" ht="15" hidden="false" customHeight="false" outlineLevel="0" collapsed="false">
      <c r="A107" s="15"/>
      <c r="B107" s="27"/>
      <c r="C107" s="15"/>
      <c r="D107" s="29" t="str">
        <f aca="false">IF(A107="","",SUMIFS(Recetas!$G$5:$G$1000,Recetas!$A$5:$A$1000,A107))</f>
        <v/>
      </c>
      <c r="E107" s="17" t="str">
        <f aca="false">IF(OR(A107="",B107="",B107=0),"",D107/B107)</f>
        <v/>
      </c>
      <c r="F107" s="30" t="str">
        <f aca="false">IF(OR(E107="",C107&lt;&gt;"g"),"",E107*1000)</f>
        <v/>
      </c>
      <c r="G107" s="31" t="str">
        <f aca="false">IF(A107="","",COUNTIFS(Recetas!$A$5:$A$1000,A107))</f>
        <v/>
      </c>
      <c r="H107" s="20" t="str">
        <f aca="false">IF(A107="","",IF(G107=0,"Sin ingredientes en Recetas",IF(OR(B107="",B107=0),"Falta rendimiento",IF(COUNTIFS(Recetas!$A$5:$A$1000,A107,Recetas!$H$5:$H$1000,"&lt;&gt;OK")&gt;0,"Revisar: "&amp;COUNTIFS(Recetas!$A$5:$A$1000,A107,Recetas!$H$5:$H$1000,"&lt;&gt;OK")&amp;" ingrediente(s) con aviso","OK"))))</f>
        <v/>
      </c>
    </row>
    <row r="108" customFormat="false" ht="15" hidden="false" customHeight="false" outlineLevel="0" collapsed="false">
      <c r="A108" s="15"/>
      <c r="B108" s="27"/>
      <c r="C108" s="15"/>
      <c r="D108" s="29" t="str">
        <f aca="false">IF(A108="","",SUMIFS(Recetas!$G$5:$G$1000,Recetas!$A$5:$A$1000,A108))</f>
        <v/>
      </c>
      <c r="E108" s="17" t="str">
        <f aca="false">IF(OR(A108="",B108="",B108=0),"",D108/B108)</f>
        <v/>
      </c>
      <c r="F108" s="30" t="str">
        <f aca="false">IF(OR(E108="",C108&lt;&gt;"g"),"",E108*1000)</f>
        <v/>
      </c>
      <c r="G108" s="31" t="str">
        <f aca="false">IF(A108="","",COUNTIFS(Recetas!$A$5:$A$1000,A108))</f>
        <v/>
      </c>
      <c r="H108" s="20" t="str">
        <f aca="false">IF(A108="","",IF(G108=0,"Sin ingredientes en Recetas",IF(OR(B108="",B108=0),"Falta rendimiento",IF(COUNTIFS(Recetas!$A$5:$A$1000,A108,Recetas!$H$5:$H$1000,"&lt;&gt;OK")&gt;0,"Revisar: "&amp;COUNTIFS(Recetas!$A$5:$A$1000,A108,Recetas!$H$5:$H$1000,"&lt;&gt;OK")&amp;" ingrediente(s) con aviso","OK"))))</f>
        <v/>
      </c>
    </row>
    <row r="109" customFormat="false" ht="15" hidden="false" customHeight="false" outlineLevel="0" collapsed="false">
      <c r="A109" s="15"/>
      <c r="B109" s="27"/>
      <c r="C109" s="15"/>
      <c r="D109" s="29" t="str">
        <f aca="false">IF(A109="","",SUMIFS(Recetas!$G$5:$G$1000,Recetas!$A$5:$A$1000,A109))</f>
        <v/>
      </c>
      <c r="E109" s="17" t="str">
        <f aca="false">IF(OR(A109="",B109="",B109=0),"",D109/B109)</f>
        <v/>
      </c>
      <c r="F109" s="30" t="str">
        <f aca="false">IF(OR(E109="",C109&lt;&gt;"g"),"",E109*1000)</f>
        <v/>
      </c>
      <c r="G109" s="31" t="str">
        <f aca="false">IF(A109="","",COUNTIFS(Recetas!$A$5:$A$1000,A109))</f>
        <v/>
      </c>
      <c r="H109" s="20" t="str">
        <f aca="false">IF(A109="","",IF(G109=0,"Sin ingredientes en Recetas",IF(OR(B109="",B109=0),"Falta rendimiento",IF(COUNTIFS(Recetas!$A$5:$A$1000,A109,Recetas!$H$5:$H$1000,"&lt;&gt;OK")&gt;0,"Revisar: "&amp;COUNTIFS(Recetas!$A$5:$A$1000,A109,Recetas!$H$5:$H$1000,"&lt;&gt;OK")&amp;" ingrediente(s) con aviso","OK"))))</f>
        <v/>
      </c>
    </row>
    <row r="110" customFormat="false" ht="15" hidden="false" customHeight="false" outlineLevel="0" collapsed="false">
      <c r="A110" s="15"/>
      <c r="B110" s="27"/>
      <c r="C110" s="15"/>
      <c r="D110" s="29" t="str">
        <f aca="false">IF(A110="","",SUMIFS(Recetas!$G$5:$G$1000,Recetas!$A$5:$A$1000,A110))</f>
        <v/>
      </c>
      <c r="E110" s="17" t="str">
        <f aca="false">IF(OR(A110="",B110="",B110=0),"",D110/B110)</f>
        <v/>
      </c>
      <c r="F110" s="30" t="str">
        <f aca="false">IF(OR(E110="",C110&lt;&gt;"g"),"",E110*1000)</f>
        <v/>
      </c>
      <c r="G110" s="31" t="str">
        <f aca="false">IF(A110="","",COUNTIFS(Recetas!$A$5:$A$1000,A110))</f>
        <v/>
      </c>
      <c r="H110" s="20" t="str">
        <f aca="false">IF(A110="","",IF(G110=0,"Sin ingredientes en Recetas",IF(OR(B110="",B110=0),"Falta rendimiento",IF(COUNTIFS(Recetas!$A$5:$A$1000,A110,Recetas!$H$5:$H$1000,"&lt;&gt;OK")&gt;0,"Revisar: "&amp;COUNTIFS(Recetas!$A$5:$A$1000,A110,Recetas!$H$5:$H$1000,"&lt;&gt;OK")&amp;" ingrediente(s) con aviso","OK"))))</f>
        <v/>
      </c>
    </row>
    <row r="111" customFormat="false" ht="15" hidden="false" customHeight="false" outlineLevel="0" collapsed="false">
      <c r="A111" s="15"/>
      <c r="B111" s="27"/>
      <c r="C111" s="15"/>
      <c r="D111" s="29" t="str">
        <f aca="false">IF(A111="","",SUMIFS(Recetas!$G$5:$G$1000,Recetas!$A$5:$A$1000,A111))</f>
        <v/>
      </c>
      <c r="E111" s="17" t="str">
        <f aca="false">IF(OR(A111="",B111="",B111=0),"",D111/B111)</f>
        <v/>
      </c>
      <c r="F111" s="30" t="str">
        <f aca="false">IF(OR(E111="",C111&lt;&gt;"g"),"",E111*1000)</f>
        <v/>
      </c>
      <c r="G111" s="31" t="str">
        <f aca="false">IF(A111="","",COUNTIFS(Recetas!$A$5:$A$1000,A111))</f>
        <v/>
      </c>
      <c r="H111" s="20" t="str">
        <f aca="false">IF(A111="","",IF(G111=0,"Sin ingredientes en Recetas",IF(OR(B111="",B111=0),"Falta rendimiento",IF(COUNTIFS(Recetas!$A$5:$A$1000,A111,Recetas!$H$5:$H$1000,"&lt;&gt;OK")&gt;0,"Revisar: "&amp;COUNTIFS(Recetas!$A$5:$A$1000,A111,Recetas!$H$5:$H$1000,"&lt;&gt;OK")&amp;" ingrediente(s) con aviso","OK"))))</f>
        <v/>
      </c>
    </row>
    <row r="112" customFormat="false" ht="15" hidden="false" customHeight="false" outlineLevel="0" collapsed="false">
      <c r="A112" s="15"/>
      <c r="B112" s="27"/>
      <c r="C112" s="15"/>
      <c r="D112" s="29" t="str">
        <f aca="false">IF(A112="","",SUMIFS(Recetas!$G$5:$G$1000,Recetas!$A$5:$A$1000,A112))</f>
        <v/>
      </c>
      <c r="E112" s="17" t="str">
        <f aca="false">IF(OR(A112="",B112="",B112=0),"",D112/B112)</f>
        <v/>
      </c>
      <c r="F112" s="30" t="str">
        <f aca="false">IF(OR(E112="",C112&lt;&gt;"g"),"",E112*1000)</f>
        <v/>
      </c>
      <c r="G112" s="31" t="str">
        <f aca="false">IF(A112="","",COUNTIFS(Recetas!$A$5:$A$1000,A112))</f>
        <v/>
      </c>
      <c r="H112" s="20" t="str">
        <f aca="false">IF(A112="","",IF(G112=0,"Sin ingredientes en Recetas",IF(OR(B112="",B112=0),"Falta rendimiento",IF(COUNTIFS(Recetas!$A$5:$A$1000,A112,Recetas!$H$5:$H$1000,"&lt;&gt;OK")&gt;0,"Revisar: "&amp;COUNTIFS(Recetas!$A$5:$A$1000,A112,Recetas!$H$5:$H$1000,"&lt;&gt;OK")&amp;" ingrediente(s) con aviso","OK"))))</f>
        <v/>
      </c>
    </row>
    <row r="113" customFormat="false" ht="15" hidden="false" customHeight="false" outlineLevel="0" collapsed="false">
      <c r="A113" s="15"/>
      <c r="B113" s="27"/>
      <c r="C113" s="15"/>
      <c r="D113" s="29" t="str">
        <f aca="false">IF(A113="","",SUMIFS(Recetas!$G$5:$G$1000,Recetas!$A$5:$A$1000,A113))</f>
        <v/>
      </c>
      <c r="E113" s="17" t="str">
        <f aca="false">IF(OR(A113="",B113="",B113=0),"",D113/B113)</f>
        <v/>
      </c>
      <c r="F113" s="30" t="str">
        <f aca="false">IF(OR(E113="",C113&lt;&gt;"g"),"",E113*1000)</f>
        <v/>
      </c>
      <c r="G113" s="31" t="str">
        <f aca="false">IF(A113="","",COUNTIFS(Recetas!$A$5:$A$1000,A113))</f>
        <v/>
      </c>
      <c r="H113" s="20" t="str">
        <f aca="false">IF(A113="","",IF(G113=0,"Sin ingredientes en Recetas",IF(OR(B113="",B113=0),"Falta rendimiento",IF(COUNTIFS(Recetas!$A$5:$A$1000,A113,Recetas!$H$5:$H$1000,"&lt;&gt;OK")&gt;0,"Revisar: "&amp;COUNTIFS(Recetas!$A$5:$A$1000,A113,Recetas!$H$5:$H$1000,"&lt;&gt;OK")&amp;" ingrediente(s) con aviso","OK"))))</f>
        <v/>
      </c>
    </row>
    <row r="114" customFormat="false" ht="15" hidden="false" customHeight="false" outlineLevel="0" collapsed="false">
      <c r="A114" s="15"/>
      <c r="B114" s="27"/>
      <c r="C114" s="15"/>
      <c r="D114" s="29" t="str">
        <f aca="false">IF(A114="","",SUMIFS(Recetas!$G$5:$G$1000,Recetas!$A$5:$A$1000,A114))</f>
        <v/>
      </c>
      <c r="E114" s="17" t="str">
        <f aca="false">IF(OR(A114="",B114="",B114=0),"",D114/B114)</f>
        <v/>
      </c>
      <c r="F114" s="30" t="str">
        <f aca="false">IF(OR(E114="",C114&lt;&gt;"g"),"",E114*1000)</f>
        <v/>
      </c>
      <c r="G114" s="31" t="str">
        <f aca="false">IF(A114="","",COUNTIFS(Recetas!$A$5:$A$1000,A114))</f>
        <v/>
      </c>
      <c r="H114" s="20" t="str">
        <f aca="false">IF(A114="","",IF(G114=0,"Sin ingredientes en Recetas",IF(OR(B114="",B114=0),"Falta rendimiento",IF(COUNTIFS(Recetas!$A$5:$A$1000,A114,Recetas!$H$5:$H$1000,"&lt;&gt;OK")&gt;0,"Revisar: "&amp;COUNTIFS(Recetas!$A$5:$A$1000,A114,Recetas!$H$5:$H$1000,"&lt;&gt;OK")&amp;" ingrediente(s) con aviso","OK"))))</f>
        <v/>
      </c>
    </row>
    <row r="115" customFormat="false" ht="15" hidden="false" customHeight="false" outlineLevel="0" collapsed="false">
      <c r="A115" s="15"/>
      <c r="B115" s="27"/>
      <c r="C115" s="15"/>
      <c r="D115" s="29" t="str">
        <f aca="false">IF(A115="","",SUMIFS(Recetas!$G$5:$G$1000,Recetas!$A$5:$A$1000,A115))</f>
        <v/>
      </c>
      <c r="E115" s="17" t="str">
        <f aca="false">IF(OR(A115="",B115="",B115=0),"",D115/B115)</f>
        <v/>
      </c>
      <c r="F115" s="30" t="str">
        <f aca="false">IF(OR(E115="",C115&lt;&gt;"g"),"",E115*1000)</f>
        <v/>
      </c>
      <c r="G115" s="31" t="str">
        <f aca="false">IF(A115="","",COUNTIFS(Recetas!$A$5:$A$1000,A115))</f>
        <v/>
      </c>
      <c r="H115" s="20" t="str">
        <f aca="false">IF(A115="","",IF(G115=0,"Sin ingredientes en Recetas",IF(OR(B115="",B115=0),"Falta rendimiento",IF(COUNTIFS(Recetas!$A$5:$A$1000,A115,Recetas!$H$5:$H$1000,"&lt;&gt;OK")&gt;0,"Revisar: "&amp;COUNTIFS(Recetas!$A$5:$A$1000,A115,Recetas!$H$5:$H$1000,"&lt;&gt;OK")&amp;" ingrediente(s) con aviso","OK"))))</f>
        <v/>
      </c>
    </row>
    <row r="116" customFormat="false" ht="15" hidden="false" customHeight="false" outlineLevel="0" collapsed="false">
      <c r="A116" s="15"/>
      <c r="B116" s="27"/>
      <c r="C116" s="15"/>
      <c r="D116" s="29" t="str">
        <f aca="false">IF(A116="","",SUMIFS(Recetas!$G$5:$G$1000,Recetas!$A$5:$A$1000,A116))</f>
        <v/>
      </c>
      <c r="E116" s="17" t="str">
        <f aca="false">IF(OR(A116="",B116="",B116=0),"",D116/B116)</f>
        <v/>
      </c>
      <c r="F116" s="30" t="str">
        <f aca="false">IF(OR(E116="",C116&lt;&gt;"g"),"",E116*1000)</f>
        <v/>
      </c>
      <c r="G116" s="31" t="str">
        <f aca="false">IF(A116="","",COUNTIFS(Recetas!$A$5:$A$1000,A116))</f>
        <v/>
      </c>
      <c r="H116" s="20" t="str">
        <f aca="false">IF(A116="","",IF(G116=0,"Sin ingredientes en Recetas",IF(OR(B116="",B116=0),"Falta rendimiento",IF(COUNTIFS(Recetas!$A$5:$A$1000,A116,Recetas!$H$5:$H$1000,"&lt;&gt;OK")&gt;0,"Revisar: "&amp;COUNTIFS(Recetas!$A$5:$A$1000,A116,Recetas!$H$5:$H$1000,"&lt;&gt;OK")&amp;" ingrediente(s) con aviso","OK"))))</f>
        <v/>
      </c>
    </row>
    <row r="117" customFormat="false" ht="15" hidden="false" customHeight="false" outlineLevel="0" collapsed="false">
      <c r="A117" s="15"/>
      <c r="B117" s="27"/>
      <c r="C117" s="15"/>
      <c r="D117" s="29" t="str">
        <f aca="false">IF(A117="","",SUMIFS(Recetas!$G$5:$G$1000,Recetas!$A$5:$A$1000,A117))</f>
        <v/>
      </c>
      <c r="E117" s="17" t="str">
        <f aca="false">IF(OR(A117="",B117="",B117=0),"",D117/B117)</f>
        <v/>
      </c>
      <c r="F117" s="30" t="str">
        <f aca="false">IF(OR(E117="",C117&lt;&gt;"g"),"",E117*1000)</f>
        <v/>
      </c>
      <c r="G117" s="31" t="str">
        <f aca="false">IF(A117="","",COUNTIFS(Recetas!$A$5:$A$1000,A117))</f>
        <v/>
      </c>
      <c r="H117" s="20" t="str">
        <f aca="false">IF(A117="","",IF(G117=0,"Sin ingredientes en Recetas",IF(OR(B117="",B117=0),"Falta rendimiento",IF(COUNTIFS(Recetas!$A$5:$A$1000,A117,Recetas!$H$5:$H$1000,"&lt;&gt;OK")&gt;0,"Revisar: "&amp;COUNTIFS(Recetas!$A$5:$A$1000,A117,Recetas!$H$5:$H$1000,"&lt;&gt;OK")&amp;" ingrediente(s) con aviso","OK"))))</f>
        <v/>
      </c>
    </row>
    <row r="118" customFormat="false" ht="15" hidden="false" customHeight="false" outlineLevel="0" collapsed="false">
      <c r="A118" s="15"/>
      <c r="B118" s="27"/>
      <c r="C118" s="15"/>
      <c r="D118" s="29" t="str">
        <f aca="false">IF(A118="","",SUMIFS(Recetas!$G$5:$G$1000,Recetas!$A$5:$A$1000,A118))</f>
        <v/>
      </c>
      <c r="E118" s="17" t="str">
        <f aca="false">IF(OR(A118="",B118="",B118=0),"",D118/B118)</f>
        <v/>
      </c>
      <c r="F118" s="30" t="str">
        <f aca="false">IF(OR(E118="",C118&lt;&gt;"g"),"",E118*1000)</f>
        <v/>
      </c>
      <c r="G118" s="31" t="str">
        <f aca="false">IF(A118="","",COUNTIFS(Recetas!$A$5:$A$1000,A118))</f>
        <v/>
      </c>
      <c r="H118" s="20" t="str">
        <f aca="false">IF(A118="","",IF(G118=0,"Sin ingredientes en Recetas",IF(OR(B118="",B118=0),"Falta rendimiento",IF(COUNTIFS(Recetas!$A$5:$A$1000,A118,Recetas!$H$5:$H$1000,"&lt;&gt;OK")&gt;0,"Revisar: "&amp;COUNTIFS(Recetas!$A$5:$A$1000,A118,Recetas!$H$5:$H$1000,"&lt;&gt;OK")&amp;" ingrediente(s) con aviso","OK"))))</f>
        <v/>
      </c>
    </row>
    <row r="119" customFormat="false" ht="15" hidden="false" customHeight="false" outlineLevel="0" collapsed="false">
      <c r="A119" s="15"/>
      <c r="B119" s="27"/>
      <c r="C119" s="15"/>
      <c r="D119" s="29" t="str">
        <f aca="false">IF(A119="","",SUMIFS(Recetas!$G$5:$G$1000,Recetas!$A$5:$A$1000,A119))</f>
        <v/>
      </c>
      <c r="E119" s="17" t="str">
        <f aca="false">IF(OR(A119="",B119="",B119=0),"",D119/B119)</f>
        <v/>
      </c>
      <c r="F119" s="30" t="str">
        <f aca="false">IF(OR(E119="",C119&lt;&gt;"g"),"",E119*1000)</f>
        <v/>
      </c>
      <c r="G119" s="31" t="str">
        <f aca="false">IF(A119="","",COUNTIFS(Recetas!$A$5:$A$1000,A119))</f>
        <v/>
      </c>
      <c r="H119" s="20" t="str">
        <f aca="false">IF(A119="","",IF(G119=0,"Sin ingredientes en Recetas",IF(OR(B119="",B119=0),"Falta rendimiento",IF(COUNTIFS(Recetas!$A$5:$A$1000,A119,Recetas!$H$5:$H$1000,"&lt;&gt;OK")&gt;0,"Revisar: "&amp;COUNTIFS(Recetas!$A$5:$A$1000,A119,Recetas!$H$5:$H$1000,"&lt;&gt;OK")&amp;" ingrediente(s) con aviso","OK"))))</f>
        <v/>
      </c>
    </row>
    <row r="120" customFormat="false" ht="15" hidden="false" customHeight="false" outlineLevel="0" collapsed="false">
      <c r="A120" s="15"/>
      <c r="B120" s="27"/>
      <c r="C120" s="15"/>
      <c r="D120" s="29" t="str">
        <f aca="false">IF(A120="","",SUMIFS(Recetas!$G$5:$G$1000,Recetas!$A$5:$A$1000,A120))</f>
        <v/>
      </c>
      <c r="E120" s="17" t="str">
        <f aca="false">IF(OR(A120="",B120="",B120=0),"",D120/B120)</f>
        <v/>
      </c>
      <c r="F120" s="30" t="str">
        <f aca="false">IF(OR(E120="",C120&lt;&gt;"g"),"",E120*1000)</f>
        <v/>
      </c>
      <c r="G120" s="31" t="str">
        <f aca="false">IF(A120="","",COUNTIFS(Recetas!$A$5:$A$1000,A120))</f>
        <v/>
      </c>
      <c r="H120" s="20" t="str">
        <f aca="false">IF(A120="","",IF(G120=0,"Sin ingredientes en Recetas",IF(OR(B120="",B120=0),"Falta rendimiento",IF(COUNTIFS(Recetas!$A$5:$A$1000,A120,Recetas!$H$5:$H$1000,"&lt;&gt;OK")&gt;0,"Revisar: "&amp;COUNTIFS(Recetas!$A$5:$A$1000,A120,Recetas!$H$5:$H$1000,"&lt;&gt;OK")&amp;" ingrediente(s) con aviso","OK"))))</f>
        <v/>
      </c>
    </row>
  </sheetData>
  <dataValidations count="1">
    <dataValidation allowBlank="true" error="Elegí un valor de la lista desplegable." errorStyle="stop" errorTitle="Valor no válido" operator="between" showDropDown="false" showErrorMessage="false" showInputMessage="false" sqref="C5:C120" type="list">
      <formula1>"g,unidad"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7027"/>
    <pageSetUpPr fitToPage="false"/>
  </sheetPr>
  <dimension ref="A1:R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5"/>
    <col collapsed="false" customWidth="true" hidden="false" outlineLevel="0" max="16" min="15" style="0" width="14"/>
    <col collapsed="false" customWidth="true" hidden="false" outlineLevel="0" max="17" min="17" style="0" width="11"/>
    <col collapsed="false" customWidth="true" hidden="false" outlineLevel="0" max="18" min="18" style="0" width="26"/>
  </cols>
  <sheetData>
    <row r="1" customFormat="false" ht="19.7" hidden="false" customHeight="false" outlineLevel="0" collapsed="false">
      <c r="A1" s="12" t="s">
        <v>153</v>
      </c>
    </row>
    <row r="2" customFormat="false" ht="15" hidden="false" customHeight="false" outlineLevel="0" collapsed="false">
      <c r="A2" s="13" t="s">
        <v>154</v>
      </c>
    </row>
    <row r="4" customFormat="false" ht="42" hidden="false" customHeight="true" outlineLevel="0" collapsed="false">
      <c r="A4" s="14" t="s">
        <v>155</v>
      </c>
      <c r="B4" s="14" t="s">
        <v>156</v>
      </c>
      <c r="C4" s="14" t="s">
        <v>157</v>
      </c>
      <c r="D4" s="14" t="s">
        <v>124</v>
      </c>
      <c r="E4" s="14" t="s">
        <v>158</v>
      </c>
      <c r="F4" s="14" t="s">
        <v>159</v>
      </c>
      <c r="G4" s="14" t="s">
        <v>160</v>
      </c>
      <c r="H4" s="14" t="s">
        <v>161</v>
      </c>
      <c r="I4" s="14" t="s">
        <v>162</v>
      </c>
      <c r="J4" s="14" t="s">
        <v>163</v>
      </c>
      <c r="K4" s="14" t="s">
        <v>164</v>
      </c>
      <c r="L4" s="14" t="s">
        <v>165</v>
      </c>
      <c r="M4" s="14" t="s">
        <v>166</v>
      </c>
      <c r="N4" s="14" t="s">
        <v>167</v>
      </c>
      <c r="O4" s="14" t="s">
        <v>168</v>
      </c>
      <c r="P4" s="14" t="s">
        <v>169</v>
      </c>
      <c r="Q4" s="14" t="s">
        <v>170</v>
      </c>
      <c r="R4" s="14" t="s">
        <v>51</v>
      </c>
    </row>
    <row r="5" customFormat="false" ht="15" hidden="false" customHeight="false" outlineLevel="0" collapsed="false">
      <c r="A5" s="15" t="s">
        <v>127</v>
      </c>
      <c r="B5" s="15" t="s">
        <v>171</v>
      </c>
      <c r="C5" s="20" t="str">
        <f aca="false">IF(A5="","",A5&amp;" - "&amp;B5)</f>
        <v>Cookies Chips de Chocolate - Individual 70 g</v>
      </c>
      <c r="D5" s="15" t="s">
        <v>127</v>
      </c>
      <c r="E5" s="27" t="n">
        <v>70</v>
      </c>
      <c r="F5" s="32" t="str">
        <f aca="true">IF(OR(D5="",E5=""),"",IF(IFERROR(INDEX(RecEstado,MATCH(D5,ListaRecetas,0)),"")&lt;&gt;"OK","",IFERROR(E5*INDEX(RecCostoU,MATCH(D5,ListaRecetas,0)),"")))</f>
        <v/>
      </c>
      <c r="G5" s="15" t="s">
        <v>91</v>
      </c>
      <c r="H5" s="32" t="n">
        <f aca="true">IF(G5="",0,IFERROR(INDEX(InsCosto,MATCH(G5,ListaInsumos,0))*1,0))</f>
        <v>80</v>
      </c>
      <c r="I5" s="15" t="s">
        <v>97</v>
      </c>
      <c r="J5" s="32" t="n">
        <f aca="true">IF(I5="",0,IFERROR(INDEX(InsCosto,MATCH(I5,ListaInsumos,0))*1,0))</f>
        <v>50</v>
      </c>
      <c r="K5" s="30" t="str">
        <f aca="false">IF(F5="","",(F5+H5+J5)*CFG_Indirectos)</f>
        <v/>
      </c>
      <c r="L5" s="33" t="str">
        <f aca="false">IF(F5="","",F5+H5+J5+K5)</f>
        <v/>
      </c>
      <c r="M5" s="34" t="n">
        <f aca="false">CFG_Margen</f>
        <v>0.6</v>
      </c>
      <c r="N5" s="33" t="str">
        <f aca="false">IF(OR(L5="",L5=0,M5="",M5&gt;=1),"",IF(CFG_Redondeo&gt;0,CEILING(L5/(1-M5),CFG_Redondeo),L5/(1-M5)))</f>
        <v/>
      </c>
      <c r="O5" s="28" t="n">
        <v>4000</v>
      </c>
      <c r="P5" s="30" t="str">
        <f aca="false">IF(OR(L5="",O5=""),"",O5-L5)</f>
        <v/>
      </c>
      <c r="Q5" s="35" t="str">
        <f aca="false">IF(OR(P5="",O5=0),"",P5/O5)</f>
        <v/>
      </c>
      <c r="R5" s="20" t="str">
        <f aca="true">IF(A5="","",IF(D5="","Falta elegir receta",IF(IFERROR(INDEX(RecEstado,MATCH(D5,ListaRecetas,0)),"Receta no existe")&lt;&gt;"OK","Receta: "&amp;IFERROR(INDEX(RecEstado,MATCH(D5,ListaRecetas,0)),"no existe"),IF(OR(AND(G5&lt;&gt;"",H5=0),AND(I5&lt;&gt;"",J5=0)),"Packaging sin precio","OK"))))</f>
        <v>Receta: Falta rendimiento</v>
      </c>
    </row>
    <row r="6" customFormat="false" ht="15" hidden="false" customHeight="false" outlineLevel="0" collapsed="false">
      <c r="A6" s="15" t="s">
        <v>127</v>
      </c>
      <c r="B6" s="15" t="s">
        <v>172</v>
      </c>
      <c r="C6" s="20" t="str">
        <f aca="false">IF(A6="","",A6&amp;" - "&amp;B6)</f>
        <v>Cookies Chips de Chocolate - Familiar 210 g</v>
      </c>
      <c r="D6" s="15" t="s">
        <v>127</v>
      </c>
      <c r="E6" s="27" t="n">
        <v>210</v>
      </c>
      <c r="F6" s="32" t="str">
        <f aca="true">IF(OR(D6="",E6=""),"",IF(IFERROR(INDEX(RecEstado,MATCH(D6,ListaRecetas,0)),"")&lt;&gt;"OK","",IFERROR(E6*INDEX(RecCostoU,MATCH(D6,ListaRecetas,0)),"")))</f>
        <v/>
      </c>
      <c r="G6" s="15" t="s">
        <v>94</v>
      </c>
      <c r="H6" s="32" t="n">
        <f aca="true">IF(G6="",0,IFERROR(INDEX(InsCosto,MATCH(G6,ListaInsumos,0))*1,0))</f>
        <v>120</v>
      </c>
      <c r="I6" s="15" t="s">
        <v>97</v>
      </c>
      <c r="J6" s="32" t="n">
        <f aca="true">IF(I6="",0,IFERROR(INDEX(InsCosto,MATCH(I6,ListaInsumos,0))*1,0))</f>
        <v>50</v>
      </c>
      <c r="K6" s="30" t="str">
        <f aca="false">IF(F6="","",(F6+H6+J6)*CFG_Indirectos)</f>
        <v/>
      </c>
      <c r="L6" s="33" t="str">
        <f aca="false">IF(F6="","",F6+H6+J6+K6)</f>
        <v/>
      </c>
      <c r="M6" s="34" t="n">
        <f aca="false">CFG_Margen</f>
        <v>0.6</v>
      </c>
      <c r="N6" s="33" t="str">
        <f aca="false">IF(OR(L6="",L6=0,M6="",M6&gt;=1),"",IF(CFG_Redondeo&gt;0,CEILING(L6/(1-M6),CFG_Redondeo),L6/(1-M6)))</f>
        <v/>
      </c>
      <c r="O6" s="28" t="n">
        <v>11000</v>
      </c>
      <c r="P6" s="30" t="str">
        <f aca="false">IF(OR(L6="",O6=""),"",O6-L6)</f>
        <v/>
      </c>
      <c r="Q6" s="35" t="str">
        <f aca="false">IF(OR(P6="",O6=0),"",P6/O6)</f>
        <v/>
      </c>
      <c r="R6" s="20" t="str">
        <f aca="true">IF(A6="","",IF(D6="","Falta elegir receta",IF(IFERROR(INDEX(RecEstado,MATCH(D6,ListaRecetas,0)),"Receta no existe")&lt;&gt;"OK","Receta: "&amp;IFERROR(INDEX(RecEstado,MATCH(D6,ListaRecetas,0)),"no existe"),IF(OR(AND(G6&lt;&gt;"",H6=0),AND(I6&lt;&gt;"",J6=0)),"Packaging sin precio","OK"))))</f>
        <v>Receta: Falta rendimiento</v>
      </c>
    </row>
    <row r="7" customFormat="false" ht="15" hidden="false" customHeight="false" outlineLevel="0" collapsed="false">
      <c r="A7" s="15" t="s">
        <v>128</v>
      </c>
      <c r="B7" s="15" t="s">
        <v>173</v>
      </c>
      <c r="C7" s="20" t="str">
        <f aca="false">IF(A7="","",A7&amp;" - "&amp;B7)</f>
        <v>Pan de Molde con Trigo Sarraceno - Pan entero</v>
      </c>
      <c r="D7" s="15" t="s">
        <v>128</v>
      </c>
      <c r="E7" s="27" t="n">
        <v>1</v>
      </c>
      <c r="F7" s="32" t="str">
        <f aca="true">IF(OR(D7="",E7=""),"",IF(IFERROR(INDEX(RecEstado,MATCH(D7,ListaRecetas,0)),"")&lt;&gt;"OK","",IFERROR(E7*INDEX(RecCostoU,MATCH(D7,ListaRecetas,0)),"")))</f>
        <v/>
      </c>
      <c r="G7" s="15" t="s">
        <v>95</v>
      </c>
      <c r="H7" s="32" t="n">
        <f aca="true">IF(G7="",0,IFERROR(INDEX(InsCosto,MATCH(G7,ListaInsumos,0))*1,0))</f>
        <v>0</v>
      </c>
      <c r="I7" s="15" t="s">
        <v>97</v>
      </c>
      <c r="J7" s="32" t="n">
        <f aca="true">IF(I7="",0,IFERROR(INDEX(InsCosto,MATCH(I7,ListaInsumos,0))*1,0))</f>
        <v>50</v>
      </c>
      <c r="K7" s="30" t="str">
        <f aca="false">IF(F7="","",(F7+H7+J7)*CFG_Indirectos)</f>
        <v/>
      </c>
      <c r="L7" s="33" t="str">
        <f aca="false">IF(F7="","",F7+H7+J7+K7)</f>
        <v/>
      </c>
      <c r="M7" s="34" t="n">
        <f aca="false">CFG_Margen</f>
        <v>0.6</v>
      </c>
      <c r="N7" s="33" t="str">
        <f aca="false">IF(OR(L7="",L7=0,M7="",M7&gt;=1),"",IF(CFG_Redondeo&gt;0,CEILING(L7/(1-M7),CFG_Redondeo),L7/(1-M7)))</f>
        <v/>
      </c>
      <c r="O7" s="28" t="n">
        <v>9000</v>
      </c>
      <c r="P7" s="30" t="str">
        <f aca="false">IF(OR(L7="",O7=""),"",O7-L7)</f>
        <v/>
      </c>
      <c r="Q7" s="35" t="str">
        <f aca="false">IF(OR(P7="",O7=0),"",P7/O7)</f>
        <v/>
      </c>
      <c r="R7" s="20" t="str">
        <f aca="true">IF(A7="","",IF(D7="","Falta elegir receta",IF(IFERROR(INDEX(RecEstado,MATCH(D7,ListaRecetas,0)),"Receta no existe")&lt;&gt;"OK","Receta: "&amp;IFERROR(INDEX(RecEstado,MATCH(D7,ListaRecetas,0)),"no existe"),IF(OR(AND(G7&lt;&gt;"",H7=0),AND(I7&lt;&gt;"",J7=0)),"Packaging sin precio","OK"))))</f>
        <v>Receta: Revisar: 8 ingrediente(s) con aviso</v>
      </c>
    </row>
    <row r="8" customFormat="false" ht="15" hidden="false" customHeight="false" outlineLevel="0" collapsed="false">
      <c r="A8" s="15" t="s">
        <v>129</v>
      </c>
      <c r="B8" s="15" t="s">
        <v>171</v>
      </c>
      <c r="C8" s="20" t="str">
        <f aca="false">IF(A8="","",A8&amp;" - "&amp;B8)</f>
        <v>Tablitas de Trigo Sarraceno y Semillas - Individual 70 g</v>
      </c>
      <c r="D8" s="15" t="s">
        <v>129</v>
      </c>
      <c r="E8" s="27" t="n">
        <v>70</v>
      </c>
      <c r="F8" s="32" t="str">
        <f aca="true">IF(OR(D8="",E8=""),"",IF(IFERROR(INDEX(RecEstado,MATCH(D8,ListaRecetas,0)),"")&lt;&gt;"OK","",IFERROR(E8*INDEX(RecCostoU,MATCH(D8,ListaRecetas,0)),"")))</f>
        <v/>
      </c>
      <c r="G8" s="15" t="s">
        <v>91</v>
      </c>
      <c r="H8" s="32" t="n">
        <f aca="true">IF(G8="",0,IFERROR(INDEX(InsCosto,MATCH(G8,ListaInsumos,0))*1,0))</f>
        <v>80</v>
      </c>
      <c r="I8" s="15" t="s">
        <v>97</v>
      </c>
      <c r="J8" s="32" t="n">
        <f aca="true">IF(I8="",0,IFERROR(INDEX(InsCosto,MATCH(I8,ListaInsumos,0))*1,0))</f>
        <v>50</v>
      </c>
      <c r="K8" s="30" t="str">
        <f aca="false">IF(F8="","",(F8+H8+J8)*CFG_Indirectos)</f>
        <v/>
      </c>
      <c r="L8" s="33" t="str">
        <f aca="false">IF(F8="","",F8+H8+J8+K8)</f>
        <v/>
      </c>
      <c r="M8" s="34" t="n">
        <f aca="false">CFG_Margen</f>
        <v>0.6</v>
      </c>
      <c r="N8" s="33" t="str">
        <f aca="false">IF(OR(L8="",L8=0,M8="",M8&gt;=1),"",IF(CFG_Redondeo&gt;0,CEILING(L8/(1-M8),CFG_Redondeo),L8/(1-M8)))</f>
        <v/>
      </c>
      <c r="O8" s="28" t="n">
        <v>2500</v>
      </c>
      <c r="P8" s="30" t="str">
        <f aca="false">IF(OR(L8="",O8=""),"",O8-L8)</f>
        <v/>
      </c>
      <c r="Q8" s="35" t="str">
        <f aca="false">IF(OR(P8="",O8=0),"",P8/O8)</f>
        <v/>
      </c>
      <c r="R8" s="20" t="str">
        <f aca="true">IF(A8="","",IF(D8="","Falta elegir receta",IF(IFERROR(INDEX(RecEstado,MATCH(D8,ListaRecetas,0)),"Receta no existe")&lt;&gt;"OK","Receta: "&amp;IFERROR(INDEX(RecEstado,MATCH(D8,ListaRecetas,0)),"no existe"),IF(OR(AND(G8&lt;&gt;"",H8=0),AND(I8&lt;&gt;"",J8=0)),"Packaging sin precio","OK"))))</f>
        <v>Receta: Falta rendimiento</v>
      </c>
    </row>
    <row r="9" customFormat="false" ht="15" hidden="false" customHeight="false" outlineLevel="0" collapsed="false">
      <c r="A9" s="15" t="s">
        <v>129</v>
      </c>
      <c r="B9" s="15" t="s">
        <v>172</v>
      </c>
      <c r="C9" s="20" t="str">
        <f aca="false">IF(A9="","",A9&amp;" - "&amp;B9)</f>
        <v>Tablitas de Trigo Sarraceno y Semillas - Familiar 210 g</v>
      </c>
      <c r="D9" s="15" t="s">
        <v>129</v>
      </c>
      <c r="E9" s="27" t="n">
        <v>210</v>
      </c>
      <c r="F9" s="32" t="str">
        <f aca="true">IF(OR(D9="",E9=""),"",IF(IFERROR(INDEX(RecEstado,MATCH(D9,ListaRecetas,0)),"")&lt;&gt;"OK","",IFERROR(E9*INDEX(RecCostoU,MATCH(D9,ListaRecetas,0)),"")))</f>
        <v/>
      </c>
      <c r="G9" s="15" t="s">
        <v>94</v>
      </c>
      <c r="H9" s="32" t="n">
        <f aca="true">IF(G9="",0,IFERROR(INDEX(InsCosto,MATCH(G9,ListaInsumos,0))*1,0))</f>
        <v>120</v>
      </c>
      <c r="I9" s="15" t="s">
        <v>97</v>
      </c>
      <c r="J9" s="32" t="n">
        <f aca="true">IF(I9="",0,IFERROR(INDEX(InsCosto,MATCH(I9,ListaInsumos,0))*1,0))</f>
        <v>50</v>
      </c>
      <c r="K9" s="30" t="str">
        <f aca="false">IF(F9="","",(F9+H9+J9)*CFG_Indirectos)</f>
        <v/>
      </c>
      <c r="L9" s="33" t="str">
        <f aca="false">IF(F9="","",F9+H9+J9+K9)</f>
        <v/>
      </c>
      <c r="M9" s="34" t="n">
        <f aca="false">CFG_Margen</f>
        <v>0.6</v>
      </c>
      <c r="N9" s="33" t="str">
        <f aca="false">IF(OR(L9="",L9=0,M9="",M9&gt;=1),"",IF(CFG_Redondeo&gt;0,CEILING(L9/(1-M9),CFG_Redondeo),L9/(1-M9)))</f>
        <v/>
      </c>
      <c r="O9" s="28" t="n">
        <v>7000</v>
      </c>
      <c r="P9" s="30" t="str">
        <f aca="false">IF(OR(L9="",O9=""),"",O9-L9)</f>
        <v/>
      </c>
      <c r="Q9" s="35" t="str">
        <f aca="false">IF(OR(P9="",O9=0),"",P9/O9)</f>
        <v/>
      </c>
      <c r="R9" s="20" t="str">
        <f aca="true">IF(A9="","",IF(D9="","Falta elegir receta",IF(IFERROR(INDEX(RecEstado,MATCH(D9,ListaRecetas,0)),"Receta no existe")&lt;&gt;"OK","Receta: "&amp;IFERROR(INDEX(RecEstado,MATCH(D9,ListaRecetas,0)),"no existe"),IF(OR(AND(G9&lt;&gt;"",H9=0),AND(I9&lt;&gt;"",J9=0)),"Packaging sin precio","OK"))))</f>
        <v>Receta: Falta rendimiento</v>
      </c>
    </row>
    <row r="10" customFormat="false" ht="15" hidden="false" customHeight="false" outlineLevel="0" collapsed="false">
      <c r="A10" s="15" t="s">
        <v>130</v>
      </c>
      <c r="B10" s="15" t="s">
        <v>171</v>
      </c>
      <c r="C10" s="20" t="str">
        <f aca="false">IF(A10="","",A10&amp;" - "&amp;B10)</f>
        <v>Galletas Marineras - Individual 70 g</v>
      </c>
      <c r="D10" s="15" t="s">
        <v>130</v>
      </c>
      <c r="E10" s="27" t="n">
        <v>70</v>
      </c>
      <c r="F10" s="32" t="n">
        <f aca="true">IF(OR(D10="",E10=""),"",IF(IFERROR(INDEX(RecEstado,MATCH(D10,ListaRecetas,0)),"")&lt;&gt;"OK","",IFERROR(E10*INDEX(RecCostoU,MATCH(D10,ListaRecetas,0)),"")))</f>
        <v>405.3</v>
      </c>
      <c r="G10" s="15" t="s">
        <v>91</v>
      </c>
      <c r="H10" s="32" t="n">
        <f aca="true">IF(G10="",0,IFERROR(INDEX(InsCosto,MATCH(G10,ListaInsumos,0))*1,0))</f>
        <v>80</v>
      </c>
      <c r="I10" s="15" t="s">
        <v>97</v>
      </c>
      <c r="J10" s="32" t="n">
        <f aca="true">IF(I10="",0,IFERROR(INDEX(InsCosto,MATCH(I10,ListaInsumos,0))*1,0))</f>
        <v>50</v>
      </c>
      <c r="K10" s="30" t="n">
        <f aca="false">IF(F10="","",(F10+H10+J10)*CFG_Indirectos)</f>
        <v>133.825</v>
      </c>
      <c r="L10" s="33" t="n">
        <f aca="false">IF(F10="","",F10+H10+J10+K10)</f>
        <v>669.125</v>
      </c>
      <c r="M10" s="34" t="n">
        <f aca="false">CFG_Margen</f>
        <v>0.6</v>
      </c>
      <c r="N10" s="33" t="n">
        <f aca="false">IF(OR(L10="",L10=0,M10="",M10&gt;=1),"",IF(CFG_Redondeo&gt;0,CEILING(L10/(1-M10),CFG_Redondeo),L10/(1-M10)))</f>
        <v>1700</v>
      </c>
      <c r="O10" s="28" t="n">
        <v>2500</v>
      </c>
      <c r="P10" s="30" t="n">
        <f aca="false">IF(OR(L10="",O10=""),"",O10-L10)</f>
        <v>1830.875</v>
      </c>
      <c r="Q10" s="35" t="n">
        <f aca="false">IF(OR(P10="",O10=0),"",P10/O10)</f>
        <v>0.73235</v>
      </c>
      <c r="R10" s="20" t="str">
        <f aca="true">IF(A10="","",IF(D10="","Falta elegir receta",IF(IFERROR(INDEX(RecEstado,MATCH(D10,ListaRecetas,0)),"Receta no existe")&lt;&gt;"OK","Receta: "&amp;IFERROR(INDEX(RecEstado,MATCH(D10,ListaRecetas,0)),"no existe"),IF(OR(AND(G10&lt;&gt;"",H10=0),AND(I10&lt;&gt;"",J10=0)),"Packaging sin precio","OK"))))</f>
        <v>OK</v>
      </c>
    </row>
    <row r="11" customFormat="false" ht="15" hidden="false" customHeight="false" outlineLevel="0" collapsed="false">
      <c r="A11" s="15" t="s">
        <v>130</v>
      </c>
      <c r="B11" s="15" t="s">
        <v>172</v>
      </c>
      <c r="C11" s="20" t="str">
        <f aca="false">IF(A11="","",A11&amp;" - "&amp;B11)</f>
        <v>Galletas Marineras - Familiar 210 g</v>
      </c>
      <c r="D11" s="15" t="s">
        <v>130</v>
      </c>
      <c r="E11" s="27" t="n">
        <v>210</v>
      </c>
      <c r="F11" s="32" t="n">
        <f aca="true">IF(OR(D11="",E11=""),"",IF(IFERROR(INDEX(RecEstado,MATCH(D11,ListaRecetas,0)),"")&lt;&gt;"OK","",IFERROR(E11*INDEX(RecCostoU,MATCH(D11,ListaRecetas,0)),"")))</f>
        <v>1215.9</v>
      </c>
      <c r="G11" s="15" t="s">
        <v>94</v>
      </c>
      <c r="H11" s="32" t="n">
        <f aca="true">IF(G11="",0,IFERROR(INDEX(InsCosto,MATCH(G11,ListaInsumos,0))*1,0))</f>
        <v>120</v>
      </c>
      <c r="I11" s="15" t="s">
        <v>97</v>
      </c>
      <c r="J11" s="32" t="n">
        <f aca="true">IF(I11="",0,IFERROR(INDEX(InsCosto,MATCH(I11,ListaInsumos,0))*1,0))</f>
        <v>50</v>
      </c>
      <c r="K11" s="30" t="n">
        <f aca="false">IF(F11="","",(F11+H11+J11)*CFG_Indirectos)</f>
        <v>346.475</v>
      </c>
      <c r="L11" s="33" t="n">
        <f aca="false">IF(F11="","",F11+H11+J11+K11)</f>
        <v>1732.375</v>
      </c>
      <c r="M11" s="34" t="n">
        <f aca="false">CFG_Margen</f>
        <v>0.6</v>
      </c>
      <c r="N11" s="33" t="n">
        <f aca="false">IF(OR(L11="",L11=0,M11="",M11&gt;=1),"",IF(CFG_Redondeo&gt;0,CEILING(L11/(1-M11),CFG_Redondeo),L11/(1-M11)))</f>
        <v>4400</v>
      </c>
      <c r="O11" s="28" t="n">
        <v>7000</v>
      </c>
      <c r="P11" s="30" t="n">
        <f aca="false">IF(OR(L11="",O11=""),"",O11-L11)</f>
        <v>5267.625</v>
      </c>
      <c r="Q11" s="35" t="n">
        <f aca="false">IF(OR(P11="",O11=0),"",P11/O11)</f>
        <v>0.752517857142857</v>
      </c>
      <c r="R11" s="20" t="str">
        <f aca="true">IF(A11="","",IF(D11="","Falta elegir receta",IF(IFERROR(INDEX(RecEstado,MATCH(D11,ListaRecetas,0)),"Receta no existe")&lt;&gt;"OK","Receta: "&amp;IFERROR(INDEX(RecEstado,MATCH(D11,ListaRecetas,0)),"no existe"),IF(OR(AND(G11&lt;&gt;"",H11=0),AND(I11&lt;&gt;"",J11=0)),"Packaging sin precio","OK"))))</f>
        <v>OK</v>
      </c>
    </row>
    <row r="12" customFormat="false" ht="15" hidden="false" customHeight="false" outlineLevel="0" collapsed="false">
      <c r="A12" s="15" t="s">
        <v>131</v>
      </c>
      <c r="B12" s="15" t="s">
        <v>174</v>
      </c>
      <c r="C12" s="20" t="str">
        <f aca="false">IF(A12="","",A12&amp;" - "&amp;B12)</f>
        <v>Crakers de Mijo y Cebolla - Individual 50 g</v>
      </c>
      <c r="D12" s="15" t="s">
        <v>131</v>
      </c>
      <c r="E12" s="27" t="n">
        <v>50</v>
      </c>
      <c r="F12" s="32" t="str">
        <f aca="true">IF(OR(D12="",E12=""),"",IF(IFERROR(INDEX(RecEstado,MATCH(D12,ListaRecetas,0)),"")&lt;&gt;"OK","",IFERROR(E12*INDEX(RecCostoU,MATCH(D12,ListaRecetas,0)),"")))</f>
        <v/>
      </c>
      <c r="G12" s="15" t="s">
        <v>91</v>
      </c>
      <c r="H12" s="32" t="n">
        <f aca="true">IF(G12="",0,IFERROR(INDEX(InsCosto,MATCH(G12,ListaInsumos,0))*1,0))</f>
        <v>80</v>
      </c>
      <c r="I12" s="15" t="s">
        <v>97</v>
      </c>
      <c r="J12" s="32" t="n">
        <f aca="true">IF(I12="",0,IFERROR(INDEX(InsCosto,MATCH(I12,ListaInsumos,0))*1,0))</f>
        <v>50</v>
      </c>
      <c r="K12" s="30" t="str">
        <f aca="false">IF(F12="","",(F12+H12+J12)*CFG_Indirectos)</f>
        <v/>
      </c>
      <c r="L12" s="33" t="str">
        <f aca="false">IF(F12="","",F12+H12+J12+K12)</f>
        <v/>
      </c>
      <c r="M12" s="34" t="n">
        <f aca="false">CFG_Margen</f>
        <v>0.6</v>
      </c>
      <c r="N12" s="33" t="str">
        <f aca="false">IF(OR(L12="",L12=0,M12="",M12&gt;=1),"",IF(CFG_Redondeo&gt;0,CEILING(L12/(1-M12),CFG_Redondeo),L12/(1-M12)))</f>
        <v/>
      </c>
      <c r="O12" s="28" t="n">
        <v>2500</v>
      </c>
      <c r="P12" s="30" t="str">
        <f aca="false">IF(OR(L12="",O12=""),"",O12-L12)</f>
        <v/>
      </c>
      <c r="Q12" s="35" t="str">
        <f aca="false">IF(OR(P12="",O12=0),"",P12/O12)</f>
        <v/>
      </c>
      <c r="R12" s="20" t="str">
        <f aca="true">IF(A12="","",IF(D12="","Falta elegir receta",IF(IFERROR(INDEX(RecEstado,MATCH(D12,ListaRecetas,0)),"Receta no existe")&lt;&gt;"OK","Receta: "&amp;IFERROR(INDEX(RecEstado,MATCH(D12,ListaRecetas,0)),"no existe"),IF(OR(AND(G12&lt;&gt;"",H12=0),AND(I12&lt;&gt;"",J12=0)),"Packaging sin precio","OK"))))</f>
        <v>Receta: Falta rendimiento</v>
      </c>
    </row>
    <row r="13" customFormat="false" ht="15" hidden="false" customHeight="false" outlineLevel="0" collapsed="false">
      <c r="A13" s="15" t="s">
        <v>131</v>
      </c>
      <c r="B13" s="15" t="s">
        <v>175</v>
      </c>
      <c r="C13" s="20" t="str">
        <f aca="false">IF(A13="","",A13&amp;" - "&amp;B13)</f>
        <v>Crakers de Mijo y Cebolla - Familiar 150 g</v>
      </c>
      <c r="D13" s="15" t="s">
        <v>131</v>
      </c>
      <c r="E13" s="27" t="n">
        <v>150</v>
      </c>
      <c r="F13" s="32" t="str">
        <f aca="true">IF(OR(D13="",E13=""),"",IF(IFERROR(INDEX(RecEstado,MATCH(D13,ListaRecetas,0)),"")&lt;&gt;"OK","",IFERROR(E13*INDEX(RecCostoU,MATCH(D13,ListaRecetas,0)),"")))</f>
        <v/>
      </c>
      <c r="G13" s="15" t="s">
        <v>94</v>
      </c>
      <c r="H13" s="32" t="n">
        <f aca="true">IF(G13="",0,IFERROR(INDEX(InsCosto,MATCH(G13,ListaInsumos,0))*1,0))</f>
        <v>120</v>
      </c>
      <c r="I13" s="15" t="s">
        <v>97</v>
      </c>
      <c r="J13" s="32" t="n">
        <f aca="true">IF(I13="",0,IFERROR(INDEX(InsCosto,MATCH(I13,ListaInsumos,0))*1,0))</f>
        <v>50</v>
      </c>
      <c r="K13" s="30" t="str">
        <f aca="false">IF(F13="","",(F13+H13+J13)*CFG_Indirectos)</f>
        <v/>
      </c>
      <c r="L13" s="33" t="str">
        <f aca="false">IF(F13="","",F13+H13+J13+K13)</f>
        <v/>
      </c>
      <c r="M13" s="34" t="n">
        <f aca="false">CFG_Margen</f>
        <v>0.6</v>
      </c>
      <c r="N13" s="33" t="str">
        <f aca="false">IF(OR(L13="",L13=0,M13="",M13&gt;=1),"",IF(CFG_Redondeo&gt;0,CEILING(L13/(1-M13),CFG_Redondeo),L13/(1-M13)))</f>
        <v/>
      </c>
      <c r="O13" s="28" t="n">
        <v>7000</v>
      </c>
      <c r="P13" s="30" t="str">
        <f aca="false">IF(OR(L13="",O13=""),"",O13-L13)</f>
        <v/>
      </c>
      <c r="Q13" s="35" t="str">
        <f aca="false">IF(OR(P13="",O13=0),"",P13/O13)</f>
        <v/>
      </c>
      <c r="R13" s="20" t="str">
        <f aca="true">IF(A13="","",IF(D13="","Falta elegir receta",IF(IFERROR(INDEX(RecEstado,MATCH(D13,ListaRecetas,0)),"Receta no existe")&lt;&gt;"OK","Receta: "&amp;IFERROR(INDEX(RecEstado,MATCH(D13,ListaRecetas,0)),"no existe"),IF(OR(AND(G13&lt;&gt;"",H13=0),AND(I13&lt;&gt;"",J13=0)),"Packaging sin precio","OK"))))</f>
        <v>Receta: Falta rendimiento</v>
      </c>
    </row>
    <row r="14" customFormat="false" ht="15" hidden="false" customHeight="false" outlineLevel="0" collapsed="false">
      <c r="A14" s="15" t="s">
        <v>132</v>
      </c>
      <c r="B14" s="15" t="s">
        <v>174</v>
      </c>
      <c r="C14" s="20" t="str">
        <f aca="false">IF(A14="","",A14&amp;" - "&amp;B14)</f>
        <v>Palitos de Batata y Romero - Individual 50 g</v>
      </c>
      <c r="D14" s="15" t="s">
        <v>132</v>
      </c>
      <c r="E14" s="27" t="n">
        <v>50</v>
      </c>
      <c r="F14" s="32" t="str">
        <f aca="true">IF(OR(D14="",E14=""),"",IF(IFERROR(INDEX(RecEstado,MATCH(D14,ListaRecetas,0)),"")&lt;&gt;"OK","",IFERROR(E14*INDEX(RecCostoU,MATCH(D14,ListaRecetas,0)),"")))</f>
        <v/>
      </c>
      <c r="G14" s="15" t="s">
        <v>91</v>
      </c>
      <c r="H14" s="32" t="n">
        <f aca="true">IF(G14="",0,IFERROR(INDEX(InsCosto,MATCH(G14,ListaInsumos,0))*1,0))</f>
        <v>80</v>
      </c>
      <c r="I14" s="15" t="s">
        <v>97</v>
      </c>
      <c r="J14" s="32" t="n">
        <f aca="true">IF(I14="",0,IFERROR(INDEX(InsCosto,MATCH(I14,ListaInsumos,0))*1,0))</f>
        <v>50</v>
      </c>
      <c r="K14" s="30" t="str">
        <f aca="false">IF(F14="","",(F14+H14+J14)*CFG_Indirectos)</f>
        <v/>
      </c>
      <c r="L14" s="33" t="str">
        <f aca="false">IF(F14="","",F14+H14+J14+K14)</f>
        <v/>
      </c>
      <c r="M14" s="34" t="n">
        <f aca="false">CFG_Margen</f>
        <v>0.6</v>
      </c>
      <c r="N14" s="33" t="str">
        <f aca="false">IF(OR(L14="",L14=0,M14="",M14&gt;=1),"",IF(CFG_Redondeo&gt;0,CEILING(L14/(1-M14),CFG_Redondeo),L14/(1-M14)))</f>
        <v/>
      </c>
      <c r="O14" s="28" t="n">
        <v>3000</v>
      </c>
      <c r="P14" s="30" t="str">
        <f aca="false">IF(OR(L14="",O14=""),"",O14-L14)</f>
        <v/>
      </c>
      <c r="Q14" s="35" t="str">
        <f aca="false">IF(OR(P14="",O14=0),"",P14/O14)</f>
        <v/>
      </c>
      <c r="R14" s="20" t="str">
        <f aca="true">IF(A14="","",IF(D14="","Falta elegir receta",IF(IFERROR(INDEX(RecEstado,MATCH(D14,ListaRecetas,0)),"Receta no existe")&lt;&gt;"OK","Receta: "&amp;IFERROR(INDEX(RecEstado,MATCH(D14,ListaRecetas,0)),"no existe"),IF(OR(AND(G14&lt;&gt;"",H14=0),AND(I14&lt;&gt;"",J14=0)),"Packaging sin precio","OK"))))</f>
        <v>Receta: Falta rendimiento</v>
      </c>
    </row>
    <row r="15" customFormat="false" ht="15" hidden="false" customHeight="false" outlineLevel="0" collapsed="false">
      <c r="A15" s="15" t="s">
        <v>132</v>
      </c>
      <c r="B15" s="15" t="s">
        <v>175</v>
      </c>
      <c r="C15" s="20" t="str">
        <f aca="false">IF(A15="","",A15&amp;" - "&amp;B15)</f>
        <v>Palitos de Batata y Romero - Familiar 150 g</v>
      </c>
      <c r="D15" s="15" t="s">
        <v>132</v>
      </c>
      <c r="E15" s="27" t="n">
        <v>150</v>
      </c>
      <c r="F15" s="32" t="str">
        <f aca="true">IF(OR(D15="",E15=""),"",IF(IFERROR(INDEX(RecEstado,MATCH(D15,ListaRecetas,0)),"")&lt;&gt;"OK","",IFERROR(E15*INDEX(RecCostoU,MATCH(D15,ListaRecetas,0)),"")))</f>
        <v/>
      </c>
      <c r="G15" s="15" t="s">
        <v>94</v>
      </c>
      <c r="H15" s="32" t="n">
        <f aca="true">IF(G15="",0,IFERROR(INDEX(InsCosto,MATCH(G15,ListaInsumos,0))*1,0))</f>
        <v>120</v>
      </c>
      <c r="I15" s="15" t="s">
        <v>97</v>
      </c>
      <c r="J15" s="32" t="n">
        <f aca="true">IF(I15="",0,IFERROR(INDEX(InsCosto,MATCH(I15,ListaInsumos,0))*1,0))</f>
        <v>50</v>
      </c>
      <c r="K15" s="30" t="str">
        <f aca="false">IF(F15="","",(F15+H15+J15)*CFG_Indirectos)</f>
        <v/>
      </c>
      <c r="L15" s="33" t="str">
        <f aca="false">IF(F15="","",F15+H15+J15+K15)</f>
        <v/>
      </c>
      <c r="M15" s="34" t="n">
        <f aca="false">CFG_Margen</f>
        <v>0.6</v>
      </c>
      <c r="N15" s="33" t="str">
        <f aca="false">IF(OR(L15="",L15=0,M15="",M15&gt;=1),"",IF(CFG_Redondeo&gt;0,CEILING(L15/(1-M15),CFG_Redondeo),L15/(1-M15)))</f>
        <v/>
      </c>
      <c r="O15" s="28" t="n">
        <v>8500</v>
      </c>
      <c r="P15" s="30" t="str">
        <f aca="false">IF(OR(L15="",O15=""),"",O15-L15)</f>
        <v/>
      </c>
      <c r="Q15" s="35" t="str">
        <f aca="false">IF(OR(P15="",O15=0),"",P15/O15)</f>
        <v/>
      </c>
      <c r="R15" s="20" t="str">
        <f aca="true">IF(A15="","",IF(D15="","Falta elegir receta",IF(IFERROR(INDEX(RecEstado,MATCH(D15,ListaRecetas,0)),"Receta no existe")&lt;&gt;"OK","Receta: "&amp;IFERROR(INDEX(RecEstado,MATCH(D15,ListaRecetas,0)),"no existe"),IF(OR(AND(G15&lt;&gt;"",H15=0),AND(I15&lt;&gt;"",J15=0)),"Packaging sin precio","OK"))))</f>
        <v>Receta: Falta rendimiento</v>
      </c>
    </row>
    <row r="16" customFormat="false" ht="15" hidden="false" customHeight="false" outlineLevel="0" collapsed="false">
      <c r="A16" s="15" t="s">
        <v>133</v>
      </c>
      <c r="B16" s="15" t="s">
        <v>174</v>
      </c>
      <c r="C16" s="20" t="str">
        <f aca="false">IF(A16="","",A16&amp;" - "&amp;B16)</f>
        <v>Garbancitos Crocantes - Individual 50 g</v>
      </c>
      <c r="D16" s="15" t="s">
        <v>133</v>
      </c>
      <c r="E16" s="27" t="n">
        <v>50</v>
      </c>
      <c r="F16" s="32" t="str">
        <f aca="true">IF(OR(D16="",E16=""),"",IF(IFERROR(INDEX(RecEstado,MATCH(D16,ListaRecetas,0)),"")&lt;&gt;"OK","",IFERROR(E16*INDEX(RecCostoU,MATCH(D16,ListaRecetas,0)),"")))</f>
        <v/>
      </c>
      <c r="G16" s="15" t="s">
        <v>91</v>
      </c>
      <c r="H16" s="32" t="n">
        <f aca="true">IF(G16="",0,IFERROR(INDEX(InsCosto,MATCH(G16,ListaInsumos,0))*1,0))</f>
        <v>80</v>
      </c>
      <c r="I16" s="15" t="s">
        <v>97</v>
      </c>
      <c r="J16" s="32" t="n">
        <f aca="true">IF(I16="",0,IFERROR(INDEX(InsCosto,MATCH(I16,ListaInsumos,0))*1,0))</f>
        <v>50</v>
      </c>
      <c r="K16" s="30" t="str">
        <f aca="false">IF(F16="","",(F16+H16+J16)*CFG_Indirectos)</f>
        <v/>
      </c>
      <c r="L16" s="33" t="str">
        <f aca="false">IF(F16="","",F16+H16+J16+K16)</f>
        <v/>
      </c>
      <c r="M16" s="34" t="n">
        <f aca="false">CFG_Margen</f>
        <v>0.6</v>
      </c>
      <c r="N16" s="33" t="str">
        <f aca="false">IF(OR(L16="",L16=0,M16="",M16&gt;=1),"",IF(CFG_Redondeo&gt;0,CEILING(L16/(1-M16),CFG_Redondeo),L16/(1-M16)))</f>
        <v/>
      </c>
      <c r="O16" s="28" t="n">
        <v>2500</v>
      </c>
      <c r="P16" s="30" t="str">
        <f aca="false">IF(OR(L16="",O16=""),"",O16-L16)</f>
        <v/>
      </c>
      <c r="Q16" s="35" t="str">
        <f aca="false">IF(OR(P16="",O16=0),"",P16/O16)</f>
        <v/>
      </c>
      <c r="R16" s="20" t="str">
        <f aca="true">IF(A16="","",IF(D16="","Falta elegir receta",IF(IFERROR(INDEX(RecEstado,MATCH(D16,ListaRecetas,0)),"Receta no existe")&lt;&gt;"OK","Receta: "&amp;IFERROR(INDEX(RecEstado,MATCH(D16,ListaRecetas,0)),"no existe"),IF(OR(AND(G16&lt;&gt;"",H16=0),AND(I16&lt;&gt;"",J16=0)),"Packaging sin precio","OK"))))</f>
        <v>Receta: Falta rendimiento</v>
      </c>
    </row>
    <row r="17" customFormat="false" ht="15" hidden="false" customHeight="false" outlineLevel="0" collapsed="false">
      <c r="A17" s="15" t="s">
        <v>133</v>
      </c>
      <c r="B17" s="15" t="s">
        <v>175</v>
      </c>
      <c r="C17" s="20" t="str">
        <f aca="false">IF(A17="","",A17&amp;" - "&amp;B17)</f>
        <v>Garbancitos Crocantes - Familiar 150 g</v>
      </c>
      <c r="D17" s="15" t="s">
        <v>133</v>
      </c>
      <c r="E17" s="27" t="n">
        <v>150</v>
      </c>
      <c r="F17" s="32" t="str">
        <f aca="true">IF(OR(D17="",E17=""),"",IF(IFERROR(INDEX(RecEstado,MATCH(D17,ListaRecetas,0)),"")&lt;&gt;"OK","",IFERROR(E17*INDEX(RecCostoU,MATCH(D17,ListaRecetas,0)),"")))</f>
        <v/>
      </c>
      <c r="G17" s="15" t="s">
        <v>94</v>
      </c>
      <c r="H17" s="32" t="n">
        <f aca="true">IF(G17="",0,IFERROR(INDEX(InsCosto,MATCH(G17,ListaInsumos,0))*1,0))</f>
        <v>120</v>
      </c>
      <c r="I17" s="15" t="s">
        <v>97</v>
      </c>
      <c r="J17" s="32" t="n">
        <f aca="true">IF(I17="",0,IFERROR(INDEX(InsCosto,MATCH(I17,ListaInsumos,0))*1,0))</f>
        <v>50</v>
      </c>
      <c r="K17" s="30" t="str">
        <f aca="false">IF(F17="","",(F17+H17+J17)*CFG_Indirectos)</f>
        <v/>
      </c>
      <c r="L17" s="33" t="str">
        <f aca="false">IF(F17="","",F17+H17+J17+K17)</f>
        <v/>
      </c>
      <c r="M17" s="34" t="n">
        <f aca="false">CFG_Margen</f>
        <v>0.6</v>
      </c>
      <c r="N17" s="33" t="str">
        <f aca="false">IF(OR(L17="",L17=0,M17="",M17&gt;=1),"",IF(CFG_Redondeo&gt;0,CEILING(L17/(1-M17),CFG_Redondeo),L17/(1-M17)))</f>
        <v/>
      </c>
      <c r="O17" s="28" t="n">
        <v>7000</v>
      </c>
      <c r="P17" s="30" t="str">
        <f aca="false">IF(OR(L17="",O17=""),"",O17-L17)</f>
        <v/>
      </c>
      <c r="Q17" s="35" t="str">
        <f aca="false">IF(OR(P17="",O17=0),"",P17/O17)</f>
        <v/>
      </c>
      <c r="R17" s="20" t="str">
        <f aca="true">IF(A17="","",IF(D17="","Falta elegir receta",IF(IFERROR(INDEX(RecEstado,MATCH(D17,ListaRecetas,0)),"Receta no existe")&lt;&gt;"OK","Receta: "&amp;IFERROR(INDEX(RecEstado,MATCH(D17,ListaRecetas,0)),"no existe"),IF(OR(AND(G17&lt;&gt;"",H17=0),AND(I17&lt;&gt;"",J17=0)),"Packaging sin precio","OK"))))</f>
        <v>Receta: Falta rendimiento</v>
      </c>
    </row>
    <row r="18" customFormat="false" ht="15" hidden="false" customHeight="false" outlineLevel="0" collapsed="false">
      <c r="A18" s="15" t="s">
        <v>134</v>
      </c>
      <c r="B18" s="15" t="s">
        <v>174</v>
      </c>
      <c r="C18" s="20" t="str">
        <f aca="false">IF(A18="","",A18&amp;" - "&amp;B18)</f>
        <v>Triangulitos de Lentejas Turcas - Individual 50 g</v>
      </c>
      <c r="D18" s="15" t="s">
        <v>134</v>
      </c>
      <c r="E18" s="27" t="n">
        <v>50</v>
      </c>
      <c r="F18" s="32" t="str">
        <f aca="true">IF(OR(D18="",E18=""),"",IF(IFERROR(INDEX(RecEstado,MATCH(D18,ListaRecetas,0)),"")&lt;&gt;"OK","",IFERROR(E18*INDEX(RecCostoU,MATCH(D18,ListaRecetas,0)),"")))</f>
        <v/>
      </c>
      <c r="G18" s="15" t="s">
        <v>91</v>
      </c>
      <c r="H18" s="32" t="n">
        <f aca="true">IF(G18="",0,IFERROR(INDEX(InsCosto,MATCH(G18,ListaInsumos,0))*1,0))</f>
        <v>80</v>
      </c>
      <c r="I18" s="15" t="s">
        <v>97</v>
      </c>
      <c r="J18" s="32" t="n">
        <f aca="true">IF(I18="",0,IFERROR(INDEX(InsCosto,MATCH(I18,ListaInsumos,0))*1,0))</f>
        <v>50</v>
      </c>
      <c r="K18" s="30" t="str">
        <f aca="false">IF(F18="","",(F18+H18+J18)*CFG_Indirectos)</f>
        <v/>
      </c>
      <c r="L18" s="33" t="str">
        <f aca="false">IF(F18="","",F18+H18+J18+K18)</f>
        <v/>
      </c>
      <c r="M18" s="34" t="n">
        <f aca="false">CFG_Margen</f>
        <v>0.6</v>
      </c>
      <c r="N18" s="33" t="str">
        <f aca="false">IF(OR(L18="",L18=0,M18="",M18&gt;=1),"",IF(CFG_Redondeo&gt;0,CEILING(L18/(1-M18),CFG_Redondeo),L18/(1-M18)))</f>
        <v/>
      </c>
      <c r="O18" s="28" t="n">
        <v>2500</v>
      </c>
      <c r="P18" s="30" t="str">
        <f aca="false">IF(OR(L18="",O18=""),"",O18-L18)</f>
        <v/>
      </c>
      <c r="Q18" s="35" t="str">
        <f aca="false">IF(OR(P18="",O18=0),"",P18/O18)</f>
        <v/>
      </c>
      <c r="R18" s="20" t="str">
        <f aca="true">IF(A18="","",IF(D18="","Falta elegir receta",IF(IFERROR(INDEX(RecEstado,MATCH(D18,ListaRecetas,0)),"Receta no existe")&lt;&gt;"OK","Receta: "&amp;IFERROR(INDEX(RecEstado,MATCH(D18,ListaRecetas,0)),"no existe"),IF(OR(AND(G18&lt;&gt;"",H18=0),AND(I18&lt;&gt;"",J18=0)),"Packaging sin precio","OK"))))</f>
        <v>Receta: Falta rendimiento</v>
      </c>
    </row>
    <row r="19" customFormat="false" ht="15" hidden="false" customHeight="false" outlineLevel="0" collapsed="false">
      <c r="A19" s="15" t="s">
        <v>134</v>
      </c>
      <c r="B19" s="15" t="s">
        <v>175</v>
      </c>
      <c r="C19" s="20" t="str">
        <f aca="false">IF(A19="","",A19&amp;" - "&amp;B19)</f>
        <v>Triangulitos de Lentejas Turcas - Familiar 150 g</v>
      </c>
      <c r="D19" s="15" t="s">
        <v>134</v>
      </c>
      <c r="E19" s="27" t="n">
        <v>150</v>
      </c>
      <c r="F19" s="32" t="str">
        <f aca="true">IF(OR(D19="",E19=""),"",IF(IFERROR(INDEX(RecEstado,MATCH(D19,ListaRecetas,0)),"")&lt;&gt;"OK","",IFERROR(E19*INDEX(RecCostoU,MATCH(D19,ListaRecetas,0)),"")))</f>
        <v/>
      </c>
      <c r="G19" s="15" t="s">
        <v>94</v>
      </c>
      <c r="H19" s="32" t="n">
        <f aca="true">IF(G19="",0,IFERROR(INDEX(InsCosto,MATCH(G19,ListaInsumos,0))*1,0))</f>
        <v>120</v>
      </c>
      <c r="I19" s="15" t="s">
        <v>97</v>
      </c>
      <c r="J19" s="32" t="n">
        <f aca="true">IF(I19="",0,IFERROR(INDEX(InsCosto,MATCH(I19,ListaInsumos,0))*1,0))</f>
        <v>50</v>
      </c>
      <c r="K19" s="30" t="str">
        <f aca="false">IF(F19="","",(F19+H19+J19)*CFG_Indirectos)</f>
        <v/>
      </c>
      <c r="L19" s="33" t="str">
        <f aca="false">IF(F19="","",F19+H19+J19+K19)</f>
        <v/>
      </c>
      <c r="M19" s="34" t="n">
        <f aca="false">CFG_Margen</f>
        <v>0.6</v>
      </c>
      <c r="N19" s="33" t="str">
        <f aca="false">IF(OR(L19="",L19=0,M19="",M19&gt;=1),"",IF(CFG_Redondeo&gt;0,CEILING(L19/(1-M19),CFG_Redondeo),L19/(1-M19)))</f>
        <v/>
      </c>
      <c r="O19" s="28" t="n">
        <v>7000</v>
      </c>
      <c r="P19" s="30" t="str">
        <f aca="false">IF(OR(L19="",O19=""),"",O19-L19)</f>
        <v/>
      </c>
      <c r="Q19" s="35" t="str">
        <f aca="false">IF(OR(P19="",O19=0),"",P19/O19)</f>
        <v/>
      </c>
      <c r="R19" s="20" t="str">
        <f aca="true">IF(A19="","",IF(D19="","Falta elegir receta",IF(IFERROR(INDEX(RecEstado,MATCH(D19,ListaRecetas,0)),"Receta no existe")&lt;&gt;"OK","Receta: "&amp;IFERROR(INDEX(RecEstado,MATCH(D19,ListaRecetas,0)),"no existe"),IF(OR(AND(G19&lt;&gt;"",H19=0),AND(I19&lt;&gt;"",J19=0)),"Packaging sin precio","OK"))))</f>
        <v>Receta: Falta rendimiento</v>
      </c>
    </row>
    <row r="20" customFormat="false" ht="15" hidden="false" customHeight="false" outlineLevel="0" collapsed="false">
      <c r="A20" s="15" t="s">
        <v>135</v>
      </c>
      <c r="B20" s="15" t="s">
        <v>174</v>
      </c>
      <c r="C20" s="20" t="str">
        <f aca="false">IF(A20="","",A20&amp;" - "&amp;B20)</f>
        <v>Papas al Orégano - Individual 50 g</v>
      </c>
      <c r="D20" s="15" t="s">
        <v>135</v>
      </c>
      <c r="E20" s="27" t="n">
        <v>50</v>
      </c>
      <c r="F20" s="32" t="str">
        <f aca="true">IF(OR(D20="",E20=""),"",IF(IFERROR(INDEX(RecEstado,MATCH(D20,ListaRecetas,0)),"")&lt;&gt;"OK","",IFERROR(E20*INDEX(RecCostoU,MATCH(D20,ListaRecetas,0)),"")))</f>
        <v/>
      </c>
      <c r="G20" s="15" t="s">
        <v>91</v>
      </c>
      <c r="H20" s="32" t="n">
        <f aca="true">IF(G20="",0,IFERROR(INDEX(InsCosto,MATCH(G20,ListaInsumos,0))*1,0))</f>
        <v>80</v>
      </c>
      <c r="I20" s="15" t="s">
        <v>97</v>
      </c>
      <c r="J20" s="32" t="n">
        <f aca="true">IF(I20="",0,IFERROR(INDEX(InsCosto,MATCH(I20,ListaInsumos,0))*1,0))</f>
        <v>50</v>
      </c>
      <c r="K20" s="30" t="str">
        <f aca="false">IF(F20="","",(F20+H20+J20)*CFG_Indirectos)</f>
        <v/>
      </c>
      <c r="L20" s="33" t="str">
        <f aca="false">IF(F20="","",F20+H20+J20+K20)</f>
        <v/>
      </c>
      <c r="M20" s="34" t="n">
        <f aca="false">CFG_Margen</f>
        <v>0.6</v>
      </c>
      <c r="N20" s="33" t="str">
        <f aca="false">IF(OR(L20="",L20=0,M20="",M20&gt;=1),"",IF(CFG_Redondeo&gt;0,CEILING(L20/(1-M20),CFG_Redondeo),L20/(1-M20)))</f>
        <v/>
      </c>
      <c r="O20" s="28" t="n">
        <v>2500</v>
      </c>
      <c r="P20" s="30" t="str">
        <f aca="false">IF(OR(L20="",O20=""),"",O20-L20)</f>
        <v/>
      </c>
      <c r="Q20" s="35" t="str">
        <f aca="false">IF(OR(P20="",O20=0),"",P20/O20)</f>
        <v/>
      </c>
      <c r="R20" s="20" t="str">
        <f aca="true">IF(A20="","",IF(D20="","Falta elegir receta",IF(IFERROR(INDEX(RecEstado,MATCH(D20,ListaRecetas,0)),"Receta no existe")&lt;&gt;"OK","Receta: "&amp;IFERROR(INDEX(RecEstado,MATCH(D20,ListaRecetas,0)),"no existe"),IF(OR(AND(G20&lt;&gt;"",H20=0),AND(I20&lt;&gt;"",J20=0)),"Packaging sin precio","OK"))))</f>
        <v>Receta: Falta rendimiento</v>
      </c>
    </row>
    <row r="21" customFormat="false" ht="15" hidden="false" customHeight="false" outlineLevel="0" collapsed="false">
      <c r="A21" s="15" t="s">
        <v>135</v>
      </c>
      <c r="B21" s="15" t="s">
        <v>175</v>
      </c>
      <c r="C21" s="20" t="str">
        <f aca="false">IF(A21="","",A21&amp;" - "&amp;B21)</f>
        <v>Papas al Orégano - Familiar 150 g</v>
      </c>
      <c r="D21" s="15" t="s">
        <v>135</v>
      </c>
      <c r="E21" s="27" t="n">
        <v>150</v>
      </c>
      <c r="F21" s="32" t="str">
        <f aca="true">IF(OR(D21="",E21=""),"",IF(IFERROR(INDEX(RecEstado,MATCH(D21,ListaRecetas,0)),"")&lt;&gt;"OK","",IFERROR(E21*INDEX(RecCostoU,MATCH(D21,ListaRecetas,0)),"")))</f>
        <v/>
      </c>
      <c r="G21" s="15" t="s">
        <v>94</v>
      </c>
      <c r="H21" s="32" t="n">
        <f aca="true">IF(G21="",0,IFERROR(INDEX(InsCosto,MATCH(G21,ListaInsumos,0))*1,0))</f>
        <v>120</v>
      </c>
      <c r="I21" s="15" t="s">
        <v>97</v>
      </c>
      <c r="J21" s="32" t="n">
        <f aca="true">IF(I21="",0,IFERROR(INDEX(InsCosto,MATCH(I21,ListaInsumos,0))*1,0))</f>
        <v>50</v>
      </c>
      <c r="K21" s="30" t="str">
        <f aca="false">IF(F21="","",(F21+H21+J21)*CFG_Indirectos)</f>
        <v/>
      </c>
      <c r="L21" s="33" t="str">
        <f aca="false">IF(F21="","",F21+H21+J21+K21)</f>
        <v/>
      </c>
      <c r="M21" s="34" t="n">
        <f aca="false">CFG_Margen</f>
        <v>0.6</v>
      </c>
      <c r="N21" s="33" t="str">
        <f aca="false">IF(OR(L21="",L21=0,M21="",M21&gt;=1),"",IF(CFG_Redondeo&gt;0,CEILING(L21/(1-M21),CFG_Redondeo),L21/(1-M21)))</f>
        <v/>
      </c>
      <c r="O21" s="28" t="n">
        <v>7000</v>
      </c>
      <c r="P21" s="30" t="str">
        <f aca="false">IF(OR(L21="",O21=""),"",O21-L21)</f>
        <v/>
      </c>
      <c r="Q21" s="35" t="str">
        <f aca="false">IF(OR(P21="",O21=0),"",P21/O21)</f>
        <v/>
      </c>
      <c r="R21" s="20" t="str">
        <f aca="true">IF(A21="","",IF(D21="","Falta elegir receta",IF(IFERROR(INDEX(RecEstado,MATCH(D21,ListaRecetas,0)),"Receta no existe")&lt;&gt;"OK","Receta: "&amp;IFERROR(INDEX(RecEstado,MATCH(D21,ListaRecetas,0)),"no existe"),IF(OR(AND(G21&lt;&gt;"",H21=0),AND(I21&lt;&gt;"",J21=0)),"Packaging sin precio","OK"))))</f>
        <v>Receta: Falta rendimiento</v>
      </c>
    </row>
    <row r="22" customFormat="false" ht="15" hidden="false" customHeight="false" outlineLevel="0" collapsed="false">
      <c r="A22" s="15" t="s">
        <v>136</v>
      </c>
      <c r="B22" s="15" t="s">
        <v>174</v>
      </c>
      <c r="C22" s="20" t="str">
        <f aca="false">IF(A22="","",A22&amp;" - "&amp;B22)</f>
        <v>Grisines a la Provenzal - Individual 50 g</v>
      </c>
      <c r="D22" s="15" t="s">
        <v>136</v>
      </c>
      <c r="E22" s="27" t="n">
        <v>50</v>
      </c>
      <c r="F22" s="32" t="str">
        <f aca="true">IF(OR(D22="",E22=""),"",IF(IFERROR(INDEX(RecEstado,MATCH(D22,ListaRecetas,0)),"")&lt;&gt;"OK","",IFERROR(E22*INDEX(RecCostoU,MATCH(D22,ListaRecetas,0)),"")))</f>
        <v/>
      </c>
      <c r="G22" s="15" t="s">
        <v>91</v>
      </c>
      <c r="H22" s="32" t="n">
        <f aca="true">IF(G22="",0,IFERROR(INDEX(InsCosto,MATCH(G22,ListaInsumos,0))*1,0))</f>
        <v>80</v>
      </c>
      <c r="I22" s="15" t="s">
        <v>97</v>
      </c>
      <c r="J22" s="32" t="n">
        <f aca="true">IF(I22="",0,IFERROR(INDEX(InsCosto,MATCH(I22,ListaInsumos,0))*1,0))</f>
        <v>50</v>
      </c>
      <c r="K22" s="30" t="str">
        <f aca="false">IF(F22="","",(F22+H22+J22)*CFG_Indirectos)</f>
        <v/>
      </c>
      <c r="L22" s="33" t="str">
        <f aca="false">IF(F22="","",F22+H22+J22+K22)</f>
        <v/>
      </c>
      <c r="M22" s="34" t="n">
        <f aca="false">CFG_Margen</f>
        <v>0.6</v>
      </c>
      <c r="N22" s="33" t="str">
        <f aca="false">IF(OR(L22="",L22=0,M22="",M22&gt;=1),"",IF(CFG_Redondeo&gt;0,CEILING(L22/(1-M22),CFG_Redondeo),L22/(1-M22)))</f>
        <v/>
      </c>
      <c r="O22" s="28" t="n">
        <v>2500</v>
      </c>
      <c r="P22" s="30" t="str">
        <f aca="false">IF(OR(L22="",O22=""),"",O22-L22)</f>
        <v/>
      </c>
      <c r="Q22" s="35" t="str">
        <f aca="false">IF(OR(P22="",O22=0),"",P22/O22)</f>
        <v/>
      </c>
      <c r="R22" s="20" t="str">
        <f aca="true">IF(A22="","",IF(D22="","Falta elegir receta",IF(IFERROR(INDEX(RecEstado,MATCH(D22,ListaRecetas,0)),"Receta no existe")&lt;&gt;"OK","Receta: "&amp;IFERROR(INDEX(RecEstado,MATCH(D22,ListaRecetas,0)),"no existe"),IF(OR(AND(G22&lt;&gt;"",H22=0),AND(I22&lt;&gt;"",J22=0)),"Packaging sin precio","OK"))))</f>
        <v>Receta: Falta rendimiento</v>
      </c>
    </row>
    <row r="23" customFormat="false" ht="15" hidden="false" customHeight="false" outlineLevel="0" collapsed="false">
      <c r="A23" s="15" t="s">
        <v>136</v>
      </c>
      <c r="B23" s="15" t="s">
        <v>175</v>
      </c>
      <c r="C23" s="20" t="str">
        <f aca="false">IF(A23="","",A23&amp;" - "&amp;B23)</f>
        <v>Grisines a la Provenzal - Familiar 150 g</v>
      </c>
      <c r="D23" s="15" t="s">
        <v>136</v>
      </c>
      <c r="E23" s="27" t="n">
        <v>150</v>
      </c>
      <c r="F23" s="32" t="str">
        <f aca="true">IF(OR(D23="",E23=""),"",IF(IFERROR(INDEX(RecEstado,MATCH(D23,ListaRecetas,0)),"")&lt;&gt;"OK","",IFERROR(E23*INDEX(RecCostoU,MATCH(D23,ListaRecetas,0)),"")))</f>
        <v/>
      </c>
      <c r="G23" s="15" t="s">
        <v>94</v>
      </c>
      <c r="H23" s="32" t="n">
        <f aca="true">IF(G23="",0,IFERROR(INDEX(InsCosto,MATCH(G23,ListaInsumos,0))*1,0))</f>
        <v>120</v>
      </c>
      <c r="I23" s="15" t="s">
        <v>97</v>
      </c>
      <c r="J23" s="32" t="n">
        <f aca="true">IF(I23="",0,IFERROR(INDEX(InsCosto,MATCH(I23,ListaInsumos,0))*1,0))</f>
        <v>50</v>
      </c>
      <c r="K23" s="30" t="str">
        <f aca="false">IF(F23="","",(F23+H23+J23)*CFG_Indirectos)</f>
        <v/>
      </c>
      <c r="L23" s="33" t="str">
        <f aca="false">IF(F23="","",F23+H23+J23+K23)</f>
        <v/>
      </c>
      <c r="M23" s="34" t="n">
        <f aca="false">CFG_Margen</f>
        <v>0.6</v>
      </c>
      <c r="N23" s="33" t="str">
        <f aca="false">IF(OR(L23="",L23=0,M23="",M23&gt;=1),"",IF(CFG_Redondeo&gt;0,CEILING(L23/(1-M23),CFG_Redondeo),L23/(1-M23)))</f>
        <v/>
      </c>
      <c r="O23" s="28" t="n">
        <v>7500</v>
      </c>
      <c r="P23" s="30" t="str">
        <f aca="false">IF(OR(L23="",O23=""),"",O23-L23)</f>
        <v/>
      </c>
      <c r="Q23" s="35" t="str">
        <f aca="false">IF(OR(P23="",O23=0),"",P23/O23)</f>
        <v/>
      </c>
      <c r="R23" s="20" t="str">
        <f aca="true">IF(A23="","",IF(D23="","Falta elegir receta",IF(IFERROR(INDEX(RecEstado,MATCH(D23,ListaRecetas,0)),"Receta no existe")&lt;&gt;"OK","Receta: "&amp;IFERROR(INDEX(RecEstado,MATCH(D23,ListaRecetas,0)),"no existe"),IF(OR(AND(G23&lt;&gt;"",H23=0),AND(I23&lt;&gt;"",J23=0)),"Packaging sin precio","OK"))))</f>
        <v>Receta: Falta rendimiento</v>
      </c>
    </row>
    <row r="24" customFormat="false" ht="15" hidden="false" customHeight="false" outlineLevel="0" collapsed="false">
      <c r="A24" s="15" t="s">
        <v>137</v>
      </c>
      <c r="B24" s="15" t="s">
        <v>176</v>
      </c>
      <c r="C24" s="20" t="str">
        <f aca="false">IF(A24="","",A24&amp;" - "&amp;B24)</f>
        <v>Rueditas de Naranja y Chocolate - Individual 75 g</v>
      </c>
      <c r="D24" s="15" t="s">
        <v>137</v>
      </c>
      <c r="E24" s="27" t="n">
        <v>75</v>
      </c>
      <c r="F24" s="32" t="str">
        <f aca="true">IF(OR(D24="",E24=""),"",IF(IFERROR(INDEX(RecEstado,MATCH(D24,ListaRecetas,0)),"")&lt;&gt;"OK","",IFERROR(E24*INDEX(RecCostoU,MATCH(D24,ListaRecetas,0)),"")))</f>
        <v/>
      </c>
      <c r="G24" s="15" t="s">
        <v>91</v>
      </c>
      <c r="H24" s="32" t="n">
        <f aca="true">IF(G24="",0,IFERROR(INDEX(InsCosto,MATCH(G24,ListaInsumos,0))*1,0))</f>
        <v>80</v>
      </c>
      <c r="I24" s="15" t="s">
        <v>97</v>
      </c>
      <c r="J24" s="32" t="n">
        <f aca="true">IF(I24="",0,IFERROR(INDEX(InsCosto,MATCH(I24,ListaInsumos,0))*1,0))</f>
        <v>50</v>
      </c>
      <c r="K24" s="30" t="str">
        <f aca="false">IF(F24="","",(F24+H24+J24)*CFG_Indirectos)</f>
        <v/>
      </c>
      <c r="L24" s="33" t="str">
        <f aca="false">IF(F24="","",F24+H24+J24+K24)</f>
        <v/>
      </c>
      <c r="M24" s="34" t="n">
        <f aca="false">CFG_Margen</f>
        <v>0.6</v>
      </c>
      <c r="N24" s="33" t="str">
        <f aca="false">IF(OR(L24="",L24=0,M24="",M24&gt;=1),"",IF(CFG_Redondeo&gt;0,CEILING(L24/(1-M24),CFG_Redondeo),L24/(1-M24)))</f>
        <v/>
      </c>
      <c r="O24" s="28" t="n">
        <v>4000</v>
      </c>
      <c r="P24" s="30" t="str">
        <f aca="false">IF(OR(L24="",O24=""),"",O24-L24)</f>
        <v/>
      </c>
      <c r="Q24" s="35" t="str">
        <f aca="false">IF(OR(P24="",O24=0),"",P24/O24)</f>
        <v/>
      </c>
      <c r="R24" s="20" t="str">
        <f aca="true">IF(A24="","",IF(D24="","Falta elegir receta",IF(IFERROR(INDEX(RecEstado,MATCH(D24,ListaRecetas,0)),"Receta no existe")&lt;&gt;"OK","Receta: "&amp;IFERROR(INDEX(RecEstado,MATCH(D24,ListaRecetas,0)),"no existe"),IF(OR(AND(G24&lt;&gt;"",H24=0),AND(I24&lt;&gt;"",J24=0)),"Packaging sin precio","OK"))))</f>
        <v>Receta: Falta rendimiento</v>
      </c>
    </row>
    <row r="25" customFormat="false" ht="15" hidden="false" customHeight="false" outlineLevel="0" collapsed="false">
      <c r="A25" s="15" t="s">
        <v>137</v>
      </c>
      <c r="B25" s="15" t="s">
        <v>177</v>
      </c>
      <c r="C25" s="20" t="str">
        <f aca="false">IF(A25="","",A25&amp;" - "&amp;B25)</f>
        <v>Rueditas de Naranja y Chocolate - Familiar 225 g</v>
      </c>
      <c r="D25" s="15" t="s">
        <v>137</v>
      </c>
      <c r="E25" s="27" t="n">
        <v>225</v>
      </c>
      <c r="F25" s="32" t="str">
        <f aca="true">IF(OR(D25="",E25=""),"",IF(IFERROR(INDEX(RecEstado,MATCH(D25,ListaRecetas,0)),"")&lt;&gt;"OK","",IFERROR(E25*INDEX(RecCostoU,MATCH(D25,ListaRecetas,0)),"")))</f>
        <v/>
      </c>
      <c r="G25" s="15" t="s">
        <v>94</v>
      </c>
      <c r="H25" s="32" t="n">
        <f aca="true">IF(G25="",0,IFERROR(INDEX(InsCosto,MATCH(G25,ListaInsumos,0))*1,0))</f>
        <v>120</v>
      </c>
      <c r="I25" s="15" t="s">
        <v>97</v>
      </c>
      <c r="J25" s="32" t="n">
        <f aca="true">IF(I25="",0,IFERROR(INDEX(InsCosto,MATCH(I25,ListaInsumos,0))*1,0))</f>
        <v>50</v>
      </c>
      <c r="K25" s="30" t="str">
        <f aca="false">IF(F25="","",(F25+H25+J25)*CFG_Indirectos)</f>
        <v/>
      </c>
      <c r="L25" s="33" t="str">
        <f aca="false">IF(F25="","",F25+H25+J25+K25)</f>
        <v/>
      </c>
      <c r="M25" s="34" t="n">
        <f aca="false">CFG_Margen</f>
        <v>0.6</v>
      </c>
      <c r="N25" s="33" t="str">
        <f aca="false">IF(OR(L25="",L25=0,M25="",M25&gt;=1),"",IF(CFG_Redondeo&gt;0,CEILING(L25/(1-M25),CFG_Redondeo),L25/(1-M25)))</f>
        <v/>
      </c>
      <c r="O25" s="28" t="n">
        <v>11000</v>
      </c>
      <c r="P25" s="30" t="str">
        <f aca="false">IF(OR(L25="",O25=""),"",O25-L25)</f>
        <v/>
      </c>
      <c r="Q25" s="35" t="str">
        <f aca="false">IF(OR(P25="",O25=0),"",P25/O25)</f>
        <v/>
      </c>
      <c r="R25" s="20" t="str">
        <f aca="true">IF(A25="","",IF(D25="","Falta elegir receta",IF(IFERROR(INDEX(RecEstado,MATCH(D25,ListaRecetas,0)),"Receta no existe")&lt;&gt;"OK","Receta: "&amp;IFERROR(INDEX(RecEstado,MATCH(D25,ListaRecetas,0)),"no existe"),IF(OR(AND(G25&lt;&gt;"",H25=0),AND(I25&lt;&gt;"",J25=0)),"Packaging sin precio","OK"))))</f>
        <v>Receta: Falta rendimiento</v>
      </c>
    </row>
    <row r="26" customFormat="false" ht="15" hidden="false" customHeight="false" outlineLevel="0" collapsed="false">
      <c r="A26" s="15" t="s">
        <v>138</v>
      </c>
      <c r="B26" s="15" t="s">
        <v>174</v>
      </c>
      <c r="C26" s="20" t="str">
        <f aca="false">IF(A26="","",A26&amp;" - "&amp;B26)</f>
        <v>Bastoncitos de Zanahoria y Remolacha - Individual 50 g</v>
      </c>
      <c r="D26" s="15" t="s">
        <v>138</v>
      </c>
      <c r="E26" s="27" t="n">
        <v>50</v>
      </c>
      <c r="F26" s="32" t="str">
        <f aca="true">IF(OR(D26="",E26=""),"",IF(IFERROR(INDEX(RecEstado,MATCH(D26,ListaRecetas,0)),"")&lt;&gt;"OK","",IFERROR(E26*INDEX(RecCostoU,MATCH(D26,ListaRecetas,0)),"")))</f>
        <v/>
      </c>
      <c r="G26" s="15" t="s">
        <v>91</v>
      </c>
      <c r="H26" s="32" t="n">
        <f aca="true">IF(G26="",0,IFERROR(INDEX(InsCosto,MATCH(G26,ListaInsumos,0))*1,0))</f>
        <v>80</v>
      </c>
      <c r="I26" s="15" t="s">
        <v>97</v>
      </c>
      <c r="J26" s="32" t="n">
        <f aca="true">IF(I26="",0,IFERROR(INDEX(InsCosto,MATCH(I26,ListaInsumos,0))*1,0))</f>
        <v>50</v>
      </c>
      <c r="K26" s="30" t="str">
        <f aca="false">IF(F26="","",(F26+H26+J26)*CFG_Indirectos)</f>
        <v/>
      </c>
      <c r="L26" s="33" t="str">
        <f aca="false">IF(F26="","",F26+H26+J26+K26)</f>
        <v/>
      </c>
      <c r="M26" s="34" t="n">
        <f aca="false">CFG_Margen</f>
        <v>0.6</v>
      </c>
      <c r="N26" s="33" t="str">
        <f aca="false">IF(OR(L26="",L26=0,M26="",M26&gt;=1),"",IF(CFG_Redondeo&gt;0,CEILING(L26/(1-M26),CFG_Redondeo),L26/(1-M26)))</f>
        <v/>
      </c>
      <c r="O26" s="28" t="n">
        <v>3000</v>
      </c>
      <c r="P26" s="30" t="str">
        <f aca="false">IF(OR(L26="",O26=""),"",O26-L26)</f>
        <v/>
      </c>
      <c r="Q26" s="35" t="str">
        <f aca="false">IF(OR(P26="",O26=0),"",P26/O26)</f>
        <v/>
      </c>
      <c r="R26" s="20" t="str">
        <f aca="true">IF(A26="","",IF(D26="","Falta elegir receta",IF(IFERROR(INDEX(RecEstado,MATCH(D26,ListaRecetas,0)),"Receta no existe")&lt;&gt;"OK","Receta: "&amp;IFERROR(INDEX(RecEstado,MATCH(D26,ListaRecetas,0)),"no existe"),IF(OR(AND(G26&lt;&gt;"",H26=0),AND(I26&lt;&gt;"",J26=0)),"Packaging sin precio","OK"))))</f>
        <v>Receta: Falta rendimiento</v>
      </c>
    </row>
    <row r="27" customFormat="false" ht="15" hidden="false" customHeight="false" outlineLevel="0" collapsed="false">
      <c r="A27" s="15" t="s">
        <v>138</v>
      </c>
      <c r="B27" s="15" t="s">
        <v>175</v>
      </c>
      <c r="C27" s="20" t="str">
        <f aca="false">IF(A27="","",A27&amp;" - "&amp;B27)</f>
        <v>Bastoncitos de Zanahoria y Remolacha - Familiar 150 g</v>
      </c>
      <c r="D27" s="15" t="s">
        <v>138</v>
      </c>
      <c r="E27" s="27" t="n">
        <v>150</v>
      </c>
      <c r="F27" s="32" t="str">
        <f aca="true">IF(OR(D27="",E27=""),"",IF(IFERROR(INDEX(RecEstado,MATCH(D27,ListaRecetas,0)),"")&lt;&gt;"OK","",IFERROR(E27*INDEX(RecCostoU,MATCH(D27,ListaRecetas,0)),"")))</f>
        <v/>
      </c>
      <c r="G27" s="15" t="s">
        <v>94</v>
      </c>
      <c r="H27" s="32" t="n">
        <f aca="true">IF(G27="",0,IFERROR(INDEX(InsCosto,MATCH(G27,ListaInsumos,0))*1,0))</f>
        <v>120</v>
      </c>
      <c r="I27" s="15" t="s">
        <v>97</v>
      </c>
      <c r="J27" s="32" t="n">
        <f aca="true">IF(I27="",0,IFERROR(INDEX(InsCosto,MATCH(I27,ListaInsumos,0))*1,0))</f>
        <v>50</v>
      </c>
      <c r="K27" s="30" t="str">
        <f aca="false">IF(F27="","",(F27+H27+J27)*CFG_Indirectos)</f>
        <v/>
      </c>
      <c r="L27" s="33" t="str">
        <f aca="false">IF(F27="","",F27+H27+J27+K27)</f>
        <v/>
      </c>
      <c r="M27" s="34" t="n">
        <f aca="false">CFG_Margen</f>
        <v>0.6</v>
      </c>
      <c r="N27" s="33" t="str">
        <f aca="false">IF(OR(L27="",L27=0,M27="",M27&gt;=1),"",IF(CFG_Redondeo&gt;0,CEILING(L27/(1-M27),CFG_Redondeo),L27/(1-M27)))</f>
        <v/>
      </c>
      <c r="O27" s="28" t="n">
        <v>8000</v>
      </c>
      <c r="P27" s="30" t="str">
        <f aca="false">IF(OR(L27="",O27=""),"",O27-L27)</f>
        <v/>
      </c>
      <c r="Q27" s="35" t="str">
        <f aca="false">IF(OR(P27="",O27=0),"",P27/O27)</f>
        <v/>
      </c>
      <c r="R27" s="20" t="str">
        <f aca="true">IF(A27="","",IF(D27="","Falta elegir receta",IF(IFERROR(INDEX(RecEstado,MATCH(D27,ListaRecetas,0)),"Receta no existe")&lt;&gt;"OK","Receta: "&amp;IFERROR(INDEX(RecEstado,MATCH(D27,ListaRecetas,0)),"no existe"),IF(OR(AND(G27&lt;&gt;"",H27=0),AND(I27&lt;&gt;"",J27=0)),"Packaging sin precio","OK"))))</f>
        <v>Receta: Falta rendimiento</v>
      </c>
    </row>
    <row r="28" customFormat="false" ht="15" hidden="false" customHeight="false" outlineLevel="0" collapsed="false">
      <c r="A28" s="15" t="s">
        <v>178</v>
      </c>
      <c r="B28" s="15" t="s">
        <v>179</v>
      </c>
      <c r="C28" s="20" t="str">
        <f aca="false">IF(A28="","",A28&amp;" - "&amp;B28)</f>
        <v>Mermeladas Artesanales - 200 g (cualquier sabor)</v>
      </c>
      <c r="D28" s="15" t="s">
        <v>140</v>
      </c>
      <c r="E28" s="27" t="n">
        <v>1</v>
      </c>
      <c r="F28" s="32" t="str">
        <f aca="true">IF(OR(D28="",E28=""),"",IF(IFERROR(INDEX(RecEstado,MATCH(D28,ListaRecetas,0)),"")&lt;&gt;"OK","",IFERROR(E28*INDEX(RecCostoU,MATCH(D28,ListaRecetas,0)),"")))</f>
        <v/>
      </c>
      <c r="G28" s="15"/>
      <c r="H28" s="32" t="n">
        <f aca="true">IF(G28="",0,IFERROR(INDEX(InsCosto,MATCH(G28,ListaInsumos,0))*1,0))</f>
        <v>0</v>
      </c>
      <c r="I28" s="15"/>
      <c r="J28" s="32" t="n">
        <f aca="true">IF(I28="",0,IFERROR(INDEX(InsCosto,MATCH(I28,ListaInsumos,0))*1,0))</f>
        <v>0</v>
      </c>
      <c r="K28" s="30" t="str">
        <f aca="false">IF(F28="","",(F28+H28+J28)*CFG_Indirectos)</f>
        <v/>
      </c>
      <c r="L28" s="33" t="str">
        <f aca="false">IF(F28="","",F28+H28+J28+K28)</f>
        <v/>
      </c>
      <c r="M28" s="34" t="n">
        <f aca="false">CFG_Margen</f>
        <v>0.6</v>
      </c>
      <c r="N28" s="33" t="str">
        <f aca="false">IF(OR(L28="",L28=0,M28="",M28&gt;=1),"",IF(CFG_Redondeo&gt;0,CEILING(L28/(1-M28),CFG_Redondeo),L28/(1-M28)))</f>
        <v/>
      </c>
      <c r="O28" s="28" t="n">
        <v>3500</v>
      </c>
      <c r="P28" s="30" t="str">
        <f aca="false">IF(OR(L28="",O28=""),"",O28-L28)</f>
        <v/>
      </c>
      <c r="Q28" s="35" t="str">
        <f aca="false">IF(OR(P28="",O28=0),"",P28/O28)</f>
        <v/>
      </c>
      <c r="R28" s="20" t="str">
        <f aca="true">IF(A28="","",IF(D28="","Falta elegir receta",IF(IFERROR(INDEX(RecEstado,MATCH(D28,ListaRecetas,0)),"Receta no existe")&lt;&gt;"OK","Receta: "&amp;IFERROR(INDEX(RecEstado,MATCH(D28,ListaRecetas,0)),"no existe"),IF(OR(AND(G28&lt;&gt;"",H28=0),AND(I28&lt;&gt;"",J28=0)),"Packaging sin precio","OK"))))</f>
        <v>Receta: Revisar: 1 ingrediente(s) con aviso</v>
      </c>
    </row>
    <row r="29" customFormat="false" ht="15" hidden="false" customHeight="false" outlineLevel="0" collapsed="false">
      <c r="A29" s="15" t="s">
        <v>180</v>
      </c>
      <c r="B29" s="15" t="s">
        <v>100</v>
      </c>
      <c r="C29" s="20" t="str">
        <f aca="false">IF(A29="","",A29&amp;" - "&amp;B29)</f>
        <v>Conservas de Lo Artesanal - Berenjenas Húngaras 150 g</v>
      </c>
      <c r="D29" s="15" t="s">
        <v>141</v>
      </c>
      <c r="E29" s="27" t="n">
        <v>1</v>
      </c>
      <c r="F29" s="32" t="str">
        <f aca="true">IF(OR(D29="",E29=""),"",IF(IFERROR(INDEX(RecEstado,MATCH(D29,ListaRecetas,0)),"")&lt;&gt;"OK","",IFERROR(E29*INDEX(RecCostoU,MATCH(D29,ListaRecetas,0)),"")))</f>
        <v/>
      </c>
      <c r="G29" s="15"/>
      <c r="H29" s="32" t="n">
        <f aca="true">IF(G29="",0,IFERROR(INDEX(InsCosto,MATCH(G29,ListaInsumos,0))*1,0))</f>
        <v>0</v>
      </c>
      <c r="I29" s="15"/>
      <c r="J29" s="32" t="n">
        <f aca="true">IF(I29="",0,IFERROR(INDEX(InsCosto,MATCH(I29,ListaInsumos,0))*1,0))</f>
        <v>0</v>
      </c>
      <c r="K29" s="30" t="str">
        <f aca="false">IF(F29="","",(F29+H29+J29)*CFG_Indirectos)</f>
        <v/>
      </c>
      <c r="L29" s="33" t="str">
        <f aca="false">IF(F29="","",F29+H29+J29+K29)</f>
        <v/>
      </c>
      <c r="M29" s="34" t="n">
        <f aca="false">CFG_Margen</f>
        <v>0.6</v>
      </c>
      <c r="N29" s="33" t="str">
        <f aca="false">IF(OR(L29="",L29=0,M29="",M29&gt;=1),"",IF(CFG_Redondeo&gt;0,CEILING(L29/(1-M29),CFG_Redondeo),L29/(1-M29)))</f>
        <v/>
      </c>
      <c r="O29" s="28" t="n">
        <v>3500</v>
      </c>
      <c r="P29" s="30" t="str">
        <f aca="false">IF(OR(L29="",O29=""),"",O29-L29)</f>
        <v/>
      </c>
      <c r="Q29" s="35" t="str">
        <f aca="false">IF(OR(P29="",O29=0),"",P29/O29)</f>
        <v/>
      </c>
      <c r="R29" s="20" t="str">
        <f aca="true">IF(A29="","",IF(D29="","Falta elegir receta",IF(IFERROR(INDEX(RecEstado,MATCH(D29,ListaRecetas,0)),"Receta no existe")&lt;&gt;"OK","Receta: "&amp;IFERROR(INDEX(RecEstado,MATCH(D29,ListaRecetas,0)),"no existe"),IF(OR(AND(G29&lt;&gt;"",H29=0),AND(I29&lt;&gt;"",J29=0)),"Packaging sin precio","OK"))))</f>
        <v>Receta: Revisar: 1 ingrediente(s) con aviso</v>
      </c>
    </row>
    <row r="30" customFormat="false" ht="15" hidden="false" customHeight="false" outlineLevel="0" collapsed="false">
      <c r="A30" s="15" t="s">
        <v>180</v>
      </c>
      <c r="B30" s="15" t="s">
        <v>101</v>
      </c>
      <c r="C30" s="20" t="str">
        <f aca="false">IF(A30="","",A30&amp;" - "&amp;B30)</f>
        <v>Conservas de Lo Artesanal - Aceitunas Condimentadas 300 g</v>
      </c>
      <c r="D30" s="15" t="s">
        <v>142</v>
      </c>
      <c r="E30" s="27" t="n">
        <v>1</v>
      </c>
      <c r="F30" s="32" t="str">
        <f aca="true">IF(OR(D30="",E30=""),"",IF(IFERROR(INDEX(RecEstado,MATCH(D30,ListaRecetas,0)),"")&lt;&gt;"OK","",IFERROR(E30*INDEX(RecCostoU,MATCH(D30,ListaRecetas,0)),"")))</f>
        <v/>
      </c>
      <c r="G30" s="15"/>
      <c r="H30" s="32" t="n">
        <f aca="true">IF(G30="",0,IFERROR(INDEX(InsCosto,MATCH(G30,ListaInsumos,0))*1,0))</f>
        <v>0</v>
      </c>
      <c r="I30" s="15"/>
      <c r="J30" s="32" t="n">
        <f aca="true">IF(I30="",0,IFERROR(INDEX(InsCosto,MATCH(I30,ListaInsumos,0))*1,0))</f>
        <v>0</v>
      </c>
      <c r="K30" s="30" t="str">
        <f aca="false">IF(F30="","",(F30+H30+J30)*CFG_Indirectos)</f>
        <v/>
      </c>
      <c r="L30" s="33" t="str">
        <f aca="false">IF(F30="","",F30+H30+J30+K30)</f>
        <v/>
      </c>
      <c r="M30" s="34" t="n">
        <f aca="false">CFG_Margen</f>
        <v>0.6</v>
      </c>
      <c r="N30" s="33" t="str">
        <f aca="false">IF(OR(L30="",L30=0,M30="",M30&gt;=1),"",IF(CFG_Redondeo&gt;0,CEILING(L30/(1-M30),CFG_Redondeo),L30/(1-M30)))</f>
        <v/>
      </c>
      <c r="O30" s="28" t="n">
        <v>4500</v>
      </c>
      <c r="P30" s="30" t="str">
        <f aca="false">IF(OR(L30="",O30=""),"",O30-L30)</f>
        <v/>
      </c>
      <c r="Q30" s="35" t="str">
        <f aca="false">IF(OR(P30="",O30=0),"",P30/O30)</f>
        <v/>
      </c>
      <c r="R30" s="20" t="str">
        <f aca="true">IF(A30="","",IF(D30="","Falta elegir receta",IF(IFERROR(INDEX(RecEstado,MATCH(D30,ListaRecetas,0)),"Receta no existe")&lt;&gt;"OK","Receta: "&amp;IFERROR(INDEX(RecEstado,MATCH(D30,ListaRecetas,0)),"no existe"),IF(OR(AND(G30&lt;&gt;"",H30=0),AND(I30&lt;&gt;"",J30=0)),"Packaging sin precio","OK"))))</f>
        <v>Receta: Revisar: 1 ingrediente(s) con aviso</v>
      </c>
    </row>
    <row r="31" customFormat="false" ht="15" hidden="false" customHeight="false" outlineLevel="0" collapsed="false">
      <c r="A31" s="15" t="s">
        <v>180</v>
      </c>
      <c r="B31" s="15" t="s">
        <v>102</v>
      </c>
      <c r="C31" s="20" t="str">
        <f aca="false">IF(A31="","",A31&amp;" - "&amp;B31)</f>
        <v>Conservas de Lo Artesanal - Berenjenas en Escabeche 200 g</v>
      </c>
      <c r="D31" s="15" t="s">
        <v>143</v>
      </c>
      <c r="E31" s="27" t="n">
        <v>1</v>
      </c>
      <c r="F31" s="32" t="str">
        <f aca="true">IF(OR(D31="",E31=""),"",IF(IFERROR(INDEX(RecEstado,MATCH(D31,ListaRecetas,0)),"")&lt;&gt;"OK","",IFERROR(E31*INDEX(RecCostoU,MATCH(D31,ListaRecetas,0)),"")))</f>
        <v/>
      </c>
      <c r="G31" s="15"/>
      <c r="H31" s="32" t="n">
        <f aca="true">IF(G31="",0,IFERROR(INDEX(InsCosto,MATCH(G31,ListaInsumos,0))*1,0))</f>
        <v>0</v>
      </c>
      <c r="I31" s="15"/>
      <c r="J31" s="32" t="n">
        <f aca="true">IF(I31="",0,IFERROR(INDEX(InsCosto,MATCH(I31,ListaInsumos,0))*1,0))</f>
        <v>0</v>
      </c>
      <c r="K31" s="30" t="str">
        <f aca="false">IF(F31="","",(F31+H31+J31)*CFG_Indirectos)</f>
        <v/>
      </c>
      <c r="L31" s="33" t="str">
        <f aca="false">IF(F31="","",F31+H31+J31+K31)</f>
        <v/>
      </c>
      <c r="M31" s="34" t="n">
        <f aca="false">CFG_Margen</f>
        <v>0.6</v>
      </c>
      <c r="N31" s="33" t="str">
        <f aca="false">IF(OR(L31="",L31=0,M31="",M31&gt;=1),"",IF(CFG_Redondeo&gt;0,CEILING(L31/(1-M31),CFG_Redondeo),L31/(1-M31)))</f>
        <v/>
      </c>
      <c r="O31" s="28" t="n">
        <v>5000</v>
      </c>
      <c r="P31" s="30" t="str">
        <f aca="false">IF(OR(L31="",O31=""),"",O31-L31)</f>
        <v/>
      </c>
      <c r="Q31" s="35" t="str">
        <f aca="false">IF(OR(P31="",O31=0),"",P31/O31)</f>
        <v/>
      </c>
      <c r="R31" s="20" t="str">
        <f aca="true">IF(A31="","",IF(D31="","Falta elegir receta",IF(IFERROR(INDEX(RecEstado,MATCH(D31,ListaRecetas,0)),"Receta no existe")&lt;&gt;"OK","Receta: "&amp;IFERROR(INDEX(RecEstado,MATCH(D31,ListaRecetas,0)),"no existe"),IF(OR(AND(G31&lt;&gt;"",H31=0),AND(I31&lt;&gt;"",J31=0)),"Packaging sin precio","OK"))))</f>
        <v>Receta: Revisar: 1 ingrediente(s) con aviso</v>
      </c>
    </row>
    <row r="32" customFormat="false" ht="15" hidden="false" customHeight="false" outlineLevel="0" collapsed="false">
      <c r="A32" s="15" t="s">
        <v>180</v>
      </c>
      <c r="B32" s="15" t="s">
        <v>103</v>
      </c>
      <c r="C32" s="20" t="str">
        <f aca="false">IF(A32="","",A32&amp;" - "&amp;B32)</f>
        <v>Conservas de Lo Artesanal - Berenjenas y Pera 200 g</v>
      </c>
      <c r="D32" s="15" t="s">
        <v>144</v>
      </c>
      <c r="E32" s="27" t="n">
        <v>1</v>
      </c>
      <c r="F32" s="32" t="str">
        <f aca="true">IF(OR(D32="",E32=""),"",IF(IFERROR(INDEX(RecEstado,MATCH(D32,ListaRecetas,0)),"")&lt;&gt;"OK","",IFERROR(E32*INDEX(RecCostoU,MATCH(D32,ListaRecetas,0)),"")))</f>
        <v/>
      </c>
      <c r="G32" s="15"/>
      <c r="H32" s="32" t="n">
        <f aca="true">IF(G32="",0,IFERROR(INDEX(InsCosto,MATCH(G32,ListaInsumos,0))*1,0))</f>
        <v>0</v>
      </c>
      <c r="I32" s="15"/>
      <c r="J32" s="32" t="n">
        <f aca="true">IF(I32="",0,IFERROR(INDEX(InsCosto,MATCH(I32,ListaInsumos,0))*1,0))</f>
        <v>0</v>
      </c>
      <c r="K32" s="30" t="str">
        <f aca="false">IF(F32="","",(F32+H32+J32)*CFG_Indirectos)</f>
        <v/>
      </c>
      <c r="L32" s="33" t="str">
        <f aca="false">IF(F32="","",F32+H32+J32+K32)</f>
        <v/>
      </c>
      <c r="M32" s="34" t="n">
        <f aca="false">CFG_Margen</f>
        <v>0.6</v>
      </c>
      <c r="N32" s="33" t="str">
        <f aca="false">IF(OR(L32="",L32=0,M32="",M32&gt;=1),"",IF(CFG_Redondeo&gt;0,CEILING(L32/(1-M32),CFG_Redondeo),L32/(1-M32)))</f>
        <v/>
      </c>
      <c r="O32" s="28" t="n">
        <v>4000</v>
      </c>
      <c r="P32" s="30" t="str">
        <f aca="false">IF(OR(L32="",O32=""),"",O32-L32)</f>
        <v/>
      </c>
      <c r="Q32" s="35" t="str">
        <f aca="false">IF(OR(P32="",O32=0),"",P32/O32)</f>
        <v/>
      </c>
      <c r="R32" s="20" t="str">
        <f aca="true">IF(A32="","",IF(D32="","Falta elegir receta",IF(IFERROR(INDEX(RecEstado,MATCH(D32,ListaRecetas,0)),"Receta no existe")&lt;&gt;"OK","Receta: "&amp;IFERROR(INDEX(RecEstado,MATCH(D32,ListaRecetas,0)),"no existe"),IF(OR(AND(G32&lt;&gt;"",H32=0),AND(I32&lt;&gt;"",J32=0)),"Packaging sin precio","OK"))))</f>
        <v>Receta: Revisar: 1 ingrediente(s) con aviso</v>
      </c>
    </row>
    <row r="33" customFormat="false" ht="15" hidden="false" customHeight="false" outlineLevel="0" collapsed="false">
      <c r="A33" s="15" t="s">
        <v>181</v>
      </c>
      <c r="B33" s="15" t="s">
        <v>182</v>
      </c>
      <c r="C33" s="20" t="str">
        <f aca="false">IF(A33="","",A33&amp;" - "&amp;B33)</f>
        <v>Azúcar de Coco - 200 g</v>
      </c>
      <c r="D33" s="15" t="s">
        <v>139</v>
      </c>
      <c r="E33" s="27" t="n">
        <v>200</v>
      </c>
      <c r="F33" s="32" t="str">
        <f aca="true">IF(OR(D33="",E33=""),"",IF(IFERROR(INDEX(RecEstado,MATCH(D33,ListaRecetas,0)),"")&lt;&gt;"OK","",IFERROR(E33*INDEX(RecCostoU,MATCH(D33,ListaRecetas,0)),"")))</f>
        <v/>
      </c>
      <c r="G33" s="15" t="s">
        <v>96</v>
      </c>
      <c r="H33" s="32" t="n">
        <f aca="true">IF(G33="",0,IFERROR(INDEX(InsCosto,MATCH(G33,ListaInsumos,0))*1,0))</f>
        <v>0</v>
      </c>
      <c r="I33" s="15" t="s">
        <v>97</v>
      </c>
      <c r="J33" s="32" t="n">
        <f aca="true">IF(I33="",0,IFERROR(INDEX(InsCosto,MATCH(I33,ListaInsumos,0))*1,0))</f>
        <v>50</v>
      </c>
      <c r="K33" s="30" t="str">
        <f aca="false">IF(F33="","",(F33+H33+J33)*CFG_Indirectos)</f>
        <v/>
      </c>
      <c r="L33" s="33" t="str">
        <f aca="false">IF(F33="","",F33+H33+J33+K33)</f>
        <v/>
      </c>
      <c r="M33" s="34" t="n">
        <f aca="false">CFG_Margen</f>
        <v>0.6</v>
      </c>
      <c r="N33" s="33" t="str">
        <f aca="false">IF(OR(L33="",L33=0,M33="",M33&gt;=1),"",IF(CFG_Redondeo&gt;0,CEILING(L33/(1-M33),CFG_Redondeo),L33/(1-M33)))</f>
        <v/>
      </c>
      <c r="O33" s="28" t="n">
        <v>5000</v>
      </c>
      <c r="P33" s="30" t="str">
        <f aca="false">IF(OR(L33="",O33=""),"",O33-L33)</f>
        <v/>
      </c>
      <c r="Q33" s="35" t="str">
        <f aca="false">IF(OR(P33="",O33=0),"",P33/O33)</f>
        <v/>
      </c>
      <c r="R33" s="20" t="str">
        <f aca="true">IF(A33="","",IF(D33="","Falta elegir receta",IF(IFERROR(INDEX(RecEstado,MATCH(D33,ListaRecetas,0)),"Receta no existe")&lt;&gt;"OK","Receta: "&amp;IFERROR(INDEX(RecEstado,MATCH(D33,ListaRecetas,0)),"no existe"),IF(OR(AND(G33&lt;&gt;"",H33=0),AND(I33&lt;&gt;"",J33=0)),"Packaging sin precio","OK"))))</f>
        <v>Receta: Revisar: 1 ingrediente(s) con aviso</v>
      </c>
    </row>
    <row r="34" customFormat="false" ht="15" hidden="false" customHeight="false" outlineLevel="0" collapsed="false">
      <c r="A34" s="15"/>
      <c r="B34" s="15"/>
      <c r="C34" s="20" t="str">
        <f aca="false">IF(A34="","",A34&amp;" - "&amp;B34)</f>
        <v/>
      </c>
      <c r="D34" s="15"/>
      <c r="E34" s="27"/>
      <c r="F34" s="32" t="str">
        <f aca="true">IF(OR(D34="",E34=""),"",IF(IFERROR(INDEX(RecEstado,MATCH(D34,ListaRecetas,0)),"")&lt;&gt;"OK","",IFERROR(E34*INDEX(RecCostoU,MATCH(D34,ListaRecetas,0)),"")))</f>
        <v/>
      </c>
      <c r="G34" s="15"/>
      <c r="H34" s="32" t="n">
        <f aca="true">IF(G34="",0,IFERROR(INDEX(InsCosto,MATCH(G34,ListaInsumos,0))*1,0))</f>
        <v>0</v>
      </c>
      <c r="I34" s="15"/>
      <c r="J34" s="32" t="n">
        <f aca="true">IF(I34="",0,IFERROR(INDEX(InsCosto,MATCH(I34,ListaInsumos,0))*1,0))</f>
        <v>0</v>
      </c>
      <c r="K34" s="30" t="str">
        <f aca="false">IF(F34="","",(F34+H34+J34)*CFG_Indirectos)</f>
        <v/>
      </c>
      <c r="L34" s="33" t="str">
        <f aca="false">IF(F34="","",F34+H34+J34+K34)</f>
        <v/>
      </c>
      <c r="M34" s="36"/>
      <c r="N34" s="33" t="str">
        <f aca="false">IF(OR(L34="",L34=0,M34="",M34&gt;=1),"",IF(CFG_Redondeo&gt;0,CEILING(L34/(1-M34),CFG_Redondeo),L34/(1-M34)))</f>
        <v/>
      </c>
      <c r="O34" s="28"/>
      <c r="P34" s="30" t="str">
        <f aca="false">IF(OR(L34="",O34=""),"",O34-L34)</f>
        <v/>
      </c>
      <c r="Q34" s="35" t="str">
        <f aca="false">IF(OR(P34="",O34=0),"",P34/O34)</f>
        <v/>
      </c>
      <c r="R34" s="20" t="str">
        <f aca="true">IF(A34="","",IF(D34="","Falta elegir receta",IF(IFERROR(INDEX(RecEstado,MATCH(D34,ListaRecetas,0)),"Receta no existe")&lt;&gt;"OK","Receta: "&amp;IFERROR(INDEX(RecEstado,MATCH(D34,ListaRecetas,0)),"no existe"),IF(OR(AND(G34&lt;&gt;"",H34=0),AND(I34&lt;&gt;"",J34=0)),"Packaging sin precio","OK"))))</f>
        <v/>
      </c>
    </row>
    <row r="35" customFormat="false" ht="15" hidden="false" customHeight="false" outlineLevel="0" collapsed="false">
      <c r="A35" s="15"/>
      <c r="B35" s="15"/>
      <c r="C35" s="20" t="str">
        <f aca="false">IF(A35="","",A35&amp;" - "&amp;B35)</f>
        <v/>
      </c>
      <c r="D35" s="15"/>
      <c r="E35" s="27"/>
      <c r="F35" s="32" t="str">
        <f aca="true">IF(OR(D35="",E35=""),"",IF(IFERROR(INDEX(RecEstado,MATCH(D35,ListaRecetas,0)),"")&lt;&gt;"OK","",IFERROR(E35*INDEX(RecCostoU,MATCH(D35,ListaRecetas,0)),"")))</f>
        <v/>
      </c>
      <c r="G35" s="15"/>
      <c r="H35" s="32" t="n">
        <f aca="true">IF(G35="",0,IFERROR(INDEX(InsCosto,MATCH(G35,ListaInsumos,0))*1,0))</f>
        <v>0</v>
      </c>
      <c r="I35" s="15"/>
      <c r="J35" s="32" t="n">
        <f aca="true">IF(I35="",0,IFERROR(INDEX(InsCosto,MATCH(I35,ListaInsumos,0))*1,0))</f>
        <v>0</v>
      </c>
      <c r="K35" s="30" t="str">
        <f aca="false">IF(F35="","",(F35+H35+J35)*CFG_Indirectos)</f>
        <v/>
      </c>
      <c r="L35" s="33" t="str">
        <f aca="false">IF(F35="","",F35+H35+J35+K35)</f>
        <v/>
      </c>
      <c r="M35" s="36"/>
      <c r="N35" s="33" t="str">
        <f aca="false">IF(OR(L35="",L35=0,M35="",M35&gt;=1),"",IF(CFG_Redondeo&gt;0,CEILING(L35/(1-M35),CFG_Redondeo),L35/(1-M35)))</f>
        <v/>
      </c>
      <c r="O35" s="28"/>
      <c r="P35" s="30" t="str">
        <f aca="false">IF(OR(L35="",O35=""),"",O35-L35)</f>
        <v/>
      </c>
      <c r="Q35" s="35" t="str">
        <f aca="false">IF(OR(P35="",O35=0),"",P35/O35)</f>
        <v/>
      </c>
      <c r="R35" s="20" t="str">
        <f aca="true">IF(A35="","",IF(D35="","Falta elegir receta",IF(IFERROR(INDEX(RecEstado,MATCH(D35,ListaRecetas,0)),"Receta no existe")&lt;&gt;"OK","Receta: "&amp;IFERROR(INDEX(RecEstado,MATCH(D35,ListaRecetas,0)),"no existe"),IF(OR(AND(G35&lt;&gt;"",H35=0),AND(I35&lt;&gt;"",J35=0)),"Packaging sin precio","OK"))))</f>
        <v/>
      </c>
    </row>
    <row r="36" customFormat="false" ht="15" hidden="false" customHeight="false" outlineLevel="0" collapsed="false">
      <c r="A36" s="15"/>
      <c r="B36" s="15"/>
      <c r="C36" s="20" t="str">
        <f aca="false">IF(A36="","",A36&amp;" - "&amp;B36)</f>
        <v/>
      </c>
      <c r="D36" s="15"/>
      <c r="E36" s="27"/>
      <c r="F36" s="32" t="str">
        <f aca="true">IF(OR(D36="",E36=""),"",IF(IFERROR(INDEX(RecEstado,MATCH(D36,ListaRecetas,0)),"")&lt;&gt;"OK","",IFERROR(E36*INDEX(RecCostoU,MATCH(D36,ListaRecetas,0)),"")))</f>
        <v/>
      </c>
      <c r="G36" s="15"/>
      <c r="H36" s="32" t="n">
        <f aca="true">IF(G36="",0,IFERROR(INDEX(InsCosto,MATCH(G36,ListaInsumos,0))*1,0))</f>
        <v>0</v>
      </c>
      <c r="I36" s="15"/>
      <c r="J36" s="32" t="n">
        <f aca="true">IF(I36="",0,IFERROR(INDEX(InsCosto,MATCH(I36,ListaInsumos,0))*1,0))</f>
        <v>0</v>
      </c>
      <c r="K36" s="30" t="str">
        <f aca="false">IF(F36="","",(F36+H36+J36)*CFG_Indirectos)</f>
        <v/>
      </c>
      <c r="L36" s="33" t="str">
        <f aca="false">IF(F36="","",F36+H36+J36+K36)</f>
        <v/>
      </c>
      <c r="M36" s="36"/>
      <c r="N36" s="33" t="str">
        <f aca="false">IF(OR(L36="",L36=0,M36="",M36&gt;=1),"",IF(CFG_Redondeo&gt;0,CEILING(L36/(1-M36),CFG_Redondeo),L36/(1-M36)))</f>
        <v/>
      </c>
      <c r="O36" s="28"/>
      <c r="P36" s="30" t="str">
        <f aca="false">IF(OR(L36="",O36=""),"",O36-L36)</f>
        <v/>
      </c>
      <c r="Q36" s="35" t="str">
        <f aca="false">IF(OR(P36="",O36=0),"",P36/O36)</f>
        <v/>
      </c>
      <c r="R36" s="20" t="str">
        <f aca="true">IF(A36="","",IF(D36="","Falta elegir receta",IF(IFERROR(INDEX(RecEstado,MATCH(D36,ListaRecetas,0)),"Receta no existe")&lt;&gt;"OK","Receta: "&amp;IFERROR(INDEX(RecEstado,MATCH(D36,ListaRecetas,0)),"no existe"),IF(OR(AND(G36&lt;&gt;"",H36=0),AND(I36&lt;&gt;"",J36=0)),"Packaging sin precio","OK"))))</f>
        <v/>
      </c>
    </row>
    <row r="37" customFormat="false" ht="15" hidden="false" customHeight="false" outlineLevel="0" collapsed="false">
      <c r="A37" s="15"/>
      <c r="B37" s="15"/>
      <c r="C37" s="20" t="str">
        <f aca="false">IF(A37="","",A37&amp;" - "&amp;B37)</f>
        <v/>
      </c>
      <c r="D37" s="15"/>
      <c r="E37" s="27"/>
      <c r="F37" s="32" t="str">
        <f aca="true">IF(OR(D37="",E37=""),"",IF(IFERROR(INDEX(RecEstado,MATCH(D37,ListaRecetas,0)),"")&lt;&gt;"OK","",IFERROR(E37*INDEX(RecCostoU,MATCH(D37,ListaRecetas,0)),"")))</f>
        <v/>
      </c>
      <c r="G37" s="15"/>
      <c r="H37" s="32" t="n">
        <f aca="true">IF(G37="",0,IFERROR(INDEX(InsCosto,MATCH(G37,ListaInsumos,0))*1,0))</f>
        <v>0</v>
      </c>
      <c r="I37" s="15"/>
      <c r="J37" s="32" t="n">
        <f aca="true">IF(I37="",0,IFERROR(INDEX(InsCosto,MATCH(I37,ListaInsumos,0))*1,0))</f>
        <v>0</v>
      </c>
      <c r="K37" s="30" t="str">
        <f aca="false">IF(F37="","",(F37+H37+J37)*CFG_Indirectos)</f>
        <v/>
      </c>
      <c r="L37" s="33" t="str">
        <f aca="false">IF(F37="","",F37+H37+J37+K37)</f>
        <v/>
      </c>
      <c r="M37" s="36"/>
      <c r="N37" s="33" t="str">
        <f aca="false">IF(OR(L37="",L37=0,M37="",M37&gt;=1),"",IF(CFG_Redondeo&gt;0,CEILING(L37/(1-M37),CFG_Redondeo),L37/(1-M37)))</f>
        <v/>
      </c>
      <c r="O37" s="28"/>
      <c r="P37" s="30" t="str">
        <f aca="false">IF(OR(L37="",O37=""),"",O37-L37)</f>
        <v/>
      </c>
      <c r="Q37" s="35" t="str">
        <f aca="false">IF(OR(P37="",O37=0),"",P37/O37)</f>
        <v/>
      </c>
      <c r="R37" s="20" t="str">
        <f aca="true">IF(A37="","",IF(D37="","Falta elegir receta",IF(IFERROR(INDEX(RecEstado,MATCH(D37,ListaRecetas,0)),"Receta no existe")&lt;&gt;"OK","Receta: "&amp;IFERROR(INDEX(RecEstado,MATCH(D37,ListaRecetas,0)),"no existe"),IF(OR(AND(G37&lt;&gt;"",H37=0),AND(I37&lt;&gt;"",J37=0)),"Packaging sin precio","OK"))))</f>
        <v/>
      </c>
    </row>
    <row r="38" customFormat="false" ht="15" hidden="false" customHeight="false" outlineLevel="0" collapsed="false">
      <c r="A38" s="15"/>
      <c r="B38" s="15"/>
      <c r="C38" s="20" t="str">
        <f aca="false">IF(A38="","",A38&amp;" - "&amp;B38)</f>
        <v/>
      </c>
      <c r="D38" s="15"/>
      <c r="E38" s="27"/>
      <c r="F38" s="32" t="str">
        <f aca="true">IF(OR(D38="",E38=""),"",IF(IFERROR(INDEX(RecEstado,MATCH(D38,ListaRecetas,0)),"")&lt;&gt;"OK","",IFERROR(E38*INDEX(RecCostoU,MATCH(D38,ListaRecetas,0)),"")))</f>
        <v/>
      </c>
      <c r="G38" s="15"/>
      <c r="H38" s="32" t="n">
        <f aca="true">IF(G38="",0,IFERROR(INDEX(InsCosto,MATCH(G38,ListaInsumos,0))*1,0))</f>
        <v>0</v>
      </c>
      <c r="I38" s="15"/>
      <c r="J38" s="32" t="n">
        <f aca="true">IF(I38="",0,IFERROR(INDEX(InsCosto,MATCH(I38,ListaInsumos,0))*1,0))</f>
        <v>0</v>
      </c>
      <c r="K38" s="30" t="str">
        <f aca="false">IF(F38="","",(F38+H38+J38)*CFG_Indirectos)</f>
        <v/>
      </c>
      <c r="L38" s="33" t="str">
        <f aca="false">IF(F38="","",F38+H38+J38+K38)</f>
        <v/>
      </c>
      <c r="M38" s="36"/>
      <c r="N38" s="33" t="str">
        <f aca="false">IF(OR(L38="",L38=0,M38="",M38&gt;=1),"",IF(CFG_Redondeo&gt;0,CEILING(L38/(1-M38),CFG_Redondeo),L38/(1-M38)))</f>
        <v/>
      </c>
      <c r="O38" s="28"/>
      <c r="P38" s="30" t="str">
        <f aca="false">IF(OR(L38="",O38=""),"",O38-L38)</f>
        <v/>
      </c>
      <c r="Q38" s="35" t="str">
        <f aca="false">IF(OR(P38="",O38=0),"",P38/O38)</f>
        <v/>
      </c>
      <c r="R38" s="20" t="str">
        <f aca="true">IF(A38="","",IF(D38="","Falta elegir receta",IF(IFERROR(INDEX(RecEstado,MATCH(D38,ListaRecetas,0)),"Receta no existe")&lt;&gt;"OK","Receta: "&amp;IFERROR(INDEX(RecEstado,MATCH(D38,ListaRecetas,0)),"no existe"),IF(OR(AND(G38&lt;&gt;"",H38=0),AND(I38&lt;&gt;"",J38=0)),"Packaging sin precio","OK"))))</f>
        <v/>
      </c>
    </row>
    <row r="39" customFormat="false" ht="15" hidden="false" customHeight="false" outlineLevel="0" collapsed="false">
      <c r="A39" s="15"/>
      <c r="B39" s="15"/>
      <c r="C39" s="20" t="str">
        <f aca="false">IF(A39="","",A39&amp;" - "&amp;B39)</f>
        <v/>
      </c>
      <c r="D39" s="15"/>
      <c r="E39" s="27"/>
      <c r="F39" s="32" t="str">
        <f aca="true">IF(OR(D39="",E39=""),"",IF(IFERROR(INDEX(RecEstado,MATCH(D39,ListaRecetas,0)),"")&lt;&gt;"OK","",IFERROR(E39*INDEX(RecCostoU,MATCH(D39,ListaRecetas,0)),"")))</f>
        <v/>
      </c>
      <c r="G39" s="15"/>
      <c r="H39" s="32" t="n">
        <f aca="true">IF(G39="",0,IFERROR(INDEX(InsCosto,MATCH(G39,ListaInsumos,0))*1,0))</f>
        <v>0</v>
      </c>
      <c r="I39" s="15"/>
      <c r="J39" s="32" t="n">
        <f aca="true">IF(I39="",0,IFERROR(INDEX(InsCosto,MATCH(I39,ListaInsumos,0))*1,0))</f>
        <v>0</v>
      </c>
      <c r="K39" s="30" t="str">
        <f aca="false">IF(F39="","",(F39+H39+J39)*CFG_Indirectos)</f>
        <v/>
      </c>
      <c r="L39" s="33" t="str">
        <f aca="false">IF(F39="","",F39+H39+J39+K39)</f>
        <v/>
      </c>
      <c r="M39" s="36"/>
      <c r="N39" s="33" t="str">
        <f aca="false">IF(OR(L39="",L39=0,M39="",M39&gt;=1),"",IF(CFG_Redondeo&gt;0,CEILING(L39/(1-M39),CFG_Redondeo),L39/(1-M39)))</f>
        <v/>
      </c>
      <c r="O39" s="28"/>
      <c r="P39" s="30" t="str">
        <f aca="false">IF(OR(L39="",O39=""),"",O39-L39)</f>
        <v/>
      </c>
      <c r="Q39" s="35" t="str">
        <f aca="false">IF(OR(P39="",O39=0),"",P39/O39)</f>
        <v/>
      </c>
      <c r="R39" s="20" t="str">
        <f aca="true">IF(A39="","",IF(D39="","Falta elegir receta",IF(IFERROR(INDEX(RecEstado,MATCH(D39,ListaRecetas,0)),"Receta no existe")&lt;&gt;"OK","Receta: "&amp;IFERROR(INDEX(RecEstado,MATCH(D39,ListaRecetas,0)),"no existe"),IF(OR(AND(G39&lt;&gt;"",H39=0),AND(I39&lt;&gt;"",J39=0)),"Packaging sin precio","OK"))))</f>
        <v/>
      </c>
    </row>
    <row r="40" customFormat="false" ht="15" hidden="false" customHeight="false" outlineLevel="0" collapsed="false">
      <c r="A40" s="15"/>
      <c r="B40" s="15"/>
      <c r="C40" s="20" t="str">
        <f aca="false">IF(A40="","",A40&amp;" - "&amp;B40)</f>
        <v/>
      </c>
      <c r="D40" s="15"/>
      <c r="E40" s="27"/>
      <c r="F40" s="32" t="str">
        <f aca="true">IF(OR(D40="",E40=""),"",IF(IFERROR(INDEX(RecEstado,MATCH(D40,ListaRecetas,0)),"")&lt;&gt;"OK","",IFERROR(E40*INDEX(RecCostoU,MATCH(D40,ListaRecetas,0)),"")))</f>
        <v/>
      </c>
      <c r="G40" s="15"/>
      <c r="H40" s="32" t="n">
        <f aca="true">IF(G40="",0,IFERROR(INDEX(InsCosto,MATCH(G40,ListaInsumos,0))*1,0))</f>
        <v>0</v>
      </c>
      <c r="I40" s="15"/>
      <c r="J40" s="32" t="n">
        <f aca="true">IF(I40="",0,IFERROR(INDEX(InsCosto,MATCH(I40,ListaInsumos,0))*1,0))</f>
        <v>0</v>
      </c>
      <c r="K40" s="30" t="str">
        <f aca="false">IF(F40="","",(F40+H40+J40)*CFG_Indirectos)</f>
        <v/>
      </c>
      <c r="L40" s="33" t="str">
        <f aca="false">IF(F40="","",F40+H40+J40+K40)</f>
        <v/>
      </c>
      <c r="M40" s="36"/>
      <c r="N40" s="33" t="str">
        <f aca="false">IF(OR(L40="",L40=0,M40="",M40&gt;=1),"",IF(CFG_Redondeo&gt;0,CEILING(L40/(1-M40),CFG_Redondeo),L40/(1-M40)))</f>
        <v/>
      </c>
      <c r="O40" s="28"/>
      <c r="P40" s="30" t="str">
        <f aca="false">IF(OR(L40="",O40=""),"",O40-L40)</f>
        <v/>
      </c>
      <c r="Q40" s="35" t="str">
        <f aca="false">IF(OR(P40="",O40=0),"",P40/O40)</f>
        <v/>
      </c>
      <c r="R40" s="20" t="str">
        <f aca="true">IF(A40="","",IF(D40="","Falta elegir receta",IF(IFERROR(INDEX(RecEstado,MATCH(D40,ListaRecetas,0)),"Receta no existe")&lt;&gt;"OK","Receta: "&amp;IFERROR(INDEX(RecEstado,MATCH(D40,ListaRecetas,0)),"no existe"),IF(OR(AND(G40&lt;&gt;"",H40=0),AND(I40&lt;&gt;"",J40=0)),"Packaging sin precio","OK"))))</f>
        <v/>
      </c>
    </row>
    <row r="41" customFormat="false" ht="15" hidden="false" customHeight="false" outlineLevel="0" collapsed="false">
      <c r="A41" s="15"/>
      <c r="B41" s="15"/>
      <c r="C41" s="20" t="str">
        <f aca="false">IF(A41="","",A41&amp;" - "&amp;B41)</f>
        <v/>
      </c>
      <c r="D41" s="15"/>
      <c r="E41" s="27"/>
      <c r="F41" s="32" t="str">
        <f aca="true">IF(OR(D41="",E41=""),"",IF(IFERROR(INDEX(RecEstado,MATCH(D41,ListaRecetas,0)),"")&lt;&gt;"OK","",IFERROR(E41*INDEX(RecCostoU,MATCH(D41,ListaRecetas,0)),"")))</f>
        <v/>
      </c>
      <c r="G41" s="15"/>
      <c r="H41" s="32" t="n">
        <f aca="true">IF(G41="",0,IFERROR(INDEX(InsCosto,MATCH(G41,ListaInsumos,0))*1,0))</f>
        <v>0</v>
      </c>
      <c r="I41" s="15"/>
      <c r="J41" s="32" t="n">
        <f aca="true">IF(I41="",0,IFERROR(INDEX(InsCosto,MATCH(I41,ListaInsumos,0))*1,0))</f>
        <v>0</v>
      </c>
      <c r="K41" s="30" t="str">
        <f aca="false">IF(F41="","",(F41+H41+J41)*CFG_Indirectos)</f>
        <v/>
      </c>
      <c r="L41" s="33" t="str">
        <f aca="false">IF(F41="","",F41+H41+J41+K41)</f>
        <v/>
      </c>
      <c r="M41" s="36"/>
      <c r="N41" s="33" t="str">
        <f aca="false">IF(OR(L41="",L41=0,M41="",M41&gt;=1),"",IF(CFG_Redondeo&gt;0,CEILING(L41/(1-M41),CFG_Redondeo),L41/(1-M41)))</f>
        <v/>
      </c>
      <c r="O41" s="28"/>
      <c r="P41" s="30" t="str">
        <f aca="false">IF(OR(L41="",O41=""),"",O41-L41)</f>
        <v/>
      </c>
      <c r="Q41" s="35" t="str">
        <f aca="false">IF(OR(P41="",O41=0),"",P41/O41)</f>
        <v/>
      </c>
      <c r="R41" s="20" t="str">
        <f aca="true">IF(A41="","",IF(D41="","Falta elegir receta",IF(IFERROR(INDEX(RecEstado,MATCH(D41,ListaRecetas,0)),"Receta no existe")&lt;&gt;"OK","Receta: "&amp;IFERROR(INDEX(RecEstado,MATCH(D41,ListaRecetas,0)),"no existe"),IF(OR(AND(G41&lt;&gt;"",H41=0),AND(I41&lt;&gt;"",J41=0)),"Packaging sin precio","OK"))))</f>
        <v/>
      </c>
    </row>
    <row r="42" customFormat="false" ht="15" hidden="false" customHeight="false" outlineLevel="0" collapsed="false">
      <c r="A42" s="15"/>
      <c r="B42" s="15"/>
      <c r="C42" s="20" t="str">
        <f aca="false">IF(A42="","",A42&amp;" - "&amp;B42)</f>
        <v/>
      </c>
      <c r="D42" s="15"/>
      <c r="E42" s="27"/>
      <c r="F42" s="32" t="str">
        <f aca="true">IF(OR(D42="",E42=""),"",IF(IFERROR(INDEX(RecEstado,MATCH(D42,ListaRecetas,0)),"")&lt;&gt;"OK","",IFERROR(E42*INDEX(RecCostoU,MATCH(D42,ListaRecetas,0)),"")))</f>
        <v/>
      </c>
      <c r="G42" s="15"/>
      <c r="H42" s="32" t="n">
        <f aca="true">IF(G42="",0,IFERROR(INDEX(InsCosto,MATCH(G42,ListaInsumos,0))*1,0))</f>
        <v>0</v>
      </c>
      <c r="I42" s="15"/>
      <c r="J42" s="32" t="n">
        <f aca="true">IF(I42="",0,IFERROR(INDEX(InsCosto,MATCH(I42,ListaInsumos,0))*1,0))</f>
        <v>0</v>
      </c>
      <c r="K42" s="30" t="str">
        <f aca="false">IF(F42="","",(F42+H42+J42)*CFG_Indirectos)</f>
        <v/>
      </c>
      <c r="L42" s="33" t="str">
        <f aca="false">IF(F42="","",F42+H42+J42+K42)</f>
        <v/>
      </c>
      <c r="M42" s="36"/>
      <c r="N42" s="33" t="str">
        <f aca="false">IF(OR(L42="",L42=0,M42="",M42&gt;=1),"",IF(CFG_Redondeo&gt;0,CEILING(L42/(1-M42),CFG_Redondeo),L42/(1-M42)))</f>
        <v/>
      </c>
      <c r="O42" s="28"/>
      <c r="P42" s="30" t="str">
        <f aca="false">IF(OR(L42="",O42=""),"",O42-L42)</f>
        <v/>
      </c>
      <c r="Q42" s="35" t="str">
        <f aca="false">IF(OR(P42="",O42=0),"",P42/O42)</f>
        <v/>
      </c>
      <c r="R42" s="20" t="str">
        <f aca="true">IF(A42="","",IF(D42="","Falta elegir receta",IF(IFERROR(INDEX(RecEstado,MATCH(D42,ListaRecetas,0)),"Receta no existe")&lt;&gt;"OK","Receta: "&amp;IFERROR(INDEX(RecEstado,MATCH(D42,ListaRecetas,0)),"no existe"),IF(OR(AND(G42&lt;&gt;"",H42=0),AND(I42&lt;&gt;"",J42=0)),"Packaging sin precio","OK"))))</f>
        <v/>
      </c>
    </row>
    <row r="43" customFormat="false" ht="15" hidden="false" customHeight="false" outlineLevel="0" collapsed="false">
      <c r="A43" s="15"/>
      <c r="B43" s="15"/>
      <c r="C43" s="20" t="str">
        <f aca="false">IF(A43="","",A43&amp;" - "&amp;B43)</f>
        <v/>
      </c>
      <c r="D43" s="15"/>
      <c r="E43" s="27"/>
      <c r="F43" s="32" t="str">
        <f aca="true">IF(OR(D43="",E43=""),"",IF(IFERROR(INDEX(RecEstado,MATCH(D43,ListaRecetas,0)),"")&lt;&gt;"OK","",IFERROR(E43*INDEX(RecCostoU,MATCH(D43,ListaRecetas,0)),"")))</f>
        <v/>
      </c>
      <c r="G43" s="15"/>
      <c r="H43" s="32" t="n">
        <f aca="true">IF(G43="",0,IFERROR(INDEX(InsCosto,MATCH(G43,ListaInsumos,0))*1,0))</f>
        <v>0</v>
      </c>
      <c r="I43" s="15"/>
      <c r="J43" s="32" t="n">
        <f aca="true">IF(I43="",0,IFERROR(INDEX(InsCosto,MATCH(I43,ListaInsumos,0))*1,0))</f>
        <v>0</v>
      </c>
      <c r="K43" s="30" t="str">
        <f aca="false">IF(F43="","",(F43+H43+J43)*CFG_Indirectos)</f>
        <v/>
      </c>
      <c r="L43" s="33" t="str">
        <f aca="false">IF(F43="","",F43+H43+J43+K43)</f>
        <v/>
      </c>
      <c r="M43" s="36"/>
      <c r="N43" s="33" t="str">
        <f aca="false">IF(OR(L43="",L43=0,M43="",M43&gt;=1),"",IF(CFG_Redondeo&gt;0,CEILING(L43/(1-M43),CFG_Redondeo),L43/(1-M43)))</f>
        <v/>
      </c>
      <c r="O43" s="28"/>
      <c r="P43" s="30" t="str">
        <f aca="false">IF(OR(L43="",O43=""),"",O43-L43)</f>
        <v/>
      </c>
      <c r="Q43" s="35" t="str">
        <f aca="false">IF(OR(P43="",O43=0),"",P43/O43)</f>
        <v/>
      </c>
      <c r="R43" s="20" t="str">
        <f aca="true">IF(A43="","",IF(D43="","Falta elegir receta",IF(IFERROR(INDEX(RecEstado,MATCH(D43,ListaRecetas,0)),"Receta no existe")&lt;&gt;"OK","Receta: "&amp;IFERROR(INDEX(RecEstado,MATCH(D43,ListaRecetas,0)),"no existe"),IF(OR(AND(G43&lt;&gt;"",H43=0),AND(I43&lt;&gt;"",J43=0)),"Packaging sin precio","OK"))))</f>
        <v/>
      </c>
    </row>
    <row r="44" customFormat="false" ht="15" hidden="false" customHeight="false" outlineLevel="0" collapsed="false">
      <c r="A44" s="15"/>
      <c r="B44" s="15"/>
      <c r="C44" s="20" t="str">
        <f aca="false">IF(A44="","",A44&amp;" - "&amp;B44)</f>
        <v/>
      </c>
      <c r="D44" s="15"/>
      <c r="E44" s="27"/>
      <c r="F44" s="32" t="str">
        <f aca="true">IF(OR(D44="",E44=""),"",IF(IFERROR(INDEX(RecEstado,MATCH(D44,ListaRecetas,0)),"")&lt;&gt;"OK","",IFERROR(E44*INDEX(RecCostoU,MATCH(D44,ListaRecetas,0)),"")))</f>
        <v/>
      </c>
      <c r="G44" s="15"/>
      <c r="H44" s="32" t="n">
        <f aca="true">IF(G44="",0,IFERROR(INDEX(InsCosto,MATCH(G44,ListaInsumos,0))*1,0))</f>
        <v>0</v>
      </c>
      <c r="I44" s="15"/>
      <c r="J44" s="32" t="n">
        <f aca="true">IF(I44="",0,IFERROR(INDEX(InsCosto,MATCH(I44,ListaInsumos,0))*1,0))</f>
        <v>0</v>
      </c>
      <c r="K44" s="30" t="str">
        <f aca="false">IF(F44="","",(F44+H44+J44)*CFG_Indirectos)</f>
        <v/>
      </c>
      <c r="L44" s="33" t="str">
        <f aca="false">IF(F44="","",F44+H44+J44+K44)</f>
        <v/>
      </c>
      <c r="M44" s="36"/>
      <c r="N44" s="33" t="str">
        <f aca="false">IF(OR(L44="",L44=0,M44="",M44&gt;=1),"",IF(CFG_Redondeo&gt;0,CEILING(L44/(1-M44),CFG_Redondeo),L44/(1-M44)))</f>
        <v/>
      </c>
      <c r="O44" s="28"/>
      <c r="P44" s="30" t="str">
        <f aca="false">IF(OR(L44="",O44=""),"",O44-L44)</f>
        <v/>
      </c>
      <c r="Q44" s="35" t="str">
        <f aca="false">IF(OR(P44="",O44=0),"",P44/O44)</f>
        <v/>
      </c>
      <c r="R44" s="20" t="str">
        <f aca="true">IF(A44="","",IF(D44="","Falta elegir receta",IF(IFERROR(INDEX(RecEstado,MATCH(D44,ListaRecetas,0)),"Receta no existe")&lt;&gt;"OK","Receta: "&amp;IFERROR(INDEX(RecEstado,MATCH(D44,ListaRecetas,0)),"no existe"),IF(OR(AND(G44&lt;&gt;"",H44=0),AND(I44&lt;&gt;"",J44=0)),"Packaging sin precio","OK"))))</f>
        <v/>
      </c>
    </row>
    <row r="45" customFormat="false" ht="15" hidden="false" customHeight="false" outlineLevel="0" collapsed="false">
      <c r="A45" s="15"/>
      <c r="B45" s="15"/>
      <c r="C45" s="20" t="str">
        <f aca="false">IF(A45="","",A45&amp;" - "&amp;B45)</f>
        <v/>
      </c>
      <c r="D45" s="15"/>
      <c r="E45" s="27"/>
      <c r="F45" s="32" t="str">
        <f aca="true">IF(OR(D45="",E45=""),"",IF(IFERROR(INDEX(RecEstado,MATCH(D45,ListaRecetas,0)),"")&lt;&gt;"OK","",IFERROR(E45*INDEX(RecCostoU,MATCH(D45,ListaRecetas,0)),"")))</f>
        <v/>
      </c>
      <c r="G45" s="15"/>
      <c r="H45" s="32" t="n">
        <f aca="true">IF(G45="",0,IFERROR(INDEX(InsCosto,MATCH(G45,ListaInsumos,0))*1,0))</f>
        <v>0</v>
      </c>
      <c r="I45" s="15"/>
      <c r="J45" s="32" t="n">
        <f aca="true">IF(I45="",0,IFERROR(INDEX(InsCosto,MATCH(I45,ListaInsumos,0))*1,0))</f>
        <v>0</v>
      </c>
      <c r="K45" s="30" t="str">
        <f aca="false">IF(F45="","",(F45+H45+J45)*CFG_Indirectos)</f>
        <v/>
      </c>
      <c r="L45" s="33" t="str">
        <f aca="false">IF(F45="","",F45+H45+J45+K45)</f>
        <v/>
      </c>
      <c r="M45" s="36"/>
      <c r="N45" s="33" t="str">
        <f aca="false">IF(OR(L45="",L45=0,M45="",M45&gt;=1),"",IF(CFG_Redondeo&gt;0,CEILING(L45/(1-M45),CFG_Redondeo),L45/(1-M45)))</f>
        <v/>
      </c>
      <c r="O45" s="28"/>
      <c r="P45" s="30" t="str">
        <f aca="false">IF(OR(L45="",O45=""),"",O45-L45)</f>
        <v/>
      </c>
      <c r="Q45" s="35" t="str">
        <f aca="false">IF(OR(P45="",O45=0),"",P45/O45)</f>
        <v/>
      </c>
      <c r="R45" s="20" t="str">
        <f aca="true">IF(A45="","",IF(D45="","Falta elegir receta",IF(IFERROR(INDEX(RecEstado,MATCH(D45,ListaRecetas,0)),"Receta no existe")&lt;&gt;"OK","Receta: "&amp;IFERROR(INDEX(RecEstado,MATCH(D45,ListaRecetas,0)),"no existe"),IF(OR(AND(G45&lt;&gt;"",H45=0),AND(I45&lt;&gt;"",J45=0)),"Packaging sin precio","OK"))))</f>
        <v/>
      </c>
    </row>
    <row r="46" customFormat="false" ht="15" hidden="false" customHeight="false" outlineLevel="0" collapsed="false">
      <c r="A46" s="15"/>
      <c r="B46" s="15"/>
      <c r="C46" s="20" t="str">
        <f aca="false">IF(A46="","",A46&amp;" - "&amp;B46)</f>
        <v/>
      </c>
      <c r="D46" s="15"/>
      <c r="E46" s="27"/>
      <c r="F46" s="32" t="str">
        <f aca="true">IF(OR(D46="",E46=""),"",IF(IFERROR(INDEX(RecEstado,MATCH(D46,ListaRecetas,0)),"")&lt;&gt;"OK","",IFERROR(E46*INDEX(RecCostoU,MATCH(D46,ListaRecetas,0)),"")))</f>
        <v/>
      </c>
      <c r="G46" s="15"/>
      <c r="H46" s="32" t="n">
        <f aca="true">IF(G46="",0,IFERROR(INDEX(InsCosto,MATCH(G46,ListaInsumos,0))*1,0))</f>
        <v>0</v>
      </c>
      <c r="I46" s="15"/>
      <c r="J46" s="32" t="n">
        <f aca="true">IF(I46="",0,IFERROR(INDEX(InsCosto,MATCH(I46,ListaInsumos,0))*1,0))</f>
        <v>0</v>
      </c>
      <c r="K46" s="30" t="str">
        <f aca="false">IF(F46="","",(F46+H46+J46)*CFG_Indirectos)</f>
        <v/>
      </c>
      <c r="L46" s="33" t="str">
        <f aca="false">IF(F46="","",F46+H46+J46+K46)</f>
        <v/>
      </c>
      <c r="M46" s="36"/>
      <c r="N46" s="33" t="str">
        <f aca="false">IF(OR(L46="",L46=0,M46="",M46&gt;=1),"",IF(CFG_Redondeo&gt;0,CEILING(L46/(1-M46),CFG_Redondeo),L46/(1-M46)))</f>
        <v/>
      </c>
      <c r="O46" s="28"/>
      <c r="P46" s="30" t="str">
        <f aca="false">IF(OR(L46="",O46=""),"",O46-L46)</f>
        <v/>
      </c>
      <c r="Q46" s="35" t="str">
        <f aca="false">IF(OR(P46="",O46=0),"",P46/O46)</f>
        <v/>
      </c>
      <c r="R46" s="20" t="str">
        <f aca="true">IF(A46="","",IF(D46="","Falta elegir receta",IF(IFERROR(INDEX(RecEstado,MATCH(D46,ListaRecetas,0)),"Receta no existe")&lt;&gt;"OK","Receta: "&amp;IFERROR(INDEX(RecEstado,MATCH(D46,ListaRecetas,0)),"no existe"),IF(OR(AND(G46&lt;&gt;"",H46=0),AND(I46&lt;&gt;"",J46=0)),"Packaging sin precio","OK"))))</f>
        <v/>
      </c>
    </row>
    <row r="47" customFormat="false" ht="15" hidden="false" customHeight="false" outlineLevel="0" collapsed="false">
      <c r="A47" s="15"/>
      <c r="B47" s="15"/>
      <c r="C47" s="20" t="str">
        <f aca="false">IF(A47="","",A47&amp;" - "&amp;B47)</f>
        <v/>
      </c>
      <c r="D47" s="15"/>
      <c r="E47" s="27"/>
      <c r="F47" s="32" t="str">
        <f aca="true">IF(OR(D47="",E47=""),"",IF(IFERROR(INDEX(RecEstado,MATCH(D47,ListaRecetas,0)),"")&lt;&gt;"OK","",IFERROR(E47*INDEX(RecCostoU,MATCH(D47,ListaRecetas,0)),"")))</f>
        <v/>
      </c>
      <c r="G47" s="15"/>
      <c r="H47" s="32" t="n">
        <f aca="true">IF(G47="",0,IFERROR(INDEX(InsCosto,MATCH(G47,ListaInsumos,0))*1,0))</f>
        <v>0</v>
      </c>
      <c r="I47" s="15"/>
      <c r="J47" s="32" t="n">
        <f aca="true">IF(I47="",0,IFERROR(INDEX(InsCosto,MATCH(I47,ListaInsumos,0))*1,0))</f>
        <v>0</v>
      </c>
      <c r="K47" s="30" t="str">
        <f aca="false">IF(F47="","",(F47+H47+J47)*CFG_Indirectos)</f>
        <v/>
      </c>
      <c r="L47" s="33" t="str">
        <f aca="false">IF(F47="","",F47+H47+J47+K47)</f>
        <v/>
      </c>
      <c r="M47" s="36"/>
      <c r="N47" s="33" t="str">
        <f aca="false">IF(OR(L47="",L47=0,M47="",M47&gt;=1),"",IF(CFG_Redondeo&gt;0,CEILING(L47/(1-M47),CFG_Redondeo),L47/(1-M47)))</f>
        <v/>
      </c>
      <c r="O47" s="28"/>
      <c r="P47" s="30" t="str">
        <f aca="false">IF(OR(L47="",O47=""),"",O47-L47)</f>
        <v/>
      </c>
      <c r="Q47" s="35" t="str">
        <f aca="false">IF(OR(P47="",O47=0),"",P47/O47)</f>
        <v/>
      </c>
      <c r="R47" s="20" t="str">
        <f aca="true">IF(A47="","",IF(D47="","Falta elegir receta",IF(IFERROR(INDEX(RecEstado,MATCH(D47,ListaRecetas,0)),"Receta no existe")&lt;&gt;"OK","Receta: "&amp;IFERROR(INDEX(RecEstado,MATCH(D47,ListaRecetas,0)),"no existe"),IF(OR(AND(G47&lt;&gt;"",H47=0),AND(I47&lt;&gt;"",J47=0)),"Packaging sin precio","OK"))))</f>
        <v/>
      </c>
    </row>
    <row r="48" customFormat="false" ht="15" hidden="false" customHeight="false" outlineLevel="0" collapsed="false">
      <c r="A48" s="15"/>
      <c r="B48" s="15"/>
      <c r="C48" s="20" t="str">
        <f aca="false">IF(A48="","",A48&amp;" - "&amp;B48)</f>
        <v/>
      </c>
      <c r="D48" s="15"/>
      <c r="E48" s="27"/>
      <c r="F48" s="32" t="str">
        <f aca="true">IF(OR(D48="",E48=""),"",IF(IFERROR(INDEX(RecEstado,MATCH(D48,ListaRecetas,0)),"")&lt;&gt;"OK","",IFERROR(E48*INDEX(RecCostoU,MATCH(D48,ListaRecetas,0)),"")))</f>
        <v/>
      </c>
      <c r="G48" s="15"/>
      <c r="H48" s="32" t="n">
        <f aca="true">IF(G48="",0,IFERROR(INDEX(InsCosto,MATCH(G48,ListaInsumos,0))*1,0))</f>
        <v>0</v>
      </c>
      <c r="I48" s="15"/>
      <c r="J48" s="32" t="n">
        <f aca="true">IF(I48="",0,IFERROR(INDEX(InsCosto,MATCH(I48,ListaInsumos,0))*1,0))</f>
        <v>0</v>
      </c>
      <c r="K48" s="30" t="str">
        <f aca="false">IF(F48="","",(F48+H48+J48)*CFG_Indirectos)</f>
        <v/>
      </c>
      <c r="L48" s="33" t="str">
        <f aca="false">IF(F48="","",F48+H48+J48+K48)</f>
        <v/>
      </c>
      <c r="M48" s="36"/>
      <c r="N48" s="33" t="str">
        <f aca="false">IF(OR(L48="",L48=0,M48="",M48&gt;=1),"",IF(CFG_Redondeo&gt;0,CEILING(L48/(1-M48),CFG_Redondeo),L48/(1-M48)))</f>
        <v/>
      </c>
      <c r="O48" s="28"/>
      <c r="P48" s="30" t="str">
        <f aca="false">IF(OR(L48="",O48=""),"",O48-L48)</f>
        <v/>
      </c>
      <c r="Q48" s="35" t="str">
        <f aca="false">IF(OR(P48="",O48=0),"",P48/O48)</f>
        <v/>
      </c>
      <c r="R48" s="20" t="str">
        <f aca="true">IF(A48="","",IF(D48="","Falta elegir receta",IF(IFERROR(INDEX(RecEstado,MATCH(D48,ListaRecetas,0)),"Receta no existe")&lt;&gt;"OK","Receta: "&amp;IFERROR(INDEX(RecEstado,MATCH(D48,ListaRecetas,0)),"no existe"),IF(OR(AND(G48&lt;&gt;"",H48=0),AND(I48&lt;&gt;"",J48=0)),"Packaging sin precio","OK"))))</f>
        <v/>
      </c>
    </row>
    <row r="49" customFormat="false" ht="15" hidden="false" customHeight="false" outlineLevel="0" collapsed="false">
      <c r="A49" s="15"/>
      <c r="B49" s="15"/>
      <c r="C49" s="20" t="str">
        <f aca="false">IF(A49="","",A49&amp;" - "&amp;B49)</f>
        <v/>
      </c>
      <c r="D49" s="15"/>
      <c r="E49" s="27"/>
      <c r="F49" s="32" t="str">
        <f aca="true">IF(OR(D49="",E49=""),"",IF(IFERROR(INDEX(RecEstado,MATCH(D49,ListaRecetas,0)),"")&lt;&gt;"OK","",IFERROR(E49*INDEX(RecCostoU,MATCH(D49,ListaRecetas,0)),"")))</f>
        <v/>
      </c>
      <c r="G49" s="15"/>
      <c r="H49" s="32" t="n">
        <f aca="true">IF(G49="",0,IFERROR(INDEX(InsCosto,MATCH(G49,ListaInsumos,0))*1,0))</f>
        <v>0</v>
      </c>
      <c r="I49" s="15"/>
      <c r="J49" s="32" t="n">
        <f aca="true">IF(I49="",0,IFERROR(INDEX(InsCosto,MATCH(I49,ListaInsumos,0))*1,0))</f>
        <v>0</v>
      </c>
      <c r="K49" s="30" t="str">
        <f aca="false">IF(F49="","",(F49+H49+J49)*CFG_Indirectos)</f>
        <v/>
      </c>
      <c r="L49" s="33" t="str">
        <f aca="false">IF(F49="","",F49+H49+J49+K49)</f>
        <v/>
      </c>
      <c r="M49" s="36"/>
      <c r="N49" s="33" t="str">
        <f aca="false">IF(OR(L49="",L49=0,M49="",M49&gt;=1),"",IF(CFG_Redondeo&gt;0,CEILING(L49/(1-M49),CFG_Redondeo),L49/(1-M49)))</f>
        <v/>
      </c>
      <c r="O49" s="28"/>
      <c r="P49" s="30" t="str">
        <f aca="false">IF(OR(L49="",O49=""),"",O49-L49)</f>
        <v/>
      </c>
      <c r="Q49" s="35" t="str">
        <f aca="false">IF(OR(P49="",O49=0),"",P49/O49)</f>
        <v/>
      </c>
      <c r="R49" s="20" t="str">
        <f aca="true">IF(A49="","",IF(D49="","Falta elegir receta",IF(IFERROR(INDEX(RecEstado,MATCH(D49,ListaRecetas,0)),"Receta no existe")&lt;&gt;"OK","Receta: "&amp;IFERROR(INDEX(RecEstado,MATCH(D49,ListaRecetas,0)),"no existe"),IF(OR(AND(G49&lt;&gt;"",H49=0),AND(I49&lt;&gt;"",J49=0)),"Packaging sin precio","OK"))))</f>
        <v/>
      </c>
    </row>
    <row r="50" customFormat="false" ht="15" hidden="false" customHeight="false" outlineLevel="0" collapsed="false">
      <c r="A50" s="15"/>
      <c r="B50" s="15"/>
      <c r="C50" s="20" t="str">
        <f aca="false">IF(A50="","",A50&amp;" - "&amp;B50)</f>
        <v/>
      </c>
      <c r="D50" s="15"/>
      <c r="E50" s="27"/>
      <c r="F50" s="32" t="str">
        <f aca="true">IF(OR(D50="",E50=""),"",IF(IFERROR(INDEX(RecEstado,MATCH(D50,ListaRecetas,0)),"")&lt;&gt;"OK","",IFERROR(E50*INDEX(RecCostoU,MATCH(D50,ListaRecetas,0)),"")))</f>
        <v/>
      </c>
      <c r="G50" s="15"/>
      <c r="H50" s="32" t="n">
        <f aca="true">IF(G50="",0,IFERROR(INDEX(InsCosto,MATCH(G50,ListaInsumos,0))*1,0))</f>
        <v>0</v>
      </c>
      <c r="I50" s="15"/>
      <c r="J50" s="32" t="n">
        <f aca="true">IF(I50="",0,IFERROR(INDEX(InsCosto,MATCH(I50,ListaInsumos,0))*1,0))</f>
        <v>0</v>
      </c>
      <c r="K50" s="30" t="str">
        <f aca="false">IF(F50="","",(F50+H50+J50)*CFG_Indirectos)</f>
        <v/>
      </c>
      <c r="L50" s="33" t="str">
        <f aca="false">IF(F50="","",F50+H50+J50+K50)</f>
        <v/>
      </c>
      <c r="M50" s="36"/>
      <c r="N50" s="33" t="str">
        <f aca="false">IF(OR(L50="",L50=0,M50="",M50&gt;=1),"",IF(CFG_Redondeo&gt;0,CEILING(L50/(1-M50),CFG_Redondeo),L50/(1-M50)))</f>
        <v/>
      </c>
      <c r="O50" s="28"/>
      <c r="P50" s="30" t="str">
        <f aca="false">IF(OR(L50="",O50=""),"",O50-L50)</f>
        <v/>
      </c>
      <c r="Q50" s="35" t="str">
        <f aca="false">IF(OR(P50="",O50=0),"",P50/O50)</f>
        <v/>
      </c>
      <c r="R50" s="20" t="str">
        <f aca="true">IF(A50="","",IF(D50="","Falta elegir receta",IF(IFERROR(INDEX(RecEstado,MATCH(D50,ListaRecetas,0)),"Receta no existe")&lt;&gt;"OK","Receta: "&amp;IFERROR(INDEX(RecEstado,MATCH(D50,ListaRecetas,0)),"no existe"),IF(OR(AND(G50&lt;&gt;"",H50=0),AND(I50&lt;&gt;"",J50=0)),"Packaging sin precio","OK"))))</f>
        <v/>
      </c>
    </row>
    <row r="51" customFormat="false" ht="15" hidden="false" customHeight="false" outlineLevel="0" collapsed="false">
      <c r="A51" s="15"/>
      <c r="B51" s="15"/>
      <c r="C51" s="20" t="str">
        <f aca="false">IF(A51="","",A51&amp;" - "&amp;B51)</f>
        <v/>
      </c>
      <c r="D51" s="15"/>
      <c r="E51" s="27"/>
      <c r="F51" s="32" t="str">
        <f aca="true">IF(OR(D51="",E51=""),"",IF(IFERROR(INDEX(RecEstado,MATCH(D51,ListaRecetas,0)),"")&lt;&gt;"OK","",IFERROR(E51*INDEX(RecCostoU,MATCH(D51,ListaRecetas,0)),"")))</f>
        <v/>
      </c>
      <c r="G51" s="15"/>
      <c r="H51" s="32" t="n">
        <f aca="true">IF(G51="",0,IFERROR(INDEX(InsCosto,MATCH(G51,ListaInsumos,0))*1,0))</f>
        <v>0</v>
      </c>
      <c r="I51" s="15"/>
      <c r="J51" s="32" t="n">
        <f aca="true">IF(I51="",0,IFERROR(INDEX(InsCosto,MATCH(I51,ListaInsumos,0))*1,0))</f>
        <v>0</v>
      </c>
      <c r="K51" s="30" t="str">
        <f aca="false">IF(F51="","",(F51+H51+J51)*CFG_Indirectos)</f>
        <v/>
      </c>
      <c r="L51" s="33" t="str">
        <f aca="false">IF(F51="","",F51+H51+J51+K51)</f>
        <v/>
      </c>
      <c r="M51" s="36"/>
      <c r="N51" s="33" t="str">
        <f aca="false">IF(OR(L51="",L51=0,M51="",M51&gt;=1),"",IF(CFG_Redondeo&gt;0,CEILING(L51/(1-M51),CFG_Redondeo),L51/(1-M51)))</f>
        <v/>
      </c>
      <c r="O51" s="28"/>
      <c r="P51" s="30" t="str">
        <f aca="false">IF(OR(L51="",O51=""),"",O51-L51)</f>
        <v/>
      </c>
      <c r="Q51" s="35" t="str">
        <f aca="false">IF(OR(P51="",O51=0),"",P51/O51)</f>
        <v/>
      </c>
      <c r="R51" s="20" t="str">
        <f aca="true">IF(A51="","",IF(D51="","Falta elegir receta",IF(IFERROR(INDEX(RecEstado,MATCH(D51,ListaRecetas,0)),"Receta no existe")&lt;&gt;"OK","Receta: "&amp;IFERROR(INDEX(RecEstado,MATCH(D51,ListaRecetas,0)),"no existe"),IF(OR(AND(G51&lt;&gt;"",H51=0),AND(I51&lt;&gt;"",J51=0)),"Packaging sin precio","OK"))))</f>
        <v/>
      </c>
    </row>
    <row r="52" customFormat="false" ht="15" hidden="false" customHeight="false" outlineLevel="0" collapsed="false">
      <c r="A52" s="15"/>
      <c r="B52" s="15"/>
      <c r="C52" s="20" t="str">
        <f aca="false">IF(A52="","",A52&amp;" - "&amp;B52)</f>
        <v/>
      </c>
      <c r="D52" s="15"/>
      <c r="E52" s="27"/>
      <c r="F52" s="32" t="str">
        <f aca="true">IF(OR(D52="",E52=""),"",IF(IFERROR(INDEX(RecEstado,MATCH(D52,ListaRecetas,0)),"")&lt;&gt;"OK","",IFERROR(E52*INDEX(RecCostoU,MATCH(D52,ListaRecetas,0)),"")))</f>
        <v/>
      </c>
      <c r="G52" s="15"/>
      <c r="H52" s="32" t="n">
        <f aca="true">IF(G52="",0,IFERROR(INDEX(InsCosto,MATCH(G52,ListaInsumos,0))*1,0))</f>
        <v>0</v>
      </c>
      <c r="I52" s="15"/>
      <c r="J52" s="32" t="n">
        <f aca="true">IF(I52="",0,IFERROR(INDEX(InsCosto,MATCH(I52,ListaInsumos,0))*1,0))</f>
        <v>0</v>
      </c>
      <c r="K52" s="30" t="str">
        <f aca="false">IF(F52="","",(F52+H52+J52)*CFG_Indirectos)</f>
        <v/>
      </c>
      <c r="L52" s="33" t="str">
        <f aca="false">IF(F52="","",F52+H52+J52+K52)</f>
        <v/>
      </c>
      <c r="M52" s="36"/>
      <c r="N52" s="33" t="str">
        <f aca="false">IF(OR(L52="",L52=0,M52="",M52&gt;=1),"",IF(CFG_Redondeo&gt;0,CEILING(L52/(1-M52),CFG_Redondeo),L52/(1-M52)))</f>
        <v/>
      </c>
      <c r="O52" s="28"/>
      <c r="P52" s="30" t="str">
        <f aca="false">IF(OR(L52="",O52=""),"",O52-L52)</f>
        <v/>
      </c>
      <c r="Q52" s="35" t="str">
        <f aca="false">IF(OR(P52="",O52=0),"",P52/O52)</f>
        <v/>
      </c>
      <c r="R52" s="20" t="str">
        <f aca="true">IF(A52="","",IF(D52="","Falta elegir receta",IF(IFERROR(INDEX(RecEstado,MATCH(D52,ListaRecetas,0)),"Receta no existe")&lt;&gt;"OK","Receta: "&amp;IFERROR(INDEX(RecEstado,MATCH(D52,ListaRecetas,0)),"no existe"),IF(OR(AND(G52&lt;&gt;"",H52=0),AND(I52&lt;&gt;"",J52=0)),"Packaging sin precio","OK"))))</f>
        <v/>
      </c>
    </row>
    <row r="53" customFormat="false" ht="15" hidden="false" customHeight="false" outlineLevel="0" collapsed="false">
      <c r="A53" s="15"/>
      <c r="B53" s="15"/>
      <c r="C53" s="20" t="str">
        <f aca="false">IF(A53="","",A53&amp;" - "&amp;B53)</f>
        <v/>
      </c>
      <c r="D53" s="15"/>
      <c r="E53" s="27"/>
      <c r="F53" s="32" t="str">
        <f aca="true">IF(OR(D53="",E53=""),"",IF(IFERROR(INDEX(RecEstado,MATCH(D53,ListaRecetas,0)),"")&lt;&gt;"OK","",IFERROR(E53*INDEX(RecCostoU,MATCH(D53,ListaRecetas,0)),"")))</f>
        <v/>
      </c>
      <c r="G53" s="15"/>
      <c r="H53" s="32" t="n">
        <f aca="true">IF(G53="",0,IFERROR(INDEX(InsCosto,MATCH(G53,ListaInsumos,0))*1,0))</f>
        <v>0</v>
      </c>
      <c r="I53" s="15"/>
      <c r="J53" s="32" t="n">
        <f aca="true">IF(I53="",0,IFERROR(INDEX(InsCosto,MATCH(I53,ListaInsumos,0))*1,0))</f>
        <v>0</v>
      </c>
      <c r="K53" s="30" t="str">
        <f aca="false">IF(F53="","",(F53+H53+J53)*CFG_Indirectos)</f>
        <v/>
      </c>
      <c r="L53" s="33" t="str">
        <f aca="false">IF(F53="","",F53+H53+J53+K53)</f>
        <v/>
      </c>
      <c r="M53" s="36"/>
      <c r="N53" s="33" t="str">
        <f aca="false">IF(OR(L53="",L53=0,M53="",M53&gt;=1),"",IF(CFG_Redondeo&gt;0,CEILING(L53/(1-M53),CFG_Redondeo),L53/(1-M53)))</f>
        <v/>
      </c>
      <c r="O53" s="28"/>
      <c r="P53" s="30" t="str">
        <f aca="false">IF(OR(L53="",O53=""),"",O53-L53)</f>
        <v/>
      </c>
      <c r="Q53" s="35" t="str">
        <f aca="false">IF(OR(P53="",O53=0),"",P53/O53)</f>
        <v/>
      </c>
      <c r="R53" s="20" t="str">
        <f aca="true">IF(A53="","",IF(D53="","Falta elegir receta",IF(IFERROR(INDEX(RecEstado,MATCH(D53,ListaRecetas,0)),"Receta no existe")&lt;&gt;"OK","Receta: "&amp;IFERROR(INDEX(RecEstado,MATCH(D53,ListaRecetas,0)),"no existe"),IF(OR(AND(G53&lt;&gt;"",H53=0),AND(I53&lt;&gt;"",J53=0)),"Packaging sin precio","OK"))))</f>
        <v/>
      </c>
    </row>
    <row r="54" customFormat="false" ht="15" hidden="false" customHeight="false" outlineLevel="0" collapsed="false">
      <c r="A54" s="15"/>
      <c r="B54" s="15"/>
      <c r="C54" s="20" t="str">
        <f aca="false">IF(A54="","",A54&amp;" - "&amp;B54)</f>
        <v/>
      </c>
      <c r="D54" s="15"/>
      <c r="E54" s="27"/>
      <c r="F54" s="32" t="str">
        <f aca="true">IF(OR(D54="",E54=""),"",IF(IFERROR(INDEX(RecEstado,MATCH(D54,ListaRecetas,0)),"")&lt;&gt;"OK","",IFERROR(E54*INDEX(RecCostoU,MATCH(D54,ListaRecetas,0)),"")))</f>
        <v/>
      </c>
      <c r="G54" s="15"/>
      <c r="H54" s="32" t="n">
        <f aca="true">IF(G54="",0,IFERROR(INDEX(InsCosto,MATCH(G54,ListaInsumos,0))*1,0))</f>
        <v>0</v>
      </c>
      <c r="I54" s="15"/>
      <c r="J54" s="32" t="n">
        <f aca="true">IF(I54="",0,IFERROR(INDEX(InsCosto,MATCH(I54,ListaInsumos,0))*1,0))</f>
        <v>0</v>
      </c>
      <c r="K54" s="30" t="str">
        <f aca="false">IF(F54="","",(F54+H54+J54)*CFG_Indirectos)</f>
        <v/>
      </c>
      <c r="L54" s="33" t="str">
        <f aca="false">IF(F54="","",F54+H54+J54+K54)</f>
        <v/>
      </c>
      <c r="M54" s="36"/>
      <c r="N54" s="33" t="str">
        <f aca="false">IF(OR(L54="",L54=0,M54="",M54&gt;=1),"",IF(CFG_Redondeo&gt;0,CEILING(L54/(1-M54),CFG_Redondeo),L54/(1-M54)))</f>
        <v/>
      </c>
      <c r="O54" s="28"/>
      <c r="P54" s="30" t="str">
        <f aca="false">IF(OR(L54="",O54=""),"",O54-L54)</f>
        <v/>
      </c>
      <c r="Q54" s="35" t="str">
        <f aca="false">IF(OR(P54="",O54=0),"",P54/O54)</f>
        <v/>
      </c>
      <c r="R54" s="20" t="str">
        <f aca="true">IF(A54="","",IF(D54="","Falta elegir receta",IF(IFERROR(INDEX(RecEstado,MATCH(D54,ListaRecetas,0)),"Receta no existe")&lt;&gt;"OK","Receta: "&amp;IFERROR(INDEX(RecEstado,MATCH(D54,ListaRecetas,0)),"no existe"),IF(OR(AND(G54&lt;&gt;"",H54=0),AND(I54&lt;&gt;"",J54=0)),"Packaging sin precio","OK"))))</f>
        <v/>
      </c>
    </row>
    <row r="55" customFormat="false" ht="15" hidden="false" customHeight="false" outlineLevel="0" collapsed="false">
      <c r="A55" s="15"/>
      <c r="B55" s="15"/>
      <c r="C55" s="20" t="str">
        <f aca="false">IF(A55="","",A55&amp;" - "&amp;B55)</f>
        <v/>
      </c>
      <c r="D55" s="15"/>
      <c r="E55" s="27"/>
      <c r="F55" s="32" t="str">
        <f aca="true">IF(OR(D55="",E55=""),"",IF(IFERROR(INDEX(RecEstado,MATCH(D55,ListaRecetas,0)),"")&lt;&gt;"OK","",IFERROR(E55*INDEX(RecCostoU,MATCH(D55,ListaRecetas,0)),"")))</f>
        <v/>
      </c>
      <c r="G55" s="15"/>
      <c r="H55" s="32" t="n">
        <f aca="true">IF(G55="",0,IFERROR(INDEX(InsCosto,MATCH(G55,ListaInsumos,0))*1,0))</f>
        <v>0</v>
      </c>
      <c r="I55" s="15"/>
      <c r="J55" s="32" t="n">
        <f aca="true">IF(I55="",0,IFERROR(INDEX(InsCosto,MATCH(I55,ListaInsumos,0))*1,0))</f>
        <v>0</v>
      </c>
      <c r="K55" s="30" t="str">
        <f aca="false">IF(F55="","",(F55+H55+J55)*CFG_Indirectos)</f>
        <v/>
      </c>
      <c r="L55" s="33" t="str">
        <f aca="false">IF(F55="","",F55+H55+J55+K55)</f>
        <v/>
      </c>
      <c r="M55" s="36"/>
      <c r="N55" s="33" t="str">
        <f aca="false">IF(OR(L55="",L55=0,M55="",M55&gt;=1),"",IF(CFG_Redondeo&gt;0,CEILING(L55/(1-M55),CFG_Redondeo),L55/(1-M55)))</f>
        <v/>
      </c>
      <c r="O55" s="28"/>
      <c r="P55" s="30" t="str">
        <f aca="false">IF(OR(L55="",O55=""),"",O55-L55)</f>
        <v/>
      </c>
      <c r="Q55" s="35" t="str">
        <f aca="false">IF(OR(P55="",O55=0),"",P55/O55)</f>
        <v/>
      </c>
      <c r="R55" s="20" t="str">
        <f aca="true">IF(A55="","",IF(D55="","Falta elegir receta",IF(IFERROR(INDEX(RecEstado,MATCH(D55,ListaRecetas,0)),"Receta no existe")&lt;&gt;"OK","Receta: "&amp;IFERROR(INDEX(RecEstado,MATCH(D55,ListaRecetas,0)),"no existe"),IF(OR(AND(G55&lt;&gt;"",H55=0),AND(I55&lt;&gt;"",J55=0)),"Packaging sin precio","OK"))))</f>
        <v/>
      </c>
    </row>
    <row r="56" customFormat="false" ht="15" hidden="false" customHeight="false" outlineLevel="0" collapsed="false">
      <c r="A56" s="15"/>
      <c r="B56" s="15"/>
      <c r="C56" s="20" t="str">
        <f aca="false">IF(A56="","",A56&amp;" - "&amp;B56)</f>
        <v/>
      </c>
      <c r="D56" s="15"/>
      <c r="E56" s="27"/>
      <c r="F56" s="32" t="str">
        <f aca="true">IF(OR(D56="",E56=""),"",IF(IFERROR(INDEX(RecEstado,MATCH(D56,ListaRecetas,0)),"")&lt;&gt;"OK","",IFERROR(E56*INDEX(RecCostoU,MATCH(D56,ListaRecetas,0)),"")))</f>
        <v/>
      </c>
      <c r="G56" s="15"/>
      <c r="H56" s="32" t="n">
        <f aca="true">IF(G56="",0,IFERROR(INDEX(InsCosto,MATCH(G56,ListaInsumos,0))*1,0))</f>
        <v>0</v>
      </c>
      <c r="I56" s="15"/>
      <c r="J56" s="32" t="n">
        <f aca="true">IF(I56="",0,IFERROR(INDEX(InsCosto,MATCH(I56,ListaInsumos,0))*1,0))</f>
        <v>0</v>
      </c>
      <c r="K56" s="30" t="str">
        <f aca="false">IF(F56="","",(F56+H56+J56)*CFG_Indirectos)</f>
        <v/>
      </c>
      <c r="L56" s="33" t="str">
        <f aca="false">IF(F56="","",F56+H56+J56+K56)</f>
        <v/>
      </c>
      <c r="M56" s="36"/>
      <c r="N56" s="33" t="str">
        <f aca="false">IF(OR(L56="",L56=0,M56="",M56&gt;=1),"",IF(CFG_Redondeo&gt;0,CEILING(L56/(1-M56),CFG_Redondeo),L56/(1-M56)))</f>
        <v/>
      </c>
      <c r="O56" s="28"/>
      <c r="P56" s="30" t="str">
        <f aca="false">IF(OR(L56="",O56=""),"",O56-L56)</f>
        <v/>
      </c>
      <c r="Q56" s="35" t="str">
        <f aca="false">IF(OR(P56="",O56=0),"",P56/O56)</f>
        <v/>
      </c>
      <c r="R56" s="20" t="str">
        <f aca="true">IF(A56="","",IF(D56="","Falta elegir receta",IF(IFERROR(INDEX(RecEstado,MATCH(D56,ListaRecetas,0)),"Receta no existe")&lt;&gt;"OK","Receta: "&amp;IFERROR(INDEX(RecEstado,MATCH(D56,ListaRecetas,0)),"no existe"),IF(OR(AND(G56&lt;&gt;"",H56=0),AND(I56&lt;&gt;"",J56=0)),"Packaging sin precio","OK"))))</f>
        <v/>
      </c>
    </row>
    <row r="57" customFormat="false" ht="15" hidden="false" customHeight="false" outlineLevel="0" collapsed="false">
      <c r="A57" s="15"/>
      <c r="B57" s="15"/>
      <c r="C57" s="20" t="str">
        <f aca="false">IF(A57="","",A57&amp;" - "&amp;B57)</f>
        <v/>
      </c>
      <c r="D57" s="15"/>
      <c r="E57" s="27"/>
      <c r="F57" s="32" t="str">
        <f aca="true">IF(OR(D57="",E57=""),"",IF(IFERROR(INDEX(RecEstado,MATCH(D57,ListaRecetas,0)),"")&lt;&gt;"OK","",IFERROR(E57*INDEX(RecCostoU,MATCH(D57,ListaRecetas,0)),"")))</f>
        <v/>
      </c>
      <c r="G57" s="15"/>
      <c r="H57" s="32" t="n">
        <f aca="true">IF(G57="",0,IFERROR(INDEX(InsCosto,MATCH(G57,ListaInsumos,0))*1,0))</f>
        <v>0</v>
      </c>
      <c r="I57" s="15"/>
      <c r="J57" s="32" t="n">
        <f aca="true">IF(I57="",0,IFERROR(INDEX(InsCosto,MATCH(I57,ListaInsumos,0))*1,0))</f>
        <v>0</v>
      </c>
      <c r="K57" s="30" t="str">
        <f aca="false">IF(F57="","",(F57+H57+J57)*CFG_Indirectos)</f>
        <v/>
      </c>
      <c r="L57" s="33" t="str">
        <f aca="false">IF(F57="","",F57+H57+J57+K57)</f>
        <v/>
      </c>
      <c r="M57" s="36"/>
      <c r="N57" s="33" t="str">
        <f aca="false">IF(OR(L57="",L57=0,M57="",M57&gt;=1),"",IF(CFG_Redondeo&gt;0,CEILING(L57/(1-M57),CFG_Redondeo),L57/(1-M57)))</f>
        <v/>
      </c>
      <c r="O57" s="28"/>
      <c r="P57" s="30" t="str">
        <f aca="false">IF(OR(L57="",O57=""),"",O57-L57)</f>
        <v/>
      </c>
      <c r="Q57" s="35" t="str">
        <f aca="false">IF(OR(P57="",O57=0),"",P57/O57)</f>
        <v/>
      </c>
      <c r="R57" s="20" t="str">
        <f aca="true">IF(A57="","",IF(D57="","Falta elegir receta",IF(IFERROR(INDEX(RecEstado,MATCH(D57,ListaRecetas,0)),"Receta no existe")&lt;&gt;"OK","Receta: "&amp;IFERROR(INDEX(RecEstado,MATCH(D57,ListaRecetas,0)),"no existe"),IF(OR(AND(G57&lt;&gt;"",H57=0),AND(I57&lt;&gt;"",J57=0)),"Packaging sin precio","OK"))))</f>
        <v/>
      </c>
    </row>
    <row r="58" customFormat="false" ht="15" hidden="false" customHeight="false" outlineLevel="0" collapsed="false">
      <c r="A58" s="15"/>
      <c r="B58" s="15"/>
      <c r="C58" s="20" t="str">
        <f aca="false">IF(A58="","",A58&amp;" - "&amp;B58)</f>
        <v/>
      </c>
      <c r="D58" s="15"/>
      <c r="E58" s="27"/>
      <c r="F58" s="32" t="str">
        <f aca="true">IF(OR(D58="",E58=""),"",IF(IFERROR(INDEX(RecEstado,MATCH(D58,ListaRecetas,0)),"")&lt;&gt;"OK","",IFERROR(E58*INDEX(RecCostoU,MATCH(D58,ListaRecetas,0)),"")))</f>
        <v/>
      </c>
      <c r="G58" s="15"/>
      <c r="H58" s="32" t="n">
        <f aca="true">IF(G58="",0,IFERROR(INDEX(InsCosto,MATCH(G58,ListaInsumos,0))*1,0))</f>
        <v>0</v>
      </c>
      <c r="I58" s="15"/>
      <c r="J58" s="32" t="n">
        <f aca="true">IF(I58="",0,IFERROR(INDEX(InsCosto,MATCH(I58,ListaInsumos,0))*1,0))</f>
        <v>0</v>
      </c>
      <c r="K58" s="30" t="str">
        <f aca="false">IF(F58="","",(F58+H58+J58)*CFG_Indirectos)</f>
        <v/>
      </c>
      <c r="L58" s="33" t="str">
        <f aca="false">IF(F58="","",F58+H58+J58+K58)</f>
        <v/>
      </c>
      <c r="M58" s="36"/>
      <c r="N58" s="33" t="str">
        <f aca="false">IF(OR(L58="",L58=0,M58="",M58&gt;=1),"",IF(CFG_Redondeo&gt;0,CEILING(L58/(1-M58),CFG_Redondeo),L58/(1-M58)))</f>
        <v/>
      </c>
      <c r="O58" s="28"/>
      <c r="P58" s="30" t="str">
        <f aca="false">IF(OR(L58="",O58=""),"",O58-L58)</f>
        <v/>
      </c>
      <c r="Q58" s="35" t="str">
        <f aca="false">IF(OR(P58="",O58=0),"",P58/O58)</f>
        <v/>
      </c>
      <c r="R58" s="20" t="str">
        <f aca="true">IF(A58="","",IF(D58="","Falta elegir receta",IF(IFERROR(INDEX(RecEstado,MATCH(D58,ListaRecetas,0)),"Receta no existe")&lt;&gt;"OK","Receta: "&amp;IFERROR(INDEX(RecEstado,MATCH(D58,ListaRecetas,0)),"no existe"),IF(OR(AND(G58&lt;&gt;"",H58=0),AND(I58&lt;&gt;"",J58=0)),"Packaging sin precio","OK"))))</f>
        <v/>
      </c>
    </row>
    <row r="59" customFormat="false" ht="15" hidden="false" customHeight="false" outlineLevel="0" collapsed="false">
      <c r="A59" s="15"/>
      <c r="B59" s="15"/>
      <c r="C59" s="20" t="str">
        <f aca="false">IF(A59="","",A59&amp;" - "&amp;B59)</f>
        <v/>
      </c>
      <c r="D59" s="15"/>
      <c r="E59" s="27"/>
      <c r="F59" s="32" t="str">
        <f aca="true">IF(OR(D59="",E59=""),"",IF(IFERROR(INDEX(RecEstado,MATCH(D59,ListaRecetas,0)),"")&lt;&gt;"OK","",IFERROR(E59*INDEX(RecCostoU,MATCH(D59,ListaRecetas,0)),"")))</f>
        <v/>
      </c>
      <c r="G59" s="15"/>
      <c r="H59" s="32" t="n">
        <f aca="true">IF(G59="",0,IFERROR(INDEX(InsCosto,MATCH(G59,ListaInsumos,0))*1,0))</f>
        <v>0</v>
      </c>
      <c r="I59" s="15"/>
      <c r="J59" s="32" t="n">
        <f aca="true">IF(I59="",0,IFERROR(INDEX(InsCosto,MATCH(I59,ListaInsumos,0))*1,0))</f>
        <v>0</v>
      </c>
      <c r="K59" s="30" t="str">
        <f aca="false">IF(F59="","",(F59+H59+J59)*CFG_Indirectos)</f>
        <v/>
      </c>
      <c r="L59" s="33" t="str">
        <f aca="false">IF(F59="","",F59+H59+J59+K59)</f>
        <v/>
      </c>
      <c r="M59" s="36"/>
      <c r="N59" s="33" t="str">
        <f aca="false">IF(OR(L59="",L59=0,M59="",M59&gt;=1),"",IF(CFG_Redondeo&gt;0,CEILING(L59/(1-M59),CFG_Redondeo),L59/(1-M59)))</f>
        <v/>
      </c>
      <c r="O59" s="28"/>
      <c r="P59" s="30" t="str">
        <f aca="false">IF(OR(L59="",O59=""),"",O59-L59)</f>
        <v/>
      </c>
      <c r="Q59" s="35" t="str">
        <f aca="false">IF(OR(P59="",O59=0),"",P59/O59)</f>
        <v/>
      </c>
      <c r="R59" s="20" t="str">
        <f aca="true">IF(A59="","",IF(D59="","Falta elegir receta",IF(IFERROR(INDEX(RecEstado,MATCH(D59,ListaRecetas,0)),"Receta no existe")&lt;&gt;"OK","Receta: "&amp;IFERROR(INDEX(RecEstado,MATCH(D59,ListaRecetas,0)),"no existe"),IF(OR(AND(G59&lt;&gt;"",H59=0),AND(I59&lt;&gt;"",J59=0)),"Packaging sin precio","OK"))))</f>
        <v/>
      </c>
    </row>
    <row r="60" customFormat="false" ht="15" hidden="false" customHeight="false" outlineLevel="0" collapsed="false">
      <c r="A60" s="15"/>
      <c r="B60" s="15"/>
      <c r="C60" s="20" t="str">
        <f aca="false">IF(A60="","",A60&amp;" - "&amp;B60)</f>
        <v/>
      </c>
      <c r="D60" s="15"/>
      <c r="E60" s="27"/>
      <c r="F60" s="32" t="str">
        <f aca="true">IF(OR(D60="",E60=""),"",IF(IFERROR(INDEX(RecEstado,MATCH(D60,ListaRecetas,0)),"")&lt;&gt;"OK","",IFERROR(E60*INDEX(RecCostoU,MATCH(D60,ListaRecetas,0)),"")))</f>
        <v/>
      </c>
      <c r="G60" s="15"/>
      <c r="H60" s="32" t="n">
        <f aca="true">IF(G60="",0,IFERROR(INDEX(InsCosto,MATCH(G60,ListaInsumos,0))*1,0))</f>
        <v>0</v>
      </c>
      <c r="I60" s="15"/>
      <c r="J60" s="32" t="n">
        <f aca="true">IF(I60="",0,IFERROR(INDEX(InsCosto,MATCH(I60,ListaInsumos,0))*1,0))</f>
        <v>0</v>
      </c>
      <c r="K60" s="30" t="str">
        <f aca="false">IF(F60="","",(F60+H60+J60)*CFG_Indirectos)</f>
        <v/>
      </c>
      <c r="L60" s="33" t="str">
        <f aca="false">IF(F60="","",F60+H60+J60+K60)</f>
        <v/>
      </c>
      <c r="M60" s="36"/>
      <c r="N60" s="33" t="str">
        <f aca="false">IF(OR(L60="",L60=0,M60="",M60&gt;=1),"",IF(CFG_Redondeo&gt;0,CEILING(L60/(1-M60),CFG_Redondeo),L60/(1-M60)))</f>
        <v/>
      </c>
      <c r="O60" s="28"/>
      <c r="P60" s="30" t="str">
        <f aca="false">IF(OR(L60="",O60=""),"",O60-L60)</f>
        <v/>
      </c>
      <c r="Q60" s="35" t="str">
        <f aca="false">IF(OR(P60="",O60=0),"",P60/O60)</f>
        <v/>
      </c>
      <c r="R60" s="20" t="str">
        <f aca="true">IF(A60="","",IF(D60="","Falta elegir receta",IF(IFERROR(INDEX(RecEstado,MATCH(D60,ListaRecetas,0)),"Receta no existe")&lt;&gt;"OK","Receta: "&amp;IFERROR(INDEX(RecEstado,MATCH(D60,ListaRecetas,0)),"no existe"),IF(OR(AND(G60&lt;&gt;"",H60=0),AND(I60&lt;&gt;"",J60=0)),"Packaging sin precio","OK"))))</f>
        <v/>
      </c>
    </row>
    <row r="61" customFormat="false" ht="15" hidden="false" customHeight="false" outlineLevel="0" collapsed="false">
      <c r="A61" s="15"/>
      <c r="B61" s="15"/>
      <c r="C61" s="20" t="str">
        <f aca="false">IF(A61="","",A61&amp;" - "&amp;B61)</f>
        <v/>
      </c>
      <c r="D61" s="15"/>
      <c r="E61" s="27"/>
      <c r="F61" s="32" t="str">
        <f aca="true">IF(OR(D61="",E61=""),"",IF(IFERROR(INDEX(RecEstado,MATCH(D61,ListaRecetas,0)),"")&lt;&gt;"OK","",IFERROR(E61*INDEX(RecCostoU,MATCH(D61,ListaRecetas,0)),"")))</f>
        <v/>
      </c>
      <c r="G61" s="15"/>
      <c r="H61" s="32" t="n">
        <f aca="true">IF(G61="",0,IFERROR(INDEX(InsCosto,MATCH(G61,ListaInsumos,0))*1,0))</f>
        <v>0</v>
      </c>
      <c r="I61" s="15"/>
      <c r="J61" s="32" t="n">
        <f aca="true">IF(I61="",0,IFERROR(INDEX(InsCosto,MATCH(I61,ListaInsumos,0))*1,0))</f>
        <v>0</v>
      </c>
      <c r="K61" s="30" t="str">
        <f aca="false">IF(F61="","",(F61+H61+J61)*CFG_Indirectos)</f>
        <v/>
      </c>
      <c r="L61" s="33" t="str">
        <f aca="false">IF(F61="","",F61+H61+J61+K61)</f>
        <v/>
      </c>
      <c r="M61" s="36"/>
      <c r="N61" s="33" t="str">
        <f aca="false">IF(OR(L61="",L61=0,M61="",M61&gt;=1),"",IF(CFG_Redondeo&gt;0,CEILING(L61/(1-M61),CFG_Redondeo),L61/(1-M61)))</f>
        <v/>
      </c>
      <c r="O61" s="28"/>
      <c r="P61" s="30" t="str">
        <f aca="false">IF(OR(L61="",O61=""),"",O61-L61)</f>
        <v/>
      </c>
      <c r="Q61" s="35" t="str">
        <f aca="false">IF(OR(P61="",O61=0),"",P61/O61)</f>
        <v/>
      </c>
      <c r="R61" s="20" t="str">
        <f aca="true">IF(A61="","",IF(D61="","Falta elegir receta",IF(IFERROR(INDEX(RecEstado,MATCH(D61,ListaRecetas,0)),"Receta no existe")&lt;&gt;"OK","Receta: "&amp;IFERROR(INDEX(RecEstado,MATCH(D61,ListaRecetas,0)),"no existe"),IF(OR(AND(G61&lt;&gt;"",H61=0),AND(I61&lt;&gt;"",J61=0)),"Packaging sin precio","OK"))))</f>
        <v/>
      </c>
    </row>
    <row r="62" customFormat="false" ht="15" hidden="false" customHeight="false" outlineLevel="0" collapsed="false">
      <c r="A62" s="15"/>
      <c r="B62" s="15"/>
      <c r="C62" s="20" t="str">
        <f aca="false">IF(A62="","",A62&amp;" - "&amp;B62)</f>
        <v/>
      </c>
      <c r="D62" s="15"/>
      <c r="E62" s="27"/>
      <c r="F62" s="32" t="str">
        <f aca="true">IF(OR(D62="",E62=""),"",IF(IFERROR(INDEX(RecEstado,MATCH(D62,ListaRecetas,0)),"")&lt;&gt;"OK","",IFERROR(E62*INDEX(RecCostoU,MATCH(D62,ListaRecetas,0)),"")))</f>
        <v/>
      </c>
      <c r="G62" s="15"/>
      <c r="H62" s="32" t="n">
        <f aca="true">IF(G62="",0,IFERROR(INDEX(InsCosto,MATCH(G62,ListaInsumos,0))*1,0))</f>
        <v>0</v>
      </c>
      <c r="I62" s="15"/>
      <c r="J62" s="32" t="n">
        <f aca="true">IF(I62="",0,IFERROR(INDEX(InsCosto,MATCH(I62,ListaInsumos,0))*1,0))</f>
        <v>0</v>
      </c>
      <c r="K62" s="30" t="str">
        <f aca="false">IF(F62="","",(F62+H62+J62)*CFG_Indirectos)</f>
        <v/>
      </c>
      <c r="L62" s="33" t="str">
        <f aca="false">IF(F62="","",F62+H62+J62+K62)</f>
        <v/>
      </c>
      <c r="M62" s="36"/>
      <c r="N62" s="33" t="str">
        <f aca="false">IF(OR(L62="",L62=0,M62="",M62&gt;=1),"",IF(CFG_Redondeo&gt;0,CEILING(L62/(1-M62),CFG_Redondeo),L62/(1-M62)))</f>
        <v/>
      </c>
      <c r="O62" s="28"/>
      <c r="P62" s="30" t="str">
        <f aca="false">IF(OR(L62="",O62=""),"",O62-L62)</f>
        <v/>
      </c>
      <c r="Q62" s="35" t="str">
        <f aca="false">IF(OR(P62="",O62=0),"",P62/O62)</f>
        <v/>
      </c>
      <c r="R62" s="20" t="str">
        <f aca="true">IF(A62="","",IF(D62="","Falta elegir receta",IF(IFERROR(INDEX(RecEstado,MATCH(D62,ListaRecetas,0)),"Receta no existe")&lt;&gt;"OK","Receta: "&amp;IFERROR(INDEX(RecEstado,MATCH(D62,ListaRecetas,0)),"no existe"),IF(OR(AND(G62&lt;&gt;"",H62=0),AND(I62&lt;&gt;"",J62=0)),"Packaging sin precio","OK"))))</f>
        <v/>
      </c>
    </row>
    <row r="63" customFormat="false" ht="15" hidden="false" customHeight="false" outlineLevel="0" collapsed="false">
      <c r="A63" s="15"/>
      <c r="B63" s="15"/>
      <c r="C63" s="20" t="str">
        <f aca="false">IF(A63="","",A63&amp;" - "&amp;B63)</f>
        <v/>
      </c>
      <c r="D63" s="15"/>
      <c r="E63" s="27"/>
      <c r="F63" s="32" t="str">
        <f aca="true">IF(OR(D63="",E63=""),"",IF(IFERROR(INDEX(RecEstado,MATCH(D63,ListaRecetas,0)),"")&lt;&gt;"OK","",IFERROR(E63*INDEX(RecCostoU,MATCH(D63,ListaRecetas,0)),"")))</f>
        <v/>
      </c>
      <c r="G63" s="15"/>
      <c r="H63" s="32" t="n">
        <f aca="true">IF(G63="",0,IFERROR(INDEX(InsCosto,MATCH(G63,ListaInsumos,0))*1,0))</f>
        <v>0</v>
      </c>
      <c r="I63" s="15"/>
      <c r="J63" s="32" t="n">
        <f aca="true">IF(I63="",0,IFERROR(INDEX(InsCosto,MATCH(I63,ListaInsumos,0))*1,0))</f>
        <v>0</v>
      </c>
      <c r="K63" s="30" t="str">
        <f aca="false">IF(F63="","",(F63+H63+J63)*CFG_Indirectos)</f>
        <v/>
      </c>
      <c r="L63" s="33" t="str">
        <f aca="false">IF(F63="","",F63+H63+J63+K63)</f>
        <v/>
      </c>
      <c r="M63" s="36"/>
      <c r="N63" s="33" t="str">
        <f aca="false">IF(OR(L63="",L63=0,M63="",M63&gt;=1),"",IF(CFG_Redondeo&gt;0,CEILING(L63/(1-M63),CFG_Redondeo),L63/(1-M63)))</f>
        <v/>
      </c>
      <c r="O63" s="28"/>
      <c r="P63" s="30" t="str">
        <f aca="false">IF(OR(L63="",O63=""),"",O63-L63)</f>
        <v/>
      </c>
      <c r="Q63" s="35" t="str">
        <f aca="false">IF(OR(P63="",O63=0),"",P63/O63)</f>
        <v/>
      </c>
      <c r="R63" s="20" t="str">
        <f aca="true">IF(A63="","",IF(D63="","Falta elegir receta",IF(IFERROR(INDEX(RecEstado,MATCH(D63,ListaRecetas,0)),"Receta no existe")&lt;&gt;"OK","Receta: "&amp;IFERROR(INDEX(RecEstado,MATCH(D63,ListaRecetas,0)),"no existe"),IF(OR(AND(G63&lt;&gt;"",H63=0),AND(I63&lt;&gt;"",J63=0)),"Packaging sin precio","OK"))))</f>
        <v/>
      </c>
    </row>
    <row r="64" customFormat="false" ht="15" hidden="false" customHeight="false" outlineLevel="0" collapsed="false">
      <c r="A64" s="15"/>
      <c r="B64" s="15"/>
      <c r="C64" s="20" t="str">
        <f aca="false">IF(A64="","",A64&amp;" - "&amp;B64)</f>
        <v/>
      </c>
      <c r="D64" s="15"/>
      <c r="E64" s="27"/>
      <c r="F64" s="32" t="str">
        <f aca="true">IF(OR(D64="",E64=""),"",IF(IFERROR(INDEX(RecEstado,MATCH(D64,ListaRecetas,0)),"")&lt;&gt;"OK","",IFERROR(E64*INDEX(RecCostoU,MATCH(D64,ListaRecetas,0)),"")))</f>
        <v/>
      </c>
      <c r="G64" s="15"/>
      <c r="H64" s="32" t="n">
        <f aca="true">IF(G64="",0,IFERROR(INDEX(InsCosto,MATCH(G64,ListaInsumos,0))*1,0))</f>
        <v>0</v>
      </c>
      <c r="I64" s="15"/>
      <c r="J64" s="32" t="n">
        <f aca="true">IF(I64="",0,IFERROR(INDEX(InsCosto,MATCH(I64,ListaInsumos,0))*1,0))</f>
        <v>0</v>
      </c>
      <c r="K64" s="30" t="str">
        <f aca="false">IF(F64="","",(F64+H64+J64)*CFG_Indirectos)</f>
        <v/>
      </c>
      <c r="L64" s="33" t="str">
        <f aca="false">IF(F64="","",F64+H64+J64+K64)</f>
        <v/>
      </c>
      <c r="M64" s="36"/>
      <c r="N64" s="33" t="str">
        <f aca="false">IF(OR(L64="",L64=0,M64="",M64&gt;=1),"",IF(CFG_Redondeo&gt;0,CEILING(L64/(1-M64),CFG_Redondeo),L64/(1-M64)))</f>
        <v/>
      </c>
      <c r="O64" s="28"/>
      <c r="P64" s="30" t="str">
        <f aca="false">IF(OR(L64="",O64=""),"",O64-L64)</f>
        <v/>
      </c>
      <c r="Q64" s="35" t="str">
        <f aca="false">IF(OR(P64="",O64=0),"",P64/O64)</f>
        <v/>
      </c>
      <c r="R64" s="20" t="str">
        <f aca="true">IF(A64="","",IF(D64="","Falta elegir receta",IF(IFERROR(INDEX(RecEstado,MATCH(D64,ListaRecetas,0)),"Receta no existe")&lt;&gt;"OK","Receta: "&amp;IFERROR(INDEX(RecEstado,MATCH(D64,ListaRecetas,0)),"no existe"),IF(OR(AND(G64&lt;&gt;"",H64=0),AND(I64&lt;&gt;"",J64=0)),"Packaging sin precio","OK"))))</f>
        <v/>
      </c>
    </row>
    <row r="65" customFormat="false" ht="15" hidden="false" customHeight="false" outlineLevel="0" collapsed="false">
      <c r="A65" s="15"/>
      <c r="B65" s="15"/>
      <c r="C65" s="20" t="str">
        <f aca="false">IF(A65="","",A65&amp;" - "&amp;B65)</f>
        <v/>
      </c>
      <c r="D65" s="15"/>
      <c r="E65" s="27"/>
      <c r="F65" s="32" t="str">
        <f aca="true">IF(OR(D65="",E65=""),"",IF(IFERROR(INDEX(RecEstado,MATCH(D65,ListaRecetas,0)),"")&lt;&gt;"OK","",IFERROR(E65*INDEX(RecCostoU,MATCH(D65,ListaRecetas,0)),"")))</f>
        <v/>
      </c>
      <c r="G65" s="15"/>
      <c r="H65" s="32" t="n">
        <f aca="true">IF(G65="",0,IFERROR(INDEX(InsCosto,MATCH(G65,ListaInsumos,0))*1,0))</f>
        <v>0</v>
      </c>
      <c r="I65" s="15"/>
      <c r="J65" s="32" t="n">
        <f aca="true">IF(I65="",0,IFERROR(INDEX(InsCosto,MATCH(I65,ListaInsumos,0))*1,0))</f>
        <v>0</v>
      </c>
      <c r="K65" s="30" t="str">
        <f aca="false">IF(F65="","",(F65+H65+J65)*CFG_Indirectos)</f>
        <v/>
      </c>
      <c r="L65" s="33" t="str">
        <f aca="false">IF(F65="","",F65+H65+J65+K65)</f>
        <v/>
      </c>
      <c r="M65" s="36"/>
      <c r="N65" s="33" t="str">
        <f aca="false">IF(OR(L65="",L65=0,M65="",M65&gt;=1),"",IF(CFG_Redondeo&gt;0,CEILING(L65/(1-M65),CFG_Redondeo),L65/(1-M65)))</f>
        <v/>
      </c>
      <c r="O65" s="28"/>
      <c r="P65" s="30" t="str">
        <f aca="false">IF(OR(L65="",O65=""),"",O65-L65)</f>
        <v/>
      </c>
      <c r="Q65" s="35" t="str">
        <f aca="false">IF(OR(P65="",O65=0),"",P65/O65)</f>
        <v/>
      </c>
      <c r="R65" s="20" t="str">
        <f aca="true">IF(A65="","",IF(D65="","Falta elegir receta",IF(IFERROR(INDEX(RecEstado,MATCH(D65,ListaRecetas,0)),"Receta no existe")&lt;&gt;"OK","Receta: "&amp;IFERROR(INDEX(RecEstado,MATCH(D65,ListaRecetas,0)),"no existe"),IF(OR(AND(G65&lt;&gt;"",H65=0),AND(I65&lt;&gt;"",J65=0)),"Packaging sin precio","OK"))))</f>
        <v/>
      </c>
    </row>
    <row r="66" customFormat="false" ht="15" hidden="false" customHeight="false" outlineLevel="0" collapsed="false">
      <c r="A66" s="15"/>
      <c r="B66" s="15"/>
      <c r="C66" s="20" t="str">
        <f aca="false">IF(A66="","",A66&amp;" - "&amp;B66)</f>
        <v/>
      </c>
      <c r="D66" s="15"/>
      <c r="E66" s="27"/>
      <c r="F66" s="32" t="str">
        <f aca="true">IF(OR(D66="",E66=""),"",IF(IFERROR(INDEX(RecEstado,MATCH(D66,ListaRecetas,0)),"")&lt;&gt;"OK","",IFERROR(E66*INDEX(RecCostoU,MATCH(D66,ListaRecetas,0)),"")))</f>
        <v/>
      </c>
      <c r="G66" s="15"/>
      <c r="H66" s="32" t="n">
        <f aca="true">IF(G66="",0,IFERROR(INDEX(InsCosto,MATCH(G66,ListaInsumos,0))*1,0))</f>
        <v>0</v>
      </c>
      <c r="I66" s="15"/>
      <c r="J66" s="32" t="n">
        <f aca="true">IF(I66="",0,IFERROR(INDEX(InsCosto,MATCH(I66,ListaInsumos,0))*1,0))</f>
        <v>0</v>
      </c>
      <c r="K66" s="30" t="str">
        <f aca="false">IF(F66="","",(F66+H66+J66)*CFG_Indirectos)</f>
        <v/>
      </c>
      <c r="L66" s="33" t="str">
        <f aca="false">IF(F66="","",F66+H66+J66+K66)</f>
        <v/>
      </c>
      <c r="M66" s="36"/>
      <c r="N66" s="33" t="str">
        <f aca="false">IF(OR(L66="",L66=0,M66="",M66&gt;=1),"",IF(CFG_Redondeo&gt;0,CEILING(L66/(1-M66),CFG_Redondeo),L66/(1-M66)))</f>
        <v/>
      </c>
      <c r="O66" s="28"/>
      <c r="P66" s="30" t="str">
        <f aca="false">IF(OR(L66="",O66=""),"",O66-L66)</f>
        <v/>
      </c>
      <c r="Q66" s="35" t="str">
        <f aca="false">IF(OR(P66="",O66=0),"",P66/O66)</f>
        <v/>
      </c>
      <c r="R66" s="20" t="str">
        <f aca="true">IF(A66="","",IF(D66="","Falta elegir receta",IF(IFERROR(INDEX(RecEstado,MATCH(D66,ListaRecetas,0)),"Receta no existe")&lt;&gt;"OK","Receta: "&amp;IFERROR(INDEX(RecEstado,MATCH(D66,ListaRecetas,0)),"no existe"),IF(OR(AND(G66&lt;&gt;"",H66=0),AND(I66&lt;&gt;"",J66=0)),"Packaging sin precio","OK"))))</f>
        <v/>
      </c>
    </row>
    <row r="67" customFormat="false" ht="15" hidden="false" customHeight="false" outlineLevel="0" collapsed="false">
      <c r="A67" s="15"/>
      <c r="B67" s="15"/>
      <c r="C67" s="20" t="str">
        <f aca="false">IF(A67="","",A67&amp;" - "&amp;B67)</f>
        <v/>
      </c>
      <c r="D67" s="15"/>
      <c r="E67" s="27"/>
      <c r="F67" s="32" t="str">
        <f aca="true">IF(OR(D67="",E67=""),"",IF(IFERROR(INDEX(RecEstado,MATCH(D67,ListaRecetas,0)),"")&lt;&gt;"OK","",IFERROR(E67*INDEX(RecCostoU,MATCH(D67,ListaRecetas,0)),"")))</f>
        <v/>
      </c>
      <c r="G67" s="15"/>
      <c r="H67" s="32" t="n">
        <f aca="true">IF(G67="",0,IFERROR(INDEX(InsCosto,MATCH(G67,ListaInsumos,0))*1,0))</f>
        <v>0</v>
      </c>
      <c r="I67" s="15"/>
      <c r="J67" s="32" t="n">
        <f aca="true">IF(I67="",0,IFERROR(INDEX(InsCosto,MATCH(I67,ListaInsumos,0))*1,0))</f>
        <v>0</v>
      </c>
      <c r="K67" s="30" t="str">
        <f aca="false">IF(F67="","",(F67+H67+J67)*CFG_Indirectos)</f>
        <v/>
      </c>
      <c r="L67" s="33" t="str">
        <f aca="false">IF(F67="","",F67+H67+J67+K67)</f>
        <v/>
      </c>
      <c r="M67" s="36"/>
      <c r="N67" s="33" t="str">
        <f aca="false">IF(OR(L67="",L67=0,M67="",M67&gt;=1),"",IF(CFG_Redondeo&gt;0,CEILING(L67/(1-M67),CFG_Redondeo),L67/(1-M67)))</f>
        <v/>
      </c>
      <c r="O67" s="28"/>
      <c r="P67" s="30" t="str">
        <f aca="false">IF(OR(L67="",O67=""),"",O67-L67)</f>
        <v/>
      </c>
      <c r="Q67" s="35" t="str">
        <f aca="false">IF(OR(P67="",O67=0),"",P67/O67)</f>
        <v/>
      </c>
      <c r="R67" s="20" t="str">
        <f aca="true">IF(A67="","",IF(D67="","Falta elegir receta",IF(IFERROR(INDEX(RecEstado,MATCH(D67,ListaRecetas,0)),"Receta no existe")&lt;&gt;"OK","Receta: "&amp;IFERROR(INDEX(RecEstado,MATCH(D67,ListaRecetas,0)),"no existe"),IF(OR(AND(G67&lt;&gt;"",H67=0),AND(I67&lt;&gt;"",J67=0)),"Packaging sin precio","OK"))))</f>
        <v/>
      </c>
    </row>
    <row r="68" customFormat="false" ht="15" hidden="false" customHeight="false" outlineLevel="0" collapsed="false">
      <c r="A68" s="15"/>
      <c r="B68" s="15"/>
      <c r="C68" s="20" t="str">
        <f aca="false">IF(A68="","",A68&amp;" - "&amp;B68)</f>
        <v/>
      </c>
      <c r="D68" s="15"/>
      <c r="E68" s="27"/>
      <c r="F68" s="32" t="str">
        <f aca="true">IF(OR(D68="",E68=""),"",IF(IFERROR(INDEX(RecEstado,MATCH(D68,ListaRecetas,0)),"")&lt;&gt;"OK","",IFERROR(E68*INDEX(RecCostoU,MATCH(D68,ListaRecetas,0)),"")))</f>
        <v/>
      </c>
      <c r="G68" s="15"/>
      <c r="H68" s="32" t="n">
        <f aca="true">IF(G68="",0,IFERROR(INDEX(InsCosto,MATCH(G68,ListaInsumos,0))*1,0))</f>
        <v>0</v>
      </c>
      <c r="I68" s="15"/>
      <c r="J68" s="32" t="n">
        <f aca="true">IF(I68="",0,IFERROR(INDEX(InsCosto,MATCH(I68,ListaInsumos,0))*1,0))</f>
        <v>0</v>
      </c>
      <c r="K68" s="30" t="str">
        <f aca="false">IF(F68="","",(F68+H68+J68)*CFG_Indirectos)</f>
        <v/>
      </c>
      <c r="L68" s="33" t="str">
        <f aca="false">IF(F68="","",F68+H68+J68+K68)</f>
        <v/>
      </c>
      <c r="M68" s="36"/>
      <c r="N68" s="33" t="str">
        <f aca="false">IF(OR(L68="",L68=0,M68="",M68&gt;=1),"",IF(CFG_Redondeo&gt;0,CEILING(L68/(1-M68),CFG_Redondeo),L68/(1-M68)))</f>
        <v/>
      </c>
      <c r="O68" s="28"/>
      <c r="P68" s="30" t="str">
        <f aca="false">IF(OR(L68="",O68=""),"",O68-L68)</f>
        <v/>
      </c>
      <c r="Q68" s="35" t="str">
        <f aca="false">IF(OR(P68="",O68=0),"",P68/O68)</f>
        <v/>
      </c>
      <c r="R68" s="20" t="str">
        <f aca="true">IF(A68="","",IF(D68="","Falta elegir receta",IF(IFERROR(INDEX(RecEstado,MATCH(D68,ListaRecetas,0)),"Receta no existe")&lt;&gt;"OK","Receta: "&amp;IFERROR(INDEX(RecEstado,MATCH(D68,ListaRecetas,0)),"no existe"),IF(OR(AND(G68&lt;&gt;"",H68=0),AND(I68&lt;&gt;"",J68=0)),"Packaging sin precio","OK"))))</f>
        <v/>
      </c>
    </row>
    <row r="69" customFormat="false" ht="15" hidden="false" customHeight="false" outlineLevel="0" collapsed="false">
      <c r="A69" s="15"/>
      <c r="B69" s="15"/>
      <c r="C69" s="20" t="str">
        <f aca="false">IF(A69="","",A69&amp;" - "&amp;B69)</f>
        <v/>
      </c>
      <c r="D69" s="15"/>
      <c r="E69" s="27"/>
      <c r="F69" s="32" t="str">
        <f aca="true">IF(OR(D69="",E69=""),"",IF(IFERROR(INDEX(RecEstado,MATCH(D69,ListaRecetas,0)),"")&lt;&gt;"OK","",IFERROR(E69*INDEX(RecCostoU,MATCH(D69,ListaRecetas,0)),"")))</f>
        <v/>
      </c>
      <c r="G69" s="15"/>
      <c r="H69" s="32" t="n">
        <f aca="true">IF(G69="",0,IFERROR(INDEX(InsCosto,MATCH(G69,ListaInsumos,0))*1,0))</f>
        <v>0</v>
      </c>
      <c r="I69" s="15"/>
      <c r="J69" s="32" t="n">
        <f aca="true">IF(I69="",0,IFERROR(INDEX(InsCosto,MATCH(I69,ListaInsumos,0))*1,0))</f>
        <v>0</v>
      </c>
      <c r="K69" s="30" t="str">
        <f aca="false">IF(F69="","",(F69+H69+J69)*CFG_Indirectos)</f>
        <v/>
      </c>
      <c r="L69" s="33" t="str">
        <f aca="false">IF(F69="","",F69+H69+J69+K69)</f>
        <v/>
      </c>
      <c r="M69" s="36"/>
      <c r="N69" s="33" t="str">
        <f aca="false">IF(OR(L69="",L69=0,M69="",M69&gt;=1),"",IF(CFG_Redondeo&gt;0,CEILING(L69/(1-M69),CFG_Redondeo),L69/(1-M69)))</f>
        <v/>
      </c>
      <c r="O69" s="28"/>
      <c r="P69" s="30" t="str">
        <f aca="false">IF(OR(L69="",O69=""),"",O69-L69)</f>
        <v/>
      </c>
      <c r="Q69" s="35" t="str">
        <f aca="false">IF(OR(P69="",O69=0),"",P69/O69)</f>
        <v/>
      </c>
      <c r="R69" s="20" t="str">
        <f aca="true">IF(A69="","",IF(D69="","Falta elegir receta",IF(IFERROR(INDEX(RecEstado,MATCH(D69,ListaRecetas,0)),"Receta no existe")&lt;&gt;"OK","Receta: "&amp;IFERROR(INDEX(RecEstado,MATCH(D69,ListaRecetas,0)),"no existe"),IF(OR(AND(G69&lt;&gt;"",H69=0),AND(I69&lt;&gt;"",J69=0)),"Packaging sin precio","OK"))))</f>
        <v/>
      </c>
    </row>
    <row r="70" customFormat="false" ht="15" hidden="false" customHeight="false" outlineLevel="0" collapsed="false">
      <c r="A70" s="15"/>
      <c r="B70" s="15"/>
      <c r="C70" s="20" t="str">
        <f aca="false">IF(A70="","",A70&amp;" - "&amp;B70)</f>
        <v/>
      </c>
      <c r="D70" s="15"/>
      <c r="E70" s="27"/>
      <c r="F70" s="32" t="str">
        <f aca="true">IF(OR(D70="",E70=""),"",IF(IFERROR(INDEX(RecEstado,MATCH(D70,ListaRecetas,0)),"")&lt;&gt;"OK","",IFERROR(E70*INDEX(RecCostoU,MATCH(D70,ListaRecetas,0)),"")))</f>
        <v/>
      </c>
      <c r="G70" s="15"/>
      <c r="H70" s="32" t="n">
        <f aca="true">IF(G70="",0,IFERROR(INDEX(InsCosto,MATCH(G70,ListaInsumos,0))*1,0))</f>
        <v>0</v>
      </c>
      <c r="I70" s="15"/>
      <c r="J70" s="32" t="n">
        <f aca="true">IF(I70="",0,IFERROR(INDEX(InsCosto,MATCH(I70,ListaInsumos,0))*1,0))</f>
        <v>0</v>
      </c>
      <c r="K70" s="30" t="str">
        <f aca="false">IF(F70="","",(F70+H70+J70)*CFG_Indirectos)</f>
        <v/>
      </c>
      <c r="L70" s="33" t="str">
        <f aca="false">IF(F70="","",F70+H70+J70+K70)</f>
        <v/>
      </c>
      <c r="M70" s="36"/>
      <c r="N70" s="33" t="str">
        <f aca="false">IF(OR(L70="",L70=0,M70="",M70&gt;=1),"",IF(CFG_Redondeo&gt;0,CEILING(L70/(1-M70),CFG_Redondeo),L70/(1-M70)))</f>
        <v/>
      </c>
      <c r="O70" s="28"/>
      <c r="P70" s="30" t="str">
        <f aca="false">IF(OR(L70="",O70=""),"",O70-L70)</f>
        <v/>
      </c>
      <c r="Q70" s="35" t="str">
        <f aca="false">IF(OR(P70="",O70=0),"",P70/O70)</f>
        <v/>
      </c>
      <c r="R70" s="20" t="str">
        <f aca="true">IF(A70="","",IF(D70="","Falta elegir receta",IF(IFERROR(INDEX(RecEstado,MATCH(D70,ListaRecetas,0)),"Receta no existe")&lt;&gt;"OK","Receta: "&amp;IFERROR(INDEX(RecEstado,MATCH(D70,ListaRecetas,0)),"no existe"),IF(OR(AND(G70&lt;&gt;"",H70=0),AND(I70&lt;&gt;"",J70=0)),"Packaging sin precio","OK"))))</f>
        <v/>
      </c>
    </row>
    <row r="71" customFormat="false" ht="15" hidden="false" customHeight="false" outlineLevel="0" collapsed="false">
      <c r="A71" s="15"/>
      <c r="B71" s="15"/>
      <c r="C71" s="20" t="str">
        <f aca="false">IF(A71="","",A71&amp;" - "&amp;B71)</f>
        <v/>
      </c>
      <c r="D71" s="15"/>
      <c r="E71" s="27"/>
      <c r="F71" s="32" t="str">
        <f aca="true">IF(OR(D71="",E71=""),"",IF(IFERROR(INDEX(RecEstado,MATCH(D71,ListaRecetas,0)),"")&lt;&gt;"OK","",IFERROR(E71*INDEX(RecCostoU,MATCH(D71,ListaRecetas,0)),"")))</f>
        <v/>
      </c>
      <c r="G71" s="15"/>
      <c r="H71" s="32" t="n">
        <f aca="true">IF(G71="",0,IFERROR(INDEX(InsCosto,MATCH(G71,ListaInsumos,0))*1,0))</f>
        <v>0</v>
      </c>
      <c r="I71" s="15"/>
      <c r="J71" s="32" t="n">
        <f aca="true">IF(I71="",0,IFERROR(INDEX(InsCosto,MATCH(I71,ListaInsumos,0))*1,0))</f>
        <v>0</v>
      </c>
      <c r="K71" s="30" t="str">
        <f aca="false">IF(F71="","",(F71+H71+J71)*CFG_Indirectos)</f>
        <v/>
      </c>
      <c r="L71" s="33" t="str">
        <f aca="false">IF(F71="","",F71+H71+J71+K71)</f>
        <v/>
      </c>
      <c r="M71" s="36"/>
      <c r="N71" s="33" t="str">
        <f aca="false">IF(OR(L71="",L71=0,M71="",M71&gt;=1),"",IF(CFG_Redondeo&gt;0,CEILING(L71/(1-M71),CFG_Redondeo),L71/(1-M71)))</f>
        <v/>
      </c>
      <c r="O71" s="28"/>
      <c r="P71" s="30" t="str">
        <f aca="false">IF(OR(L71="",O71=""),"",O71-L71)</f>
        <v/>
      </c>
      <c r="Q71" s="35" t="str">
        <f aca="false">IF(OR(P71="",O71=0),"",P71/O71)</f>
        <v/>
      </c>
      <c r="R71" s="20" t="str">
        <f aca="true">IF(A71="","",IF(D71="","Falta elegir receta",IF(IFERROR(INDEX(RecEstado,MATCH(D71,ListaRecetas,0)),"Receta no existe")&lt;&gt;"OK","Receta: "&amp;IFERROR(INDEX(RecEstado,MATCH(D71,ListaRecetas,0)),"no existe"),IF(OR(AND(G71&lt;&gt;"",H71=0),AND(I71&lt;&gt;"",J71=0)),"Packaging sin precio","OK"))))</f>
        <v/>
      </c>
    </row>
    <row r="72" customFormat="false" ht="15" hidden="false" customHeight="false" outlineLevel="0" collapsed="false">
      <c r="A72" s="15"/>
      <c r="B72" s="15"/>
      <c r="C72" s="20" t="str">
        <f aca="false">IF(A72="","",A72&amp;" - "&amp;B72)</f>
        <v/>
      </c>
      <c r="D72" s="15"/>
      <c r="E72" s="27"/>
      <c r="F72" s="32" t="str">
        <f aca="true">IF(OR(D72="",E72=""),"",IF(IFERROR(INDEX(RecEstado,MATCH(D72,ListaRecetas,0)),"")&lt;&gt;"OK","",IFERROR(E72*INDEX(RecCostoU,MATCH(D72,ListaRecetas,0)),"")))</f>
        <v/>
      </c>
      <c r="G72" s="15"/>
      <c r="H72" s="32" t="n">
        <f aca="true">IF(G72="",0,IFERROR(INDEX(InsCosto,MATCH(G72,ListaInsumos,0))*1,0))</f>
        <v>0</v>
      </c>
      <c r="I72" s="15"/>
      <c r="J72" s="32" t="n">
        <f aca="true">IF(I72="",0,IFERROR(INDEX(InsCosto,MATCH(I72,ListaInsumos,0))*1,0))</f>
        <v>0</v>
      </c>
      <c r="K72" s="30" t="str">
        <f aca="false">IF(F72="","",(F72+H72+J72)*CFG_Indirectos)</f>
        <v/>
      </c>
      <c r="L72" s="33" t="str">
        <f aca="false">IF(F72="","",F72+H72+J72+K72)</f>
        <v/>
      </c>
      <c r="M72" s="36"/>
      <c r="N72" s="33" t="str">
        <f aca="false">IF(OR(L72="",L72=0,M72="",M72&gt;=1),"",IF(CFG_Redondeo&gt;0,CEILING(L72/(1-M72),CFG_Redondeo),L72/(1-M72)))</f>
        <v/>
      </c>
      <c r="O72" s="28"/>
      <c r="P72" s="30" t="str">
        <f aca="false">IF(OR(L72="",O72=""),"",O72-L72)</f>
        <v/>
      </c>
      <c r="Q72" s="35" t="str">
        <f aca="false">IF(OR(P72="",O72=0),"",P72/O72)</f>
        <v/>
      </c>
      <c r="R72" s="20" t="str">
        <f aca="true">IF(A72="","",IF(D72="","Falta elegir receta",IF(IFERROR(INDEX(RecEstado,MATCH(D72,ListaRecetas,0)),"Receta no existe")&lt;&gt;"OK","Receta: "&amp;IFERROR(INDEX(RecEstado,MATCH(D72,ListaRecetas,0)),"no existe"),IF(OR(AND(G72&lt;&gt;"",H72=0),AND(I72&lt;&gt;"",J72=0)),"Packaging sin precio","OK"))))</f>
        <v/>
      </c>
    </row>
    <row r="73" customFormat="false" ht="15" hidden="false" customHeight="false" outlineLevel="0" collapsed="false">
      <c r="A73" s="15"/>
      <c r="B73" s="15"/>
      <c r="C73" s="20" t="str">
        <f aca="false">IF(A73="","",A73&amp;" - "&amp;B73)</f>
        <v/>
      </c>
      <c r="D73" s="15"/>
      <c r="E73" s="27"/>
      <c r="F73" s="32" t="str">
        <f aca="true">IF(OR(D73="",E73=""),"",IF(IFERROR(INDEX(RecEstado,MATCH(D73,ListaRecetas,0)),"")&lt;&gt;"OK","",IFERROR(E73*INDEX(RecCostoU,MATCH(D73,ListaRecetas,0)),"")))</f>
        <v/>
      </c>
      <c r="G73" s="15"/>
      <c r="H73" s="32" t="n">
        <f aca="true">IF(G73="",0,IFERROR(INDEX(InsCosto,MATCH(G73,ListaInsumos,0))*1,0))</f>
        <v>0</v>
      </c>
      <c r="I73" s="15"/>
      <c r="J73" s="32" t="n">
        <f aca="true">IF(I73="",0,IFERROR(INDEX(InsCosto,MATCH(I73,ListaInsumos,0))*1,0))</f>
        <v>0</v>
      </c>
      <c r="K73" s="30" t="str">
        <f aca="false">IF(F73="","",(F73+H73+J73)*CFG_Indirectos)</f>
        <v/>
      </c>
      <c r="L73" s="33" t="str">
        <f aca="false">IF(F73="","",F73+H73+J73+K73)</f>
        <v/>
      </c>
      <c r="M73" s="36"/>
      <c r="N73" s="33" t="str">
        <f aca="false">IF(OR(L73="",L73=0,M73="",M73&gt;=1),"",IF(CFG_Redondeo&gt;0,CEILING(L73/(1-M73),CFG_Redondeo),L73/(1-M73)))</f>
        <v/>
      </c>
      <c r="O73" s="28"/>
      <c r="P73" s="30" t="str">
        <f aca="false">IF(OR(L73="",O73=""),"",O73-L73)</f>
        <v/>
      </c>
      <c r="Q73" s="35" t="str">
        <f aca="false">IF(OR(P73="",O73=0),"",P73/O73)</f>
        <v/>
      </c>
      <c r="R73" s="20" t="str">
        <f aca="true">IF(A73="","",IF(D73="","Falta elegir receta",IF(IFERROR(INDEX(RecEstado,MATCH(D73,ListaRecetas,0)),"Receta no existe")&lt;&gt;"OK","Receta: "&amp;IFERROR(INDEX(RecEstado,MATCH(D73,ListaRecetas,0)),"no existe"),IF(OR(AND(G73&lt;&gt;"",H73=0),AND(I73&lt;&gt;"",J73=0)),"Packaging sin precio","OK"))))</f>
        <v/>
      </c>
    </row>
    <row r="74" customFormat="false" ht="15" hidden="false" customHeight="false" outlineLevel="0" collapsed="false">
      <c r="A74" s="15"/>
      <c r="B74" s="15"/>
      <c r="C74" s="20" t="str">
        <f aca="false">IF(A74="","",A74&amp;" - "&amp;B74)</f>
        <v/>
      </c>
      <c r="D74" s="15"/>
      <c r="E74" s="27"/>
      <c r="F74" s="32" t="str">
        <f aca="true">IF(OR(D74="",E74=""),"",IF(IFERROR(INDEX(RecEstado,MATCH(D74,ListaRecetas,0)),"")&lt;&gt;"OK","",IFERROR(E74*INDEX(RecCostoU,MATCH(D74,ListaRecetas,0)),"")))</f>
        <v/>
      </c>
      <c r="G74" s="15"/>
      <c r="H74" s="32" t="n">
        <f aca="true">IF(G74="",0,IFERROR(INDEX(InsCosto,MATCH(G74,ListaInsumos,0))*1,0))</f>
        <v>0</v>
      </c>
      <c r="I74" s="15"/>
      <c r="J74" s="32" t="n">
        <f aca="true">IF(I74="",0,IFERROR(INDEX(InsCosto,MATCH(I74,ListaInsumos,0))*1,0))</f>
        <v>0</v>
      </c>
      <c r="K74" s="30" t="str">
        <f aca="false">IF(F74="","",(F74+H74+J74)*CFG_Indirectos)</f>
        <v/>
      </c>
      <c r="L74" s="33" t="str">
        <f aca="false">IF(F74="","",F74+H74+J74+K74)</f>
        <v/>
      </c>
      <c r="M74" s="36"/>
      <c r="N74" s="33" t="str">
        <f aca="false">IF(OR(L74="",L74=0,M74="",M74&gt;=1),"",IF(CFG_Redondeo&gt;0,CEILING(L74/(1-M74),CFG_Redondeo),L74/(1-M74)))</f>
        <v/>
      </c>
      <c r="O74" s="28"/>
      <c r="P74" s="30" t="str">
        <f aca="false">IF(OR(L74="",O74=""),"",O74-L74)</f>
        <v/>
      </c>
      <c r="Q74" s="35" t="str">
        <f aca="false">IF(OR(P74="",O74=0),"",P74/O74)</f>
        <v/>
      </c>
      <c r="R74" s="20" t="str">
        <f aca="true">IF(A74="","",IF(D74="","Falta elegir receta",IF(IFERROR(INDEX(RecEstado,MATCH(D74,ListaRecetas,0)),"Receta no existe")&lt;&gt;"OK","Receta: "&amp;IFERROR(INDEX(RecEstado,MATCH(D74,ListaRecetas,0)),"no existe"),IF(OR(AND(G74&lt;&gt;"",H74=0),AND(I74&lt;&gt;"",J74=0)),"Packaging sin precio","OK"))))</f>
        <v/>
      </c>
    </row>
    <row r="75" customFormat="false" ht="15" hidden="false" customHeight="false" outlineLevel="0" collapsed="false">
      <c r="A75" s="15"/>
      <c r="B75" s="15"/>
      <c r="C75" s="20" t="str">
        <f aca="false">IF(A75="","",A75&amp;" - "&amp;B75)</f>
        <v/>
      </c>
      <c r="D75" s="15"/>
      <c r="E75" s="27"/>
      <c r="F75" s="32" t="str">
        <f aca="true">IF(OR(D75="",E75=""),"",IF(IFERROR(INDEX(RecEstado,MATCH(D75,ListaRecetas,0)),"")&lt;&gt;"OK","",IFERROR(E75*INDEX(RecCostoU,MATCH(D75,ListaRecetas,0)),"")))</f>
        <v/>
      </c>
      <c r="G75" s="15"/>
      <c r="H75" s="32" t="n">
        <f aca="true">IF(G75="",0,IFERROR(INDEX(InsCosto,MATCH(G75,ListaInsumos,0))*1,0))</f>
        <v>0</v>
      </c>
      <c r="I75" s="15"/>
      <c r="J75" s="32" t="n">
        <f aca="true">IF(I75="",0,IFERROR(INDEX(InsCosto,MATCH(I75,ListaInsumos,0))*1,0))</f>
        <v>0</v>
      </c>
      <c r="K75" s="30" t="str">
        <f aca="false">IF(F75="","",(F75+H75+J75)*CFG_Indirectos)</f>
        <v/>
      </c>
      <c r="L75" s="33" t="str">
        <f aca="false">IF(F75="","",F75+H75+J75+K75)</f>
        <v/>
      </c>
      <c r="M75" s="36"/>
      <c r="N75" s="33" t="str">
        <f aca="false">IF(OR(L75="",L75=0,M75="",M75&gt;=1),"",IF(CFG_Redondeo&gt;0,CEILING(L75/(1-M75),CFG_Redondeo),L75/(1-M75)))</f>
        <v/>
      </c>
      <c r="O75" s="28"/>
      <c r="P75" s="30" t="str">
        <f aca="false">IF(OR(L75="",O75=""),"",O75-L75)</f>
        <v/>
      </c>
      <c r="Q75" s="35" t="str">
        <f aca="false">IF(OR(P75="",O75=0),"",P75/O75)</f>
        <v/>
      </c>
      <c r="R75" s="20" t="str">
        <f aca="true">IF(A75="","",IF(D75="","Falta elegir receta",IF(IFERROR(INDEX(RecEstado,MATCH(D75,ListaRecetas,0)),"Receta no existe")&lt;&gt;"OK","Receta: "&amp;IFERROR(INDEX(RecEstado,MATCH(D75,ListaRecetas,0)),"no existe"),IF(OR(AND(G75&lt;&gt;"",H75=0),AND(I75&lt;&gt;"",J75=0)),"Packaging sin precio","OK"))))</f>
        <v/>
      </c>
    </row>
    <row r="76" customFormat="false" ht="15" hidden="false" customHeight="false" outlineLevel="0" collapsed="false">
      <c r="A76" s="15"/>
      <c r="B76" s="15"/>
      <c r="C76" s="20" t="str">
        <f aca="false">IF(A76="","",A76&amp;" - "&amp;B76)</f>
        <v/>
      </c>
      <c r="D76" s="15"/>
      <c r="E76" s="27"/>
      <c r="F76" s="32" t="str">
        <f aca="true">IF(OR(D76="",E76=""),"",IF(IFERROR(INDEX(RecEstado,MATCH(D76,ListaRecetas,0)),"")&lt;&gt;"OK","",IFERROR(E76*INDEX(RecCostoU,MATCH(D76,ListaRecetas,0)),"")))</f>
        <v/>
      </c>
      <c r="G76" s="15"/>
      <c r="H76" s="32" t="n">
        <f aca="true">IF(G76="",0,IFERROR(INDEX(InsCosto,MATCH(G76,ListaInsumos,0))*1,0))</f>
        <v>0</v>
      </c>
      <c r="I76" s="15"/>
      <c r="J76" s="32" t="n">
        <f aca="true">IF(I76="",0,IFERROR(INDEX(InsCosto,MATCH(I76,ListaInsumos,0))*1,0))</f>
        <v>0</v>
      </c>
      <c r="K76" s="30" t="str">
        <f aca="false">IF(F76="","",(F76+H76+J76)*CFG_Indirectos)</f>
        <v/>
      </c>
      <c r="L76" s="33" t="str">
        <f aca="false">IF(F76="","",F76+H76+J76+K76)</f>
        <v/>
      </c>
      <c r="M76" s="36"/>
      <c r="N76" s="33" t="str">
        <f aca="false">IF(OR(L76="",L76=0,M76="",M76&gt;=1),"",IF(CFG_Redondeo&gt;0,CEILING(L76/(1-M76),CFG_Redondeo),L76/(1-M76)))</f>
        <v/>
      </c>
      <c r="O76" s="28"/>
      <c r="P76" s="30" t="str">
        <f aca="false">IF(OR(L76="",O76=""),"",O76-L76)</f>
        <v/>
      </c>
      <c r="Q76" s="35" t="str">
        <f aca="false">IF(OR(P76="",O76=0),"",P76/O76)</f>
        <v/>
      </c>
      <c r="R76" s="20" t="str">
        <f aca="true">IF(A76="","",IF(D76="","Falta elegir receta",IF(IFERROR(INDEX(RecEstado,MATCH(D76,ListaRecetas,0)),"Receta no existe")&lt;&gt;"OK","Receta: "&amp;IFERROR(INDEX(RecEstado,MATCH(D76,ListaRecetas,0)),"no existe"),IF(OR(AND(G76&lt;&gt;"",H76=0),AND(I76&lt;&gt;"",J76=0)),"Packaging sin precio","OK"))))</f>
        <v/>
      </c>
    </row>
    <row r="77" customFormat="false" ht="15" hidden="false" customHeight="false" outlineLevel="0" collapsed="false">
      <c r="A77" s="15"/>
      <c r="B77" s="15"/>
      <c r="C77" s="20" t="str">
        <f aca="false">IF(A77="","",A77&amp;" - "&amp;B77)</f>
        <v/>
      </c>
      <c r="D77" s="15"/>
      <c r="E77" s="27"/>
      <c r="F77" s="32" t="str">
        <f aca="true">IF(OR(D77="",E77=""),"",IF(IFERROR(INDEX(RecEstado,MATCH(D77,ListaRecetas,0)),"")&lt;&gt;"OK","",IFERROR(E77*INDEX(RecCostoU,MATCH(D77,ListaRecetas,0)),"")))</f>
        <v/>
      </c>
      <c r="G77" s="15"/>
      <c r="H77" s="32" t="n">
        <f aca="true">IF(G77="",0,IFERROR(INDEX(InsCosto,MATCH(G77,ListaInsumos,0))*1,0))</f>
        <v>0</v>
      </c>
      <c r="I77" s="15"/>
      <c r="J77" s="32" t="n">
        <f aca="true">IF(I77="",0,IFERROR(INDEX(InsCosto,MATCH(I77,ListaInsumos,0))*1,0))</f>
        <v>0</v>
      </c>
      <c r="K77" s="30" t="str">
        <f aca="false">IF(F77="","",(F77+H77+J77)*CFG_Indirectos)</f>
        <v/>
      </c>
      <c r="L77" s="33" t="str">
        <f aca="false">IF(F77="","",F77+H77+J77+K77)</f>
        <v/>
      </c>
      <c r="M77" s="36"/>
      <c r="N77" s="33" t="str">
        <f aca="false">IF(OR(L77="",L77=0,M77="",M77&gt;=1),"",IF(CFG_Redondeo&gt;0,CEILING(L77/(1-M77),CFG_Redondeo),L77/(1-M77)))</f>
        <v/>
      </c>
      <c r="O77" s="28"/>
      <c r="P77" s="30" t="str">
        <f aca="false">IF(OR(L77="",O77=""),"",O77-L77)</f>
        <v/>
      </c>
      <c r="Q77" s="35" t="str">
        <f aca="false">IF(OR(P77="",O77=0),"",P77/O77)</f>
        <v/>
      </c>
      <c r="R77" s="20" t="str">
        <f aca="true">IF(A77="","",IF(D77="","Falta elegir receta",IF(IFERROR(INDEX(RecEstado,MATCH(D77,ListaRecetas,0)),"Receta no existe")&lt;&gt;"OK","Receta: "&amp;IFERROR(INDEX(RecEstado,MATCH(D77,ListaRecetas,0)),"no existe"),IF(OR(AND(G77&lt;&gt;"",H77=0),AND(I77&lt;&gt;"",J77=0)),"Packaging sin precio","OK"))))</f>
        <v/>
      </c>
    </row>
    <row r="78" customFormat="false" ht="15" hidden="false" customHeight="false" outlineLevel="0" collapsed="false">
      <c r="A78" s="15"/>
      <c r="B78" s="15"/>
      <c r="C78" s="20" t="str">
        <f aca="false">IF(A78="","",A78&amp;" - "&amp;B78)</f>
        <v/>
      </c>
      <c r="D78" s="15"/>
      <c r="E78" s="27"/>
      <c r="F78" s="32" t="str">
        <f aca="true">IF(OR(D78="",E78=""),"",IF(IFERROR(INDEX(RecEstado,MATCH(D78,ListaRecetas,0)),"")&lt;&gt;"OK","",IFERROR(E78*INDEX(RecCostoU,MATCH(D78,ListaRecetas,0)),"")))</f>
        <v/>
      </c>
      <c r="G78" s="15"/>
      <c r="H78" s="32" t="n">
        <f aca="true">IF(G78="",0,IFERROR(INDEX(InsCosto,MATCH(G78,ListaInsumos,0))*1,0))</f>
        <v>0</v>
      </c>
      <c r="I78" s="15"/>
      <c r="J78" s="32" t="n">
        <f aca="true">IF(I78="",0,IFERROR(INDEX(InsCosto,MATCH(I78,ListaInsumos,0))*1,0))</f>
        <v>0</v>
      </c>
      <c r="K78" s="30" t="str">
        <f aca="false">IF(F78="","",(F78+H78+J78)*CFG_Indirectos)</f>
        <v/>
      </c>
      <c r="L78" s="33" t="str">
        <f aca="false">IF(F78="","",F78+H78+J78+K78)</f>
        <v/>
      </c>
      <c r="M78" s="36"/>
      <c r="N78" s="33" t="str">
        <f aca="false">IF(OR(L78="",L78=0,M78="",M78&gt;=1),"",IF(CFG_Redondeo&gt;0,CEILING(L78/(1-M78),CFG_Redondeo),L78/(1-M78)))</f>
        <v/>
      </c>
      <c r="O78" s="28"/>
      <c r="P78" s="30" t="str">
        <f aca="false">IF(OR(L78="",O78=""),"",O78-L78)</f>
        <v/>
      </c>
      <c r="Q78" s="35" t="str">
        <f aca="false">IF(OR(P78="",O78=0),"",P78/O78)</f>
        <v/>
      </c>
      <c r="R78" s="20" t="str">
        <f aca="true">IF(A78="","",IF(D78="","Falta elegir receta",IF(IFERROR(INDEX(RecEstado,MATCH(D78,ListaRecetas,0)),"Receta no existe")&lt;&gt;"OK","Receta: "&amp;IFERROR(INDEX(RecEstado,MATCH(D78,ListaRecetas,0)),"no existe"),IF(OR(AND(G78&lt;&gt;"",H78=0),AND(I78&lt;&gt;"",J78=0)),"Packaging sin precio","OK"))))</f>
        <v/>
      </c>
    </row>
    <row r="79" customFormat="false" ht="15" hidden="false" customHeight="false" outlineLevel="0" collapsed="false">
      <c r="A79" s="15"/>
      <c r="B79" s="15"/>
      <c r="C79" s="20" t="str">
        <f aca="false">IF(A79="","",A79&amp;" - "&amp;B79)</f>
        <v/>
      </c>
      <c r="D79" s="15"/>
      <c r="E79" s="27"/>
      <c r="F79" s="32" t="str">
        <f aca="true">IF(OR(D79="",E79=""),"",IF(IFERROR(INDEX(RecEstado,MATCH(D79,ListaRecetas,0)),"")&lt;&gt;"OK","",IFERROR(E79*INDEX(RecCostoU,MATCH(D79,ListaRecetas,0)),"")))</f>
        <v/>
      </c>
      <c r="G79" s="15"/>
      <c r="H79" s="32" t="n">
        <f aca="true">IF(G79="",0,IFERROR(INDEX(InsCosto,MATCH(G79,ListaInsumos,0))*1,0))</f>
        <v>0</v>
      </c>
      <c r="I79" s="15"/>
      <c r="J79" s="32" t="n">
        <f aca="true">IF(I79="",0,IFERROR(INDEX(InsCosto,MATCH(I79,ListaInsumos,0))*1,0))</f>
        <v>0</v>
      </c>
      <c r="K79" s="30" t="str">
        <f aca="false">IF(F79="","",(F79+H79+J79)*CFG_Indirectos)</f>
        <v/>
      </c>
      <c r="L79" s="33" t="str">
        <f aca="false">IF(F79="","",F79+H79+J79+K79)</f>
        <v/>
      </c>
      <c r="M79" s="36"/>
      <c r="N79" s="33" t="str">
        <f aca="false">IF(OR(L79="",L79=0,M79="",M79&gt;=1),"",IF(CFG_Redondeo&gt;0,CEILING(L79/(1-M79),CFG_Redondeo),L79/(1-M79)))</f>
        <v/>
      </c>
      <c r="O79" s="28"/>
      <c r="P79" s="30" t="str">
        <f aca="false">IF(OR(L79="",O79=""),"",O79-L79)</f>
        <v/>
      </c>
      <c r="Q79" s="35" t="str">
        <f aca="false">IF(OR(P79="",O79=0),"",P79/O79)</f>
        <v/>
      </c>
      <c r="R79" s="20" t="str">
        <f aca="true">IF(A79="","",IF(D79="","Falta elegir receta",IF(IFERROR(INDEX(RecEstado,MATCH(D79,ListaRecetas,0)),"Receta no existe")&lt;&gt;"OK","Receta: "&amp;IFERROR(INDEX(RecEstado,MATCH(D79,ListaRecetas,0)),"no existe"),IF(OR(AND(G79&lt;&gt;"",H79=0),AND(I79&lt;&gt;"",J79=0)),"Packaging sin precio","OK"))))</f>
        <v/>
      </c>
    </row>
    <row r="80" customFormat="false" ht="15" hidden="false" customHeight="false" outlineLevel="0" collapsed="false">
      <c r="A80" s="15"/>
      <c r="B80" s="15"/>
      <c r="C80" s="20" t="str">
        <f aca="false">IF(A80="","",A80&amp;" - "&amp;B80)</f>
        <v/>
      </c>
      <c r="D80" s="15"/>
      <c r="E80" s="27"/>
      <c r="F80" s="32" t="str">
        <f aca="true">IF(OR(D80="",E80=""),"",IF(IFERROR(INDEX(RecEstado,MATCH(D80,ListaRecetas,0)),"")&lt;&gt;"OK","",IFERROR(E80*INDEX(RecCostoU,MATCH(D80,ListaRecetas,0)),"")))</f>
        <v/>
      </c>
      <c r="G80" s="15"/>
      <c r="H80" s="32" t="n">
        <f aca="true">IF(G80="",0,IFERROR(INDEX(InsCosto,MATCH(G80,ListaInsumos,0))*1,0))</f>
        <v>0</v>
      </c>
      <c r="I80" s="15"/>
      <c r="J80" s="32" t="n">
        <f aca="true">IF(I80="",0,IFERROR(INDEX(InsCosto,MATCH(I80,ListaInsumos,0))*1,0))</f>
        <v>0</v>
      </c>
      <c r="K80" s="30" t="str">
        <f aca="false">IF(F80="","",(F80+H80+J80)*CFG_Indirectos)</f>
        <v/>
      </c>
      <c r="L80" s="33" t="str">
        <f aca="false">IF(F80="","",F80+H80+J80+K80)</f>
        <v/>
      </c>
      <c r="M80" s="36"/>
      <c r="N80" s="33" t="str">
        <f aca="false">IF(OR(L80="",L80=0,M80="",M80&gt;=1),"",IF(CFG_Redondeo&gt;0,CEILING(L80/(1-M80),CFG_Redondeo),L80/(1-M80)))</f>
        <v/>
      </c>
      <c r="O80" s="28"/>
      <c r="P80" s="30" t="str">
        <f aca="false">IF(OR(L80="",O80=""),"",O80-L80)</f>
        <v/>
      </c>
      <c r="Q80" s="35" t="str">
        <f aca="false">IF(OR(P80="",O80=0),"",P80/O80)</f>
        <v/>
      </c>
      <c r="R80" s="20" t="str">
        <f aca="true">IF(A80="","",IF(D80="","Falta elegir receta",IF(IFERROR(INDEX(RecEstado,MATCH(D80,ListaRecetas,0)),"Receta no existe")&lt;&gt;"OK","Receta: "&amp;IFERROR(INDEX(RecEstado,MATCH(D80,ListaRecetas,0)),"no existe"),IF(OR(AND(G80&lt;&gt;"",H80=0),AND(I80&lt;&gt;"",J80=0)),"Packaging sin precio","OK"))))</f>
        <v/>
      </c>
    </row>
    <row r="81" customFormat="false" ht="15" hidden="false" customHeight="false" outlineLevel="0" collapsed="false">
      <c r="A81" s="15"/>
      <c r="B81" s="15"/>
      <c r="C81" s="20" t="str">
        <f aca="false">IF(A81="","",A81&amp;" - "&amp;B81)</f>
        <v/>
      </c>
      <c r="D81" s="15"/>
      <c r="E81" s="27"/>
      <c r="F81" s="32" t="str">
        <f aca="true">IF(OR(D81="",E81=""),"",IF(IFERROR(INDEX(RecEstado,MATCH(D81,ListaRecetas,0)),"")&lt;&gt;"OK","",IFERROR(E81*INDEX(RecCostoU,MATCH(D81,ListaRecetas,0)),"")))</f>
        <v/>
      </c>
      <c r="G81" s="15"/>
      <c r="H81" s="32" t="n">
        <f aca="true">IF(G81="",0,IFERROR(INDEX(InsCosto,MATCH(G81,ListaInsumos,0))*1,0))</f>
        <v>0</v>
      </c>
      <c r="I81" s="15"/>
      <c r="J81" s="32" t="n">
        <f aca="true">IF(I81="",0,IFERROR(INDEX(InsCosto,MATCH(I81,ListaInsumos,0))*1,0))</f>
        <v>0</v>
      </c>
      <c r="K81" s="30" t="str">
        <f aca="false">IF(F81="","",(F81+H81+J81)*CFG_Indirectos)</f>
        <v/>
      </c>
      <c r="L81" s="33" t="str">
        <f aca="false">IF(F81="","",F81+H81+J81+K81)</f>
        <v/>
      </c>
      <c r="M81" s="36"/>
      <c r="N81" s="33" t="str">
        <f aca="false">IF(OR(L81="",L81=0,M81="",M81&gt;=1),"",IF(CFG_Redondeo&gt;0,CEILING(L81/(1-M81),CFG_Redondeo),L81/(1-M81)))</f>
        <v/>
      </c>
      <c r="O81" s="28"/>
      <c r="P81" s="30" t="str">
        <f aca="false">IF(OR(L81="",O81=""),"",O81-L81)</f>
        <v/>
      </c>
      <c r="Q81" s="35" t="str">
        <f aca="false">IF(OR(P81="",O81=0),"",P81/O81)</f>
        <v/>
      </c>
      <c r="R81" s="20" t="str">
        <f aca="true">IF(A81="","",IF(D81="","Falta elegir receta",IF(IFERROR(INDEX(RecEstado,MATCH(D81,ListaRecetas,0)),"Receta no existe")&lt;&gt;"OK","Receta: "&amp;IFERROR(INDEX(RecEstado,MATCH(D81,ListaRecetas,0)),"no existe"),IF(OR(AND(G81&lt;&gt;"",H81=0),AND(I81&lt;&gt;"",J81=0)),"Packaging sin precio","OK"))))</f>
        <v/>
      </c>
    </row>
    <row r="82" customFormat="false" ht="15" hidden="false" customHeight="false" outlineLevel="0" collapsed="false">
      <c r="A82" s="15"/>
      <c r="B82" s="15"/>
      <c r="C82" s="20" t="str">
        <f aca="false">IF(A82="","",A82&amp;" - "&amp;B82)</f>
        <v/>
      </c>
      <c r="D82" s="15"/>
      <c r="E82" s="27"/>
      <c r="F82" s="32" t="str">
        <f aca="true">IF(OR(D82="",E82=""),"",IF(IFERROR(INDEX(RecEstado,MATCH(D82,ListaRecetas,0)),"")&lt;&gt;"OK","",IFERROR(E82*INDEX(RecCostoU,MATCH(D82,ListaRecetas,0)),"")))</f>
        <v/>
      </c>
      <c r="G82" s="15"/>
      <c r="H82" s="32" t="n">
        <f aca="true">IF(G82="",0,IFERROR(INDEX(InsCosto,MATCH(G82,ListaInsumos,0))*1,0))</f>
        <v>0</v>
      </c>
      <c r="I82" s="15"/>
      <c r="J82" s="32" t="n">
        <f aca="true">IF(I82="",0,IFERROR(INDEX(InsCosto,MATCH(I82,ListaInsumos,0))*1,0))</f>
        <v>0</v>
      </c>
      <c r="K82" s="30" t="str">
        <f aca="false">IF(F82="","",(F82+H82+J82)*CFG_Indirectos)</f>
        <v/>
      </c>
      <c r="L82" s="33" t="str">
        <f aca="false">IF(F82="","",F82+H82+J82+K82)</f>
        <v/>
      </c>
      <c r="M82" s="36"/>
      <c r="N82" s="33" t="str">
        <f aca="false">IF(OR(L82="",L82=0,M82="",M82&gt;=1),"",IF(CFG_Redondeo&gt;0,CEILING(L82/(1-M82),CFG_Redondeo),L82/(1-M82)))</f>
        <v/>
      </c>
      <c r="O82" s="28"/>
      <c r="P82" s="30" t="str">
        <f aca="false">IF(OR(L82="",O82=""),"",O82-L82)</f>
        <v/>
      </c>
      <c r="Q82" s="35" t="str">
        <f aca="false">IF(OR(P82="",O82=0),"",P82/O82)</f>
        <v/>
      </c>
      <c r="R82" s="20" t="str">
        <f aca="true">IF(A82="","",IF(D82="","Falta elegir receta",IF(IFERROR(INDEX(RecEstado,MATCH(D82,ListaRecetas,0)),"Receta no existe")&lt;&gt;"OK","Receta: "&amp;IFERROR(INDEX(RecEstado,MATCH(D82,ListaRecetas,0)),"no existe"),IF(OR(AND(G82&lt;&gt;"",H82=0),AND(I82&lt;&gt;"",J82=0)),"Packaging sin precio","OK"))))</f>
        <v/>
      </c>
    </row>
    <row r="83" customFormat="false" ht="15" hidden="false" customHeight="false" outlineLevel="0" collapsed="false">
      <c r="A83" s="15"/>
      <c r="B83" s="15"/>
      <c r="C83" s="20" t="str">
        <f aca="false">IF(A83="","",A83&amp;" - "&amp;B83)</f>
        <v/>
      </c>
      <c r="D83" s="15"/>
      <c r="E83" s="27"/>
      <c r="F83" s="32" t="str">
        <f aca="true">IF(OR(D83="",E83=""),"",IF(IFERROR(INDEX(RecEstado,MATCH(D83,ListaRecetas,0)),"")&lt;&gt;"OK","",IFERROR(E83*INDEX(RecCostoU,MATCH(D83,ListaRecetas,0)),"")))</f>
        <v/>
      </c>
      <c r="G83" s="15"/>
      <c r="H83" s="32" t="n">
        <f aca="true">IF(G83="",0,IFERROR(INDEX(InsCosto,MATCH(G83,ListaInsumos,0))*1,0))</f>
        <v>0</v>
      </c>
      <c r="I83" s="15"/>
      <c r="J83" s="32" t="n">
        <f aca="true">IF(I83="",0,IFERROR(INDEX(InsCosto,MATCH(I83,ListaInsumos,0))*1,0))</f>
        <v>0</v>
      </c>
      <c r="K83" s="30" t="str">
        <f aca="false">IF(F83="","",(F83+H83+J83)*CFG_Indirectos)</f>
        <v/>
      </c>
      <c r="L83" s="33" t="str">
        <f aca="false">IF(F83="","",F83+H83+J83+K83)</f>
        <v/>
      </c>
      <c r="M83" s="36"/>
      <c r="N83" s="33" t="str">
        <f aca="false">IF(OR(L83="",L83=0,M83="",M83&gt;=1),"",IF(CFG_Redondeo&gt;0,CEILING(L83/(1-M83),CFG_Redondeo),L83/(1-M83)))</f>
        <v/>
      </c>
      <c r="O83" s="28"/>
      <c r="P83" s="30" t="str">
        <f aca="false">IF(OR(L83="",O83=""),"",O83-L83)</f>
        <v/>
      </c>
      <c r="Q83" s="35" t="str">
        <f aca="false">IF(OR(P83="",O83=0),"",P83/O83)</f>
        <v/>
      </c>
      <c r="R83" s="20" t="str">
        <f aca="true">IF(A83="","",IF(D83="","Falta elegir receta",IF(IFERROR(INDEX(RecEstado,MATCH(D83,ListaRecetas,0)),"Receta no existe")&lt;&gt;"OK","Receta: "&amp;IFERROR(INDEX(RecEstado,MATCH(D83,ListaRecetas,0)),"no existe"),IF(OR(AND(G83&lt;&gt;"",H83=0),AND(I83&lt;&gt;"",J83=0)),"Packaging sin precio","OK"))))</f>
        <v/>
      </c>
    </row>
    <row r="84" customFormat="false" ht="15" hidden="false" customHeight="false" outlineLevel="0" collapsed="false">
      <c r="A84" s="15"/>
      <c r="B84" s="15"/>
      <c r="C84" s="20" t="str">
        <f aca="false">IF(A84="","",A84&amp;" - "&amp;B84)</f>
        <v/>
      </c>
      <c r="D84" s="15"/>
      <c r="E84" s="27"/>
      <c r="F84" s="32" t="str">
        <f aca="true">IF(OR(D84="",E84=""),"",IF(IFERROR(INDEX(RecEstado,MATCH(D84,ListaRecetas,0)),"")&lt;&gt;"OK","",IFERROR(E84*INDEX(RecCostoU,MATCH(D84,ListaRecetas,0)),"")))</f>
        <v/>
      </c>
      <c r="G84" s="15"/>
      <c r="H84" s="32" t="n">
        <f aca="true">IF(G84="",0,IFERROR(INDEX(InsCosto,MATCH(G84,ListaInsumos,0))*1,0))</f>
        <v>0</v>
      </c>
      <c r="I84" s="15"/>
      <c r="J84" s="32" t="n">
        <f aca="true">IF(I84="",0,IFERROR(INDEX(InsCosto,MATCH(I84,ListaInsumos,0))*1,0))</f>
        <v>0</v>
      </c>
      <c r="K84" s="30" t="str">
        <f aca="false">IF(F84="","",(F84+H84+J84)*CFG_Indirectos)</f>
        <v/>
      </c>
      <c r="L84" s="33" t="str">
        <f aca="false">IF(F84="","",F84+H84+J84+K84)</f>
        <v/>
      </c>
      <c r="M84" s="36"/>
      <c r="N84" s="33" t="str">
        <f aca="false">IF(OR(L84="",L84=0,M84="",M84&gt;=1),"",IF(CFG_Redondeo&gt;0,CEILING(L84/(1-M84),CFG_Redondeo),L84/(1-M84)))</f>
        <v/>
      </c>
      <c r="O84" s="28"/>
      <c r="P84" s="30" t="str">
        <f aca="false">IF(OR(L84="",O84=""),"",O84-L84)</f>
        <v/>
      </c>
      <c r="Q84" s="35" t="str">
        <f aca="false">IF(OR(P84="",O84=0),"",P84/O84)</f>
        <v/>
      </c>
      <c r="R84" s="20" t="str">
        <f aca="true">IF(A84="","",IF(D84="","Falta elegir receta",IF(IFERROR(INDEX(RecEstado,MATCH(D84,ListaRecetas,0)),"Receta no existe")&lt;&gt;"OK","Receta: "&amp;IFERROR(INDEX(RecEstado,MATCH(D84,ListaRecetas,0)),"no existe"),IF(OR(AND(G84&lt;&gt;"",H84=0),AND(I84&lt;&gt;"",J84=0)),"Packaging sin precio","OK"))))</f>
        <v/>
      </c>
    </row>
    <row r="85" customFormat="false" ht="15" hidden="false" customHeight="false" outlineLevel="0" collapsed="false">
      <c r="A85" s="15"/>
      <c r="B85" s="15"/>
      <c r="C85" s="20" t="str">
        <f aca="false">IF(A85="","",A85&amp;" - "&amp;B85)</f>
        <v/>
      </c>
      <c r="D85" s="15"/>
      <c r="E85" s="27"/>
      <c r="F85" s="32" t="str">
        <f aca="true">IF(OR(D85="",E85=""),"",IF(IFERROR(INDEX(RecEstado,MATCH(D85,ListaRecetas,0)),"")&lt;&gt;"OK","",IFERROR(E85*INDEX(RecCostoU,MATCH(D85,ListaRecetas,0)),"")))</f>
        <v/>
      </c>
      <c r="G85" s="15"/>
      <c r="H85" s="32" t="n">
        <f aca="true">IF(G85="",0,IFERROR(INDEX(InsCosto,MATCH(G85,ListaInsumos,0))*1,0))</f>
        <v>0</v>
      </c>
      <c r="I85" s="15"/>
      <c r="J85" s="32" t="n">
        <f aca="true">IF(I85="",0,IFERROR(INDEX(InsCosto,MATCH(I85,ListaInsumos,0))*1,0))</f>
        <v>0</v>
      </c>
      <c r="K85" s="30" t="str">
        <f aca="false">IF(F85="","",(F85+H85+J85)*CFG_Indirectos)</f>
        <v/>
      </c>
      <c r="L85" s="33" t="str">
        <f aca="false">IF(F85="","",F85+H85+J85+K85)</f>
        <v/>
      </c>
      <c r="M85" s="36"/>
      <c r="N85" s="33" t="str">
        <f aca="false">IF(OR(L85="",L85=0,M85="",M85&gt;=1),"",IF(CFG_Redondeo&gt;0,CEILING(L85/(1-M85),CFG_Redondeo),L85/(1-M85)))</f>
        <v/>
      </c>
      <c r="O85" s="28"/>
      <c r="P85" s="30" t="str">
        <f aca="false">IF(OR(L85="",O85=""),"",O85-L85)</f>
        <v/>
      </c>
      <c r="Q85" s="35" t="str">
        <f aca="false">IF(OR(P85="",O85=0),"",P85/O85)</f>
        <v/>
      </c>
      <c r="R85" s="20" t="str">
        <f aca="true">IF(A85="","",IF(D85="","Falta elegir receta",IF(IFERROR(INDEX(RecEstado,MATCH(D85,ListaRecetas,0)),"Receta no existe")&lt;&gt;"OK","Receta: "&amp;IFERROR(INDEX(RecEstado,MATCH(D85,ListaRecetas,0)),"no existe"),IF(OR(AND(G85&lt;&gt;"",H85=0),AND(I85&lt;&gt;"",J85=0)),"Packaging sin precio","OK"))))</f>
        <v/>
      </c>
    </row>
    <row r="86" customFormat="false" ht="15" hidden="false" customHeight="false" outlineLevel="0" collapsed="false">
      <c r="A86" s="15"/>
      <c r="B86" s="15"/>
      <c r="C86" s="20" t="str">
        <f aca="false">IF(A86="","",A86&amp;" - "&amp;B86)</f>
        <v/>
      </c>
      <c r="D86" s="15"/>
      <c r="E86" s="27"/>
      <c r="F86" s="32" t="str">
        <f aca="true">IF(OR(D86="",E86=""),"",IF(IFERROR(INDEX(RecEstado,MATCH(D86,ListaRecetas,0)),"")&lt;&gt;"OK","",IFERROR(E86*INDEX(RecCostoU,MATCH(D86,ListaRecetas,0)),"")))</f>
        <v/>
      </c>
      <c r="G86" s="15"/>
      <c r="H86" s="32" t="n">
        <f aca="true">IF(G86="",0,IFERROR(INDEX(InsCosto,MATCH(G86,ListaInsumos,0))*1,0))</f>
        <v>0</v>
      </c>
      <c r="I86" s="15"/>
      <c r="J86" s="32" t="n">
        <f aca="true">IF(I86="",0,IFERROR(INDEX(InsCosto,MATCH(I86,ListaInsumos,0))*1,0))</f>
        <v>0</v>
      </c>
      <c r="K86" s="30" t="str">
        <f aca="false">IF(F86="","",(F86+H86+J86)*CFG_Indirectos)</f>
        <v/>
      </c>
      <c r="L86" s="33" t="str">
        <f aca="false">IF(F86="","",F86+H86+J86+K86)</f>
        <v/>
      </c>
      <c r="M86" s="36"/>
      <c r="N86" s="33" t="str">
        <f aca="false">IF(OR(L86="",L86=0,M86="",M86&gt;=1),"",IF(CFG_Redondeo&gt;0,CEILING(L86/(1-M86),CFG_Redondeo),L86/(1-M86)))</f>
        <v/>
      </c>
      <c r="O86" s="28"/>
      <c r="P86" s="30" t="str">
        <f aca="false">IF(OR(L86="",O86=""),"",O86-L86)</f>
        <v/>
      </c>
      <c r="Q86" s="35" t="str">
        <f aca="false">IF(OR(P86="",O86=0),"",P86/O86)</f>
        <v/>
      </c>
      <c r="R86" s="20" t="str">
        <f aca="true">IF(A86="","",IF(D86="","Falta elegir receta",IF(IFERROR(INDEX(RecEstado,MATCH(D86,ListaRecetas,0)),"Receta no existe")&lt;&gt;"OK","Receta: "&amp;IFERROR(INDEX(RecEstado,MATCH(D86,ListaRecetas,0)),"no existe"),IF(OR(AND(G86&lt;&gt;"",H86=0),AND(I86&lt;&gt;"",J86=0)),"Packaging sin precio","OK"))))</f>
        <v/>
      </c>
    </row>
    <row r="87" customFormat="false" ht="15" hidden="false" customHeight="false" outlineLevel="0" collapsed="false">
      <c r="A87" s="15"/>
      <c r="B87" s="15"/>
      <c r="C87" s="20" t="str">
        <f aca="false">IF(A87="","",A87&amp;" - "&amp;B87)</f>
        <v/>
      </c>
      <c r="D87" s="15"/>
      <c r="E87" s="27"/>
      <c r="F87" s="32" t="str">
        <f aca="true">IF(OR(D87="",E87=""),"",IF(IFERROR(INDEX(RecEstado,MATCH(D87,ListaRecetas,0)),"")&lt;&gt;"OK","",IFERROR(E87*INDEX(RecCostoU,MATCH(D87,ListaRecetas,0)),"")))</f>
        <v/>
      </c>
      <c r="G87" s="15"/>
      <c r="H87" s="32" t="n">
        <f aca="true">IF(G87="",0,IFERROR(INDEX(InsCosto,MATCH(G87,ListaInsumos,0))*1,0))</f>
        <v>0</v>
      </c>
      <c r="I87" s="15"/>
      <c r="J87" s="32" t="n">
        <f aca="true">IF(I87="",0,IFERROR(INDEX(InsCosto,MATCH(I87,ListaInsumos,0))*1,0))</f>
        <v>0</v>
      </c>
      <c r="K87" s="30" t="str">
        <f aca="false">IF(F87="","",(F87+H87+J87)*CFG_Indirectos)</f>
        <v/>
      </c>
      <c r="L87" s="33" t="str">
        <f aca="false">IF(F87="","",F87+H87+J87+K87)</f>
        <v/>
      </c>
      <c r="M87" s="36"/>
      <c r="N87" s="33" t="str">
        <f aca="false">IF(OR(L87="",L87=0,M87="",M87&gt;=1),"",IF(CFG_Redondeo&gt;0,CEILING(L87/(1-M87),CFG_Redondeo),L87/(1-M87)))</f>
        <v/>
      </c>
      <c r="O87" s="28"/>
      <c r="P87" s="30" t="str">
        <f aca="false">IF(OR(L87="",O87=""),"",O87-L87)</f>
        <v/>
      </c>
      <c r="Q87" s="35" t="str">
        <f aca="false">IF(OR(P87="",O87=0),"",P87/O87)</f>
        <v/>
      </c>
      <c r="R87" s="20" t="str">
        <f aca="true">IF(A87="","",IF(D87="","Falta elegir receta",IF(IFERROR(INDEX(RecEstado,MATCH(D87,ListaRecetas,0)),"Receta no existe")&lt;&gt;"OK","Receta: "&amp;IFERROR(INDEX(RecEstado,MATCH(D87,ListaRecetas,0)),"no existe"),IF(OR(AND(G87&lt;&gt;"",H87=0),AND(I87&lt;&gt;"",J87=0)),"Packaging sin precio","OK"))))</f>
        <v/>
      </c>
    </row>
    <row r="88" customFormat="false" ht="15" hidden="false" customHeight="false" outlineLevel="0" collapsed="false">
      <c r="A88" s="15"/>
      <c r="B88" s="15"/>
      <c r="C88" s="20" t="str">
        <f aca="false">IF(A88="","",A88&amp;" - "&amp;B88)</f>
        <v/>
      </c>
      <c r="D88" s="15"/>
      <c r="E88" s="27"/>
      <c r="F88" s="32" t="str">
        <f aca="true">IF(OR(D88="",E88=""),"",IF(IFERROR(INDEX(RecEstado,MATCH(D88,ListaRecetas,0)),"")&lt;&gt;"OK","",IFERROR(E88*INDEX(RecCostoU,MATCH(D88,ListaRecetas,0)),"")))</f>
        <v/>
      </c>
      <c r="G88" s="15"/>
      <c r="H88" s="32" t="n">
        <f aca="true">IF(G88="",0,IFERROR(INDEX(InsCosto,MATCH(G88,ListaInsumos,0))*1,0))</f>
        <v>0</v>
      </c>
      <c r="I88" s="15"/>
      <c r="J88" s="32" t="n">
        <f aca="true">IF(I88="",0,IFERROR(INDEX(InsCosto,MATCH(I88,ListaInsumos,0))*1,0))</f>
        <v>0</v>
      </c>
      <c r="K88" s="30" t="str">
        <f aca="false">IF(F88="","",(F88+H88+J88)*CFG_Indirectos)</f>
        <v/>
      </c>
      <c r="L88" s="33" t="str">
        <f aca="false">IF(F88="","",F88+H88+J88+K88)</f>
        <v/>
      </c>
      <c r="M88" s="36"/>
      <c r="N88" s="33" t="str">
        <f aca="false">IF(OR(L88="",L88=0,M88="",M88&gt;=1),"",IF(CFG_Redondeo&gt;0,CEILING(L88/(1-M88),CFG_Redondeo),L88/(1-M88)))</f>
        <v/>
      </c>
      <c r="O88" s="28"/>
      <c r="P88" s="30" t="str">
        <f aca="false">IF(OR(L88="",O88=""),"",O88-L88)</f>
        <v/>
      </c>
      <c r="Q88" s="35" t="str">
        <f aca="false">IF(OR(P88="",O88=0),"",P88/O88)</f>
        <v/>
      </c>
      <c r="R88" s="20" t="str">
        <f aca="true">IF(A88="","",IF(D88="","Falta elegir receta",IF(IFERROR(INDEX(RecEstado,MATCH(D88,ListaRecetas,0)),"Receta no existe")&lt;&gt;"OK","Receta: "&amp;IFERROR(INDEX(RecEstado,MATCH(D88,ListaRecetas,0)),"no existe"),IF(OR(AND(G88&lt;&gt;"",H88=0),AND(I88&lt;&gt;"",J88=0)),"Packaging sin precio","OK"))))</f>
        <v/>
      </c>
    </row>
    <row r="89" customFormat="false" ht="15" hidden="false" customHeight="false" outlineLevel="0" collapsed="false">
      <c r="A89" s="15"/>
      <c r="B89" s="15"/>
      <c r="C89" s="20" t="str">
        <f aca="false">IF(A89="","",A89&amp;" - "&amp;B89)</f>
        <v/>
      </c>
      <c r="D89" s="15"/>
      <c r="E89" s="27"/>
      <c r="F89" s="32" t="str">
        <f aca="true">IF(OR(D89="",E89=""),"",IF(IFERROR(INDEX(RecEstado,MATCH(D89,ListaRecetas,0)),"")&lt;&gt;"OK","",IFERROR(E89*INDEX(RecCostoU,MATCH(D89,ListaRecetas,0)),"")))</f>
        <v/>
      </c>
      <c r="G89" s="15"/>
      <c r="H89" s="32" t="n">
        <f aca="true">IF(G89="",0,IFERROR(INDEX(InsCosto,MATCH(G89,ListaInsumos,0))*1,0))</f>
        <v>0</v>
      </c>
      <c r="I89" s="15"/>
      <c r="J89" s="32" t="n">
        <f aca="true">IF(I89="",0,IFERROR(INDEX(InsCosto,MATCH(I89,ListaInsumos,0))*1,0))</f>
        <v>0</v>
      </c>
      <c r="K89" s="30" t="str">
        <f aca="false">IF(F89="","",(F89+H89+J89)*CFG_Indirectos)</f>
        <v/>
      </c>
      <c r="L89" s="33" t="str">
        <f aca="false">IF(F89="","",F89+H89+J89+K89)</f>
        <v/>
      </c>
      <c r="M89" s="36"/>
      <c r="N89" s="33" t="str">
        <f aca="false">IF(OR(L89="",L89=0,M89="",M89&gt;=1),"",IF(CFG_Redondeo&gt;0,CEILING(L89/(1-M89),CFG_Redondeo),L89/(1-M89)))</f>
        <v/>
      </c>
      <c r="O89" s="28"/>
      <c r="P89" s="30" t="str">
        <f aca="false">IF(OR(L89="",O89=""),"",O89-L89)</f>
        <v/>
      </c>
      <c r="Q89" s="35" t="str">
        <f aca="false">IF(OR(P89="",O89=0),"",P89/O89)</f>
        <v/>
      </c>
      <c r="R89" s="20" t="str">
        <f aca="true">IF(A89="","",IF(D89="","Falta elegir receta",IF(IFERROR(INDEX(RecEstado,MATCH(D89,ListaRecetas,0)),"Receta no existe")&lt;&gt;"OK","Receta: "&amp;IFERROR(INDEX(RecEstado,MATCH(D89,ListaRecetas,0)),"no existe"),IF(OR(AND(G89&lt;&gt;"",H89=0),AND(I89&lt;&gt;"",J89=0)),"Packaging sin precio","OK"))))</f>
        <v/>
      </c>
    </row>
    <row r="90" customFormat="false" ht="15" hidden="false" customHeight="false" outlineLevel="0" collapsed="false">
      <c r="A90" s="15"/>
      <c r="B90" s="15"/>
      <c r="C90" s="20" t="str">
        <f aca="false">IF(A90="","",A90&amp;" - "&amp;B90)</f>
        <v/>
      </c>
      <c r="D90" s="15"/>
      <c r="E90" s="27"/>
      <c r="F90" s="32" t="str">
        <f aca="true">IF(OR(D90="",E90=""),"",IF(IFERROR(INDEX(RecEstado,MATCH(D90,ListaRecetas,0)),"")&lt;&gt;"OK","",IFERROR(E90*INDEX(RecCostoU,MATCH(D90,ListaRecetas,0)),"")))</f>
        <v/>
      </c>
      <c r="G90" s="15"/>
      <c r="H90" s="32" t="n">
        <f aca="true">IF(G90="",0,IFERROR(INDEX(InsCosto,MATCH(G90,ListaInsumos,0))*1,0))</f>
        <v>0</v>
      </c>
      <c r="I90" s="15"/>
      <c r="J90" s="32" t="n">
        <f aca="true">IF(I90="",0,IFERROR(INDEX(InsCosto,MATCH(I90,ListaInsumos,0))*1,0))</f>
        <v>0</v>
      </c>
      <c r="K90" s="30" t="str">
        <f aca="false">IF(F90="","",(F90+H90+J90)*CFG_Indirectos)</f>
        <v/>
      </c>
      <c r="L90" s="33" t="str">
        <f aca="false">IF(F90="","",F90+H90+J90+K90)</f>
        <v/>
      </c>
      <c r="M90" s="36"/>
      <c r="N90" s="33" t="str">
        <f aca="false">IF(OR(L90="",L90=0,M90="",M90&gt;=1),"",IF(CFG_Redondeo&gt;0,CEILING(L90/(1-M90),CFG_Redondeo),L90/(1-M90)))</f>
        <v/>
      </c>
      <c r="O90" s="28"/>
      <c r="P90" s="30" t="str">
        <f aca="false">IF(OR(L90="",O90=""),"",O90-L90)</f>
        <v/>
      </c>
      <c r="Q90" s="35" t="str">
        <f aca="false">IF(OR(P90="",O90=0),"",P90/O90)</f>
        <v/>
      </c>
      <c r="R90" s="20" t="str">
        <f aca="true">IF(A90="","",IF(D90="","Falta elegir receta",IF(IFERROR(INDEX(RecEstado,MATCH(D90,ListaRecetas,0)),"Receta no existe")&lt;&gt;"OK","Receta: "&amp;IFERROR(INDEX(RecEstado,MATCH(D90,ListaRecetas,0)),"no existe"),IF(OR(AND(G90&lt;&gt;"",H90=0),AND(I90&lt;&gt;"",J90=0)),"Packaging sin precio","OK"))))</f>
        <v/>
      </c>
    </row>
    <row r="91" customFormat="false" ht="15" hidden="false" customHeight="false" outlineLevel="0" collapsed="false">
      <c r="A91" s="15"/>
      <c r="B91" s="15"/>
      <c r="C91" s="20" t="str">
        <f aca="false">IF(A91="","",A91&amp;" - "&amp;B91)</f>
        <v/>
      </c>
      <c r="D91" s="15"/>
      <c r="E91" s="27"/>
      <c r="F91" s="32" t="str">
        <f aca="true">IF(OR(D91="",E91=""),"",IF(IFERROR(INDEX(RecEstado,MATCH(D91,ListaRecetas,0)),"")&lt;&gt;"OK","",IFERROR(E91*INDEX(RecCostoU,MATCH(D91,ListaRecetas,0)),"")))</f>
        <v/>
      </c>
      <c r="G91" s="15"/>
      <c r="H91" s="32" t="n">
        <f aca="true">IF(G91="",0,IFERROR(INDEX(InsCosto,MATCH(G91,ListaInsumos,0))*1,0))</f>
        <v>0</v>
      </c>
      <c r="I91" s="15"/>
      <c r="J91" s="32" t="n">
        <f aca="true">IF(I91="",0,IFERROR(INDEX(InsCosto,MATCH(I91,ListaInsumos,0))*1,0))</f>
        <v>0</v>
      </c>
      <c r="K91" s="30" t="str">
        <f aca="false">IF(F91="","",(F91+H91+J91)*CFG_Indirectos)</f>
        <v/>
      </c>
      <c r="L91" s="33" t="str">
        <f aca="false">IF(F91="","",F91+H91+J91+K91)</f>
        <v/>
      </c>
      <c r="M91" s="36"/>
      <c r="N91" s="33" t="str">
        <f aca="false">IF(OR(L91="",L91=0,M91="",M91&gt;=1),"",IF(CFG_Redondeo&gt;0,CEILING(L91/(1-M91),CFG_Redondeo),L91/(1-M91)))</f>
        <v/>
      </c>
      <c r="O91" s="28"/>
      <c r="P91" s="30" t="str">
        <f aca="false">IF(OR(L91="",O91=""),"",O91-L91)</f>
        <v/>
      </c>
      <c r="Q91" s="35" t="str">
        <f aca="false">IF(OR(P91="",O91=0),"",P91/O91)</f>
        <v/>
      </c>
      <c r="R91" s="20" t="str">
        <f aca="true">IF(A91="","",IF(D91="","Falta elegir receta",IF(IFERROR(INDEX(RecEstado,MATCH(D91,ListaRecetas,0)),"Receta no existe")&lt;&gt;"OK","Receta: "&amp;IFERROR(INDEX(RecEstado,MATCH(D91,ListaRecetas,0)),"no existe"),IF(OR(AND(G91&lt;&gt;"",H91=0),AND(I91&lt;&gt;"",J91=0)),"Packaging sin precio","OK"))))</f>
        <v/>
      </c>
    </row>
    <row r="92" customFormat="false" ht="15" hidden="false" customHeight="false" outlineLevel="0" collapsed="false">
      <c r="A92" s="15"/>
      <c r="B92" s="15"/>
      <c r="C92" s="20" t="str">
        <f aca="false">IF(A92="","",A92&amp;" - "&amp;B92)</f>
        <v/>
      </c>
      <c r="D92" s="15"/>
      <c r="E92" s="27"/>
      <c r="F92" s="32" t="str">
        <f aca="true">IF(OR(D92="",E92=""),"",IF(IFERROR(INDEX(RecEstado,MATCH(D92,ListaRecetas,0)),"")&lt;&gt;"OK","",IFERROR(E92*INDEX(RecCostoU,MATCH(D92,ListaRecetas,0)),"")))</f>
        <v/>
      </c>
      <c r="G92" s="15"/>
      <c r="H92" s="32" t="n">
        <f aca="true">IF(G92="",0,IFERROR(INDEX(InsCosto,MATCH(G92,ListaInsumos,0))*1,0))</f>
        <v>0</v>
      </c>
      <c r="I92" s="15"/>
      <c r="J92" s="32" t="n">
        <f aca="true">IF(I92="",0,IFERROR(INDEX(InsCosto,MATCH(I92,ListaInsumos,0))*1,0))</f>
        <v>0</v>
      </c>
      <c r="K92" s="30" t="str">
        <f aca="false">IF(F92="","",(F92+H92+J92)*CFG_Indirectos)</f>
        <v/>
      </c>
      <c r="L92" s="33" t="str">
        <f aca="false">IF(F92="","",F92+H92+J92+K92)</f>
        <v/>
      </c>
      <c r="M92" s="36"/>
      <c r="N92" s="33" t="str">
        <f aca="false">IF(OR(L92="",L92=0,M92="",M92&gt;=1),"",IF(CFG_Redondeo&gt;0,CEILING(L92/(1-M92),CFG_Redondeo),L92/(1-M92)))</f>
        <v/>
      </c>
      <c r="O92" s="28"/>
      <c r="P92" s="30" t="str">
        <f aca="false">IF(OR(L92="",O92=""),"",O92-L92)</f>
        <v/>
      </c>
      <c r="Q92" s="35" t="str">
        <f aca="false">IF(OR(P92="",O92=0),"",P92/O92)</f>
        <v/>
      </c>
      <c r="R92" s="20" t="str">
        <f aca="true">IF(A92="","",IF(D92="","Falta elegir receta",IF(IFERROR(INDEX(RecEstado,MATCH(D92,ListaRecetas,0)),"Receta no existe")&lt;&gt;"OK","Receta: "&amp;IFERROR(INDEX(RecEstado,MATCH(D92,ListaRecetas,0)),"no existe"),IF(OR(AND(G92&lt;&gt;"",H92=0),AND(I92&lt;&gt;"",J92=0)),"Packaging sin precio","OK"))))</f>
        <v/>
      </c>
    </row>
    <row r="93" customFormat="false" ht="15" hidden="false" customHeight="false" outlineLevel="0" collapsed="false">
      <c r="A93" s="15"/>
      <c r="B93" s="15"/>
      <c r="C93" s="20" t="str">
        <f aca="false">IF(A93="","",A93&amp;" - "&amp;B93)</f>
        <v/>
      </c>
      <c r="D93" s="15"/>
      <c r="E93" s="27"/>
      <c r="F93" s="32" t="str">
        <f aca="true">IF(OR(D93="",E93=""),"",IF(IFERROR(INDEX(RecEstado,MATCH(D93,ListaRecetas,0)),"")&lt;&gt;"OK","",IFERROR(E93*INDEX(RecCostoU,MATCH(D93,ListaRecetas,0)),"")))</f>
        <v/>
      </c>
      <c r="G93" s="15"/>
      <c r="H93" s="32" t="n">
        <f aca="true">IF(G93="",0,IFERROR(INDEX(InsCosto,MATCH(G93,ListaInsumos,0))*1,0))</f>
        <v>0</v>
      </c>
      <c r="I93" s="15"/>
      <c r="J93" s="32" t="n">
        <f aca="true">IF(I93="",0,IFERROR(INDEX(InsCosto,MATCH(I93,ListaInsumos,0))*1,0))</f>
        <v>0</v>
      </c>
      <c r="K93" s="30" t="str">
        <f aca="false">IF(F93="","",(F93+H93+J93)*CFG_Indirectos)</f>
        <v/>
      </c>
      <c r="L93" s="33" t="str">
        <f aca="false">IF(F93="","",F93+H93+J93+K93)</f>
        <v/>
      </c>
      <c r="M93" s="36"/>
      <c r="N93" s="33" t="str">
        <f aca="false">IF(OR(L93="",L93=0,M93="",M93&gt;=1),"",IF(CFG_Redondeo&gt;0,CEILING(L93/(1-M93),CFG_Redondeo),L93/(1-M93)))</f>
        <v/>
      </c>
      <c r="O93" s="28"/>
      <c r="P93" s="30" t="str">
        <f aca="false">IF(OR(L93="",O93=""),"",O93-L93)</f>
        <v/>
      </c>
      <c r="Q93" s="35" t="str">
        <f aca="false">IF(OR(P93="",O93=0),"",P93/O93)</f>
        <v/>
      </c>
      <c r="R93" s="20" t="str">
        <f aca="true">IF(A93="","",IF(D93="","Falta elegir receta",IF(IFERROR(INDEX(RecEstado,MATCH(D93,ListaRecetas,0)),"Receta no existe")&lt;&gt;"OK","Receta: "&amp;IFERROR(INDEX(RecEstado,MATCH(D93,ListaRecetas,0)),"no existe"),IF(OR(AND(G93&lt;&gt;"",H93=0),AND(I93&lt;&gt;"",J93=0)),"Packaging sin precio","OK"))))</f>
        <v/>
      </c>
    </row>
    <row r="94" customFormat="false" ht="15" hidden="false" customHeight="false" outlineLevel="0" collapsed="false">
      <c r="A94" s="15"/>
      <c r="B94" s="15"/>
      <c r="C94" s="20" t="str">
        <f aca="false">IF(A94="","",A94&amp;" - "&amp;B94)</f>
        <v/>
      </c>
      <c r="D94" s="15"/>
      <c r="E94" s="27"/>
      <c r="F94" s="32" t="str">
        <f aca="true">IF(OR(D94="",E94=""),"",IF(IFERROR(INDEX(RecEstado,MATCH(D94,ListaRecetas,0)),"")&lt;&gt;"OK","",IFERROR(E94*INDEX(RecCostoU,MATCH(D94,ListaRecetas,0)),"")))</f>
        <v/>
      </c>
      <c r="G94" s="15"/>
      <c r="H94" s="32" t="n">
        <f aca="true">IF(G94="",0,IFERROR(INDEX(InsCosto,MATCH(G94,ListaInsumos,0))*1,0))</f>
        <v>0</v>
      </c>
      <c r="I94" s="15"/>
      <c r="J94" s="32" t="n">
        <f aca="true">IF(I94="",0,IFERROR(INDEX(InsCosto,MATCH(I94,ListaInsumos,0))*1,0))</f>
        <v>0</v>
      </c>
      <c r="K94" s="30" t="str">
        <f aca="false">IF(F94="","",(F94+H94+J94)*CFG_Indirectos)</f>
        <v/>
      </c>
      <c r="L94" s="33" t="str">
        <f aca="false">IF(F94="","",F94+H94+J94+K94)</f>
        <v/>
      </c>
      <c r="M94" s="36"/>
      <c r="N94" s="33" t="str">
        <f aca="false">IF(OR(L94="",L94=0,M94="",M94&gt;=1),"",IF(CFG_Redondeo&gt;0,CEILING(L94/(1-M94),CFG_Redondeo),L94/(1-M94)))</f>
        <v/>
      </c>
      <c r="O94" s="28"/>
      <c r="P94" s="30" t="str">
        <f aca="false">IF(OR(L94="",O94=""),"",O94-L94)</f>
        <v/>
      </c>
      <c r="Q94" s="35" t="str">
        <f aca="false">IF(OR(P94="",O94=0),"",P94/O94)</f>
        <v/>
      </c>
      <c r="R94" s="20" t="str">
        <f aca="true">IF(A94="","",IF(D94="","Falta elegir receta",IF(IFERROR(INDEX(RecEstado,MATCH(D94,ListaRecetas,0)),"Receta no existe")&lt;&gt;"OK","Receta: "&amp;IFERROR(INDEX(RecEstado,MATCH(D94,ListaRecetas,0)),"no existe"),IF(OR(AND(G94&lt;&gt;"",H94=0),AND(I94&lt;&gt;"",J94=0)),"Packaging sin precio","OK"))))</f>
        <v/>
      </c>
    </row>
    <row r="95" customFormat="false" ht="15" hidden="false" customHeight="false" outlineLevel="0" collapsed="false">
      <c r="A95" s="15"/>
      <c r="B95" s="15"/>
      <c r="C95" s="20" t="str">
        <f aca="false">IF(A95="","",A95&amp;" - "&amp;B95)</f>
        <v/>
      </c>
      <c r="D95" s="15"/>
      <c r="E95" s="27"/>
      <c r="F95" s="32" t="str">
        <f aca="true">IF(OR(D95="",E95=""),"",IF(IFERROR(INDEX(RecEstado,MATCH(D95,ListaRecetas,0)),"")&lt;&gt;"OK","",IFERROR(E95*INDEX(RecCostoU,MATCH(D95,ListaRecetas,0)),"")))</f>
        <v/>
      </c>
      <c r="G95" s="15"/>
      <c r="H95" s="32" t="n">
        <f aca="true">IF(G95="",0,IFERROR(INDEX(InsCosto,MATCH(G95,ListaInsumos,0))*1,0))</f>
        <v>0</v>
      </c>
      <c r="I95" s="15"/>
      <c r="J95" s="32" t="n">
        <f aca="true">IF(I95="",0,IFERROR(INDEX(InsCosto,MATCH(I95,ListaInsumos,0))*1,0))</f>
        <v>0</v>
      </c>
      <c r="K95" s="30" t="str">
        <f aca="false">IF(F95="","",(F95+H95+J95)*CFG_Indirectos)</f>
        <v/>
      </c>
      <c r="L95" s="33" t="str">
        <f aca="false">IF(F95="","",F95+H95+J95+K95)</f>
        <v/>
      </c>
      <c r="M95" s="36"/>
      <c r="N95" s="33" t="str">
        <f aca="false">IF(OR(L95="",L95=0,M95="",M95&gt;=1),"",IF(CFG_Redondeo&gt;0,CEILING(L95/(1-M95),CFG_Redondeo),L95/(1-M95)))</f>
        <v/>
      </c>
      <c r="O95" s="28"/>
      <c r="P95" s="30" t="str">
        <f aca="false">IF(OR(L95="",O95=""),"",O95-L95)</f>
        <v/>
      </c>
      <c r="Q95" s="35" t="str">
        <f aca="false">IF(OR(P95="",O95=0),"",P95/O95)</f>
        <v/>
      </c>
      <c r="R95" s="20" t="str">
        <f aca="true">IF(A95="","",IF(D95="","Falta elegir receta",IF(IFERROR(INDEX(RecEstado,MATCH(D95,ListaRecetas,0)),"Receta no existe")&lt;&gt;"OK","Receta: "&amp;IFERROR(INDEX(RecEstado,MATCH(D95,ListaRecetas,0)),"no existe"),IF(OR(AND(G95&lt;&gt;"",H95=0),AND(I95&lt;&gt;"",J95=0)),"Packaging sin precio","OK"))))</f>
        <v/>
      </c>
    </row>
    <row r="96" customFormat="false" ht="15" hidden="false" customHeight="false" outlineLevel="0" collapsed="false">
      <c r="A96" s="15"/>
      <c r="B96" s="15"/>
      <c r="C96" s="20" t="str">
        <f aca="false">IF(A96="","",A96&amp;" - "&amp;B96)</f>
        <v/>
      </c>
      <c r="D96" s="15"/>
      <c r="E96" s="27"/>
      <c r="F96" s="32" t="str">
        <f aca="true">IF(OR(D96="",E96=""),"",IF(IFERROR(INDEX(RecEstado,MATCH(D96,ListaRecetas,0)),"")&lt;&gt;"OK","",IFERROR(E96*INDEX(RecCostoU,MATCH(D96,ListaRecetas,0)),"")))</f>
        <v/>
      </c>
      <c r="G96" s="15"/>
      <c r="H96" s="32" t="n">
        <f aca="true">IF(G96="",0,IFERROR(INDEX(InsCosto,MATCH(G96,ListaInsumos,0))*1,0))</f>
        <v>0</v>
      </c>
      <c r="I96" s="15"/>
      <c r="J96" s="32" t="n">
        <f aca="true">IF(I96="",0,IFERROR(INDEX(InsCosto,MATCH(I96,ListaInsumos,0))*1,0))</f>
        <v>0</v>
      </c>
      <c r="K96" s="30" t="str">
        <f aca="false">IF(F96="","",(F96+H96+J96)*CFG_Indirectos)</f>
        <v/>
      </c>
      <c r="L96" s="33" t="str">
        <f aca="false">IF(F96="","",F96+H96+J96+K96)</f>
        <v/>
      </c>
      <c r="M96" s="36"/>
      <c r="N96" s="33" t="str">
        <f aca="false">IF(OR(L96="",L96=0,M96="",M96&gt;=1),"",IF(CFG_Redondeo&gt;0,CEILING(L96/(1-M96),CFG_Redondeo),L96/(1-M96)))</f>
        <v/>
      </c>
      <c r="O96" s="28"/>
      <c r="P96" s="30" t="str">
        <f aca="false">IF(OR(L96="",O96=""),"",O96-L96)</f>
        <v/>
      </c>
      <c r="Q96" s="35" t="str">
        <f aca="false">IF(OR(P96="",O96=0),"",P96/O96)</f>
        <v/>
      </c>
      <c r="R96" s="20" t="str">
        <f aca="true">IF(A96="","",IF(D96="","Falta elegir receta",IF(IFERROR(INDEX(RecEstado,MATCH(D96,ListaRecetas,0)),"Receta no existe")&lt;&gt;"OK","Receta: "&amp;IFERROR(INDEX(RecEstado,MATCH(D96,ListaRecetas,0)),"no existe"),IF(OR(AND(G96&lt;&gt;"",H96=0),AND(I96&lt;&gt;"",J96=0)),"Packaging sin precio","OK"))))</f>
        <v/>
      </c>
    </row>
    <row r="97" customFormat="false" ht="15" hidden="false" customHeight="false" outlineLevel="0" collapsed="false">
      <c r="A97" s="15"/>
      <c r="B97" s="15"/>
      <c r="C97" s="20" t="str">
        <f aca="false">IF(A97="","",A97&amp;" - "&amp;B97)</f>
        <v/>
      </c>
      <c r="D97" s="15"/>
      <c r="E97" s="27"/>
      <c r="F97" s="32" t="str">
        <f aca="true">IF(OR(D97="",E97=""),"",IF(IFERROR(INDEX(RecEstado,MATCH(D97,ListaRecetas,0)),"")&lt;&gt;"OK","",IFERROR(E97*INDEX(RecCostoU,MATCH(D97,ListaRecetas,0)),"")))</f>
        <v/>
      </c>
      <c r="G97" s="15"/>
      <c r="H97" s="32" t="n">
        <f aca="true">IF(G97="",0,IFERROR(INDEX(InsCosto,MATCH(G97,ListaInsumos,0))*1,0))</f>
        <v>0</v>
      </c>
      <c r="I97" s="15"/>
      <c r="J97" s="32" t="n">
        <f aca="true">IF(I97="",0,IFERROR(INDEX(InsCosto,MATCH(I97,ListaInsumos,0))*1,0))</f>
        <v>0</v>
      </c>
      <c r="K97" s="30" t="str">
        <f aca="false">IF(F97="","",(F97+H97+J97)*CFG_Indirectos)</f>
        <v/>
      </c>
      <c r="L97" s="33" t="str">
        <f aca="false">IF(F97="","",F97+H97+J97+K97)</f>
        <v/>
      </c>
      <c r="M97" s="36"/>
      <c r="N97" s="33" t="str">
        <f aca="false">IF(OR(L97="",L97=0,M97="",M97&gt;=1),"",IF(CFG_Redondeo&gt;0,CEILING(L97/(1-M97),CFG_Redondeo),L97/(1-M97)))</f>
        <v/>
      </c>
      <c r="O97" s="28"/>
      <c r="P97" s="30" t="str">
        <f aca="false">IF(OR(L97="",O97=""),"",O97-L97)</f>
        <v/>
      </c>
      <c r="Q97" s="35" t="str">
        <f aca="false">IF(OR(P97="",O97=0),"",P97/O97)</f>
        <v/>
      </c>
      <c r="R97" s="20" t="str">
        <f aca="true">IF(A97="","",IF(D97="","Falta elegir receta",IF(IFERROR(INDEX(RecEstado,MATCH(D97,ListaRecetas,0)),"Receta no existe")&lt;&gt;"OK","Receta: "&amp;IFERROR(INDEX(RecEstado,MATCH(D97,ListaRecetas,0)),"no existe"),IF(OR(AND(G97&lt;&gt;"",H97=0),AND(I97&lt;&gt;"",J97=0)),"Packaging sin precio","OK"))))</f>
        <v/>
      </c>
    </row>
    <row r="98" customFormat="false" ht="15" hidden="false" customHeight="false" outlineLevel="0" collapsed="false">
      <c r="A98" s="15"/>
      <c r="B98" s="15"/>
      <c r="C98" s="20" t="str">
        <f aca="false">IF(A98="","",A98&amp;" - "&amp;B98)</f>
        <v/>
      </c>
      <c r="D98" s="15"/>
      <c r="E98" s="27"/>
      <c r="F98" s="32" t="str">
        <f aca="true">IF(OR(D98="",E98=""),"",IF(IFERROR(INDEX(RecEstado,MATCH(D98,ListaRecetas,0)),"")&lt;&gt;"OK","",IFERROR(E98*INDEX(RecCostoU,MATCH(D98,ListaRecetas,0)),"")))</f>
        <v/>
      </c>
      <c r="G98" s="15"/>
      <c r="H98" s="32" t="n">
        <f aca="true">IF(G98="",0,IFERROR(INDEX(InsCosto,MATCH(G98,ListaInsumos,0))*1,0))</f>
        <v>0</v>
      </c>
      <c r="I98" s="15"/>
      <c r="J98" s="32" t="n">
        <f aca="true">IF(I98="",0,IFERROR(INDEX(InsCosto,MATCH(I98,ListaInsumos,0))*1,0))</f>
        <v>0</v>
      </c>
      <c r="K98" s="30" t="str">
        <f aca="false">IF(F98="","",(F98+H98+J98)*CFG_Indirectos)</f>
        <v/>
      </c>
      <c r="L98" s="33" t="str">
        <f aca="false">IF(F98="","",F98+H98+J98+K98)</f>
        <v/>
      </c>
      <c r="M98" s="36"/>
      <c r="N98" s="33" t="str">
        <f aca="false">IF(OR(L98="",L98=0,M98="",M98&gt;=1),"",IF(CFG_Redondeo&gt;0,CEILING(L98/(1-M98),CFG_Redondeo),L98/(1-M98)))</f>
        <v/>
      </c>
      <c r="O98" s="28"/>
      <c r="P98" s="30" t="str">
        <f aca="false">IF(OR(L98="",O98=""),"",O98-L98)</f>
        <v/>
      </c>
      <c r="Q98" s="35" t="str">
        <f aca="false">IF(OR(P98="",O98=0),"",P98/O98)</f>
        <v/>
      </c>
      <c r="R98" s="20" t="str">
        <f aca="true">IF(A98="","",IF(D98="","Falta elegir receta",IF(IFERROR(INDEX(RecEstado,MATCH(D98,ListaRecetas,0)),"Receta no existe")&lt;&gt;"OK","Receta: "&amp;IFERROR(INDEX(RecEstado,MATCH(D98,ListaRecetas,0)),"no existe"),IF(OR(AND(G98&lt;&gt;"",H98=0),AND(I98&lt;&gt;"",J98=0)),"Packaging sin precio","OK"))))</f>
        <v/>
      </c>
    </row>
    <row r="99" customFormat="false" ht="15" hidden="false" customHeight="false" outlineLevel="0" collapsed="false">
      <c r="A99" s="15"/>
      <c r="B99" s="15"/>
      <c r="C99" s="20" t="str">
        <f aca="false">IF(A99="","",A99&amp;" - "&amp;B99)</f>
        <v/>
      </c>
      <c r="D99" s="15"/>
      <c r="E99" s="27"/>
      <c r="F99" s="32" t="str">
        <f aca="true">IF(OR(D99="",E99=""),"",IF(IFERROR(INDEX(RecEstado,MATCH(D99,ListaRecetas,0)),"")&lt;&gt;"OK","",IFERROR(E99*INDEX(RecCostoU,MATCH(D99,ListaRecetas,0)),"")))</f>
        <v/>
      </c>
      <c r="G99" s="15"/>
      <c r="H99" s="32" t="n">
        <f aca="true">IF(G99="",0,IFERROR(INDEX(InsCosto,MATCH(G99,ListaInsumos,0))*1,0))</f>
        <v>0</v>
      </c>
      <c r="I99" s="15"/>
      <c r="J99" s="32" t="n">
        <f aca="true">IF(I99="",0,IFERROR(INDEX(InsCosto,MATCH(I99,ListaInsumos,0))*1,0))</f>
        <v>0</v>
      </c>
      <c r="K99" s="30" t="str">
        <f aca="false">IF(F99="","",(F99+H99+J99)*CFG_Indirectos)</f>
        <v/>
      </c>
      <c r="L99" s="33" t="str">
        <f aca="false">IF(F99="","",F99+H99+J99+K99)</f>
        <v/>
      </c>
      <c r="M99" s="36"/>
      <c r="N99" s="33" t="str">
        <f aca="false">IF(OR(L99="",L99=0,M99="",M99&gt;=1),"",IF(CFG_Redondeo&gt;0,CEILING(L99/(1-M99),CFG_Redondeo),L99/(1-M99)))</f>
        <v/>
      </c>
      <c r="O99" s="28"/>
      <c r="P99" s="30" t="str">
        <f aca="false">IF(OR(L99="",O99=""),"",O99-L99)</f>
        <v/>
      </c>
      <c r="Q99" s="35" t="str">
        <f aca="false">IF(OR(P99="",O99=0),"",P99/O99)</f>
        <v/>
      </c>
      <c r="R99" s="20" t="str">
        <f aca="true">IF(A99="","",IF(D99="","Falta elegir receta",IF(IFERROR(INDEX(RecEstado,MATCH(D99,ListaRecetas,0)),"Receta no existe")&lt;&gt;"OK","Receta: "&amp;IFERROR(INDEX(RecEstado,MATCH(D99,ListaRecetas,0)),"no existe"),IF(OR(AND(G99&lt;&gt;"",H99=0),AND(I99&lt;&gt;"",J99=0)),"Packaging sin precio","OK"))))</f>
        <v/>
      </c>
    </row>
    <row r="100" customFormat="false" ht="15" hidden="false" customHeight="false" outlineLevel="0" collapsed="false">
      <c r="A100" s="15"/>
      <c r="B100" s="15"/>
      <c r="C100" s="20" t="str">
        <f aca="false">IF(A100="","",A100&amp;" - "&amp;B100)</f>
        <v/>
      </c>
      <c r="D100" s="15"/>
      <c r="E100" s="27"/>
      <c r="F100" s="32" t="str">
        <f aca="true">IF(OR(D100="",E100=""),"",IF(IFERROR(INDEX(RecEstado,MATCH(D100,ListaRecetas,0)),"")&lt;&gt;"OK","",IFERROR(E100*INDEX(RecCostoU,MATCH(D100,ListaRecetas,0)),"")))</f>
        <v/>
      </c>
      <c r="G100" s="15"/>
      <c r="H100" s="32" t="n">
        <f aca="true">IF(G100="",0,IFERROR(INDEX(InsCosto,MATCH(G100,ListaInsumos,0))*1,0))</f>
        <v>0</v>
      </c>
      <c r="I100" s="15"/>
      <c r="J100" s="32" t="n">
        <f aca="true">IF(I100="",0,IFERROR(INDEX(InsCosto,MATCH(I100,ListaInsumos,0))*1,0))</f>
        <v>0</v>
      </c>
      <c r="K100" s="30" t="str">
        <f aca="false">IF(F100="","",(F100+H100+J100)*CFG_Indirectos)</f>
        <v/>
      </c>
      <c r="L100" s="33" t="str">
        <f aca="false">IF(F100="","",F100+H100+J100+K100)</f>
        <v/>
      </c>
      <c r="M100" s="36"/>
      <c r="N100" s="33" t="str">
        <f aca="false">IF(OR(L100="",L100=0,M100="",M100&gt;=1),"",IF(CFG_Redondeo&gt;0,CEILING(L100/(1-M100),CFG_Redondeo),L100/(1-M100)))</f>
        <v/>
      </c>
      <c r="O100" s="28"/>
      <c r="P100" s="30" t="str">
        <f aca="false">IF(OR(L100="",O100=""),"",O100-L100)</f>
        <v/>
      </c>
      <c r="Q100" s="35" t="str">
        <f aca="false">IF(OR(P100="",O100=0),"",P100/O100)</f>
        <v/>
      </c>
      <c r="R100" s="20" t="str">
        <f aca="true">IF(A100="","",IF(D100="","Falta elegir receta",IF(IFERROR(INDEX(RecEstado,MATCH(D100,ListaRecetas,0)),"Receta no existe")&lt;&gt;"OK","Receta: "&amp;IFERROR(INDEX(RecEstado,MATCH(D100,ListaRecetas,0)),"no existe"),IF(OR(AND(G100&lt;&gt;"",H100=0),AND(I100&lt;&gt;"",J100=0)),"Packaging sin precio","OK"))))</f>
        <v/>
      </c>
    </row>
    <row r="101" customFormat="false" ht="15" hidden="false" customHeight="false" outlineLevel="0" collapsed="false">
      <c r="A101" s="15"/>
      <c r="B101" s="15"/>
      <c r="C101" s="20" t="str">
        <f aca="false">IF(A101="","",A101&amp;" - "&amp;B101)</f>
        <v/>
      </c>
      <c r="D101" s="15"/>
      <c r="E101" s="27"/>
      <c r="F101" s="32" t="str">
        <f aca="true">IF(OR(D101="",E101=""),"",IF(IFERROR(INDEX(RecEstado,MATCH(D101,ListaRecetas,0)),"")&lt;&gt;"OK","",IFERROR(E101*INDEX(RecCostoU,MATCH(D101,ListaRecetas,0)),"")))</f>
        <v/>
      </c>
      <c r="G101" s="15"/>
      <c r="H101" s="32" t="n">
        <f aca="true">IF(G101="",0,IFERROR(INDEX(InsCosto,MATCH(G101,ListaInsumos,0))*1,0))</f>
        <v>0</v>
      </c>
      <c r="I101" s="15"/>
      <c r="J101" s="32" t="n">
        <f aca="true">IF(I101="",0,IFERROR(INDEX(InsCosto,MATCH(I101,ListaInsumos,0))*1,0))</f>
        <v>0</v>
      </c>
      <c r="K101" s="30" t="str">
        <f aca="false">IF(F101="","",(F101+H101+J101)*CFG_Indirectos)</f>
        <v/>
      </c>
      <c r="L101" s="33" t="str">
        <f aca="false">IF(F101="","",F101+H101+J101+K101)</f>
        <v/>
      </c>
      <c r="M101" s="36"/>
      <c r="N101" s="33" t="str">
        <f aca="false">IF(OR(L101="",L101=0,M101="",M101&gt;=1),"",IF(CFG_Redondeo&gt;0,CEILING(L101/(1-M101),CFG_Redondeo),L101/(1-M101)))</f>
        <v/>
      </c>
      <c r="O101" s="28"/>
      <c r="P101" s="30" t="str">
        <f aca="false">IF(OR(L101="",O101=""),"",O101-L101)</f>
        <v/>
      </c>
      <c r="Q101" s="35" t="str">
        <f aca="false">IF(OR(P101="",O101=0),"",P101/O101)</f>
        <v/>
      </c>
      <c r="R101" s="20" t="str">
        <f aca="true">IF(A101="","",IF(D101="","Falta elegir receta",IF(IFERROR(INDEX(RecEstado,MATCH(D101,ListaRecetas,0)),"Receta no existe")&lt;&gt;"OK","Receta: "&amp;IFERROR(INDEX(RecEstado,MATCH(D101,ListaRecetas,0)),"no existe"),IF(OR(AND(G101&lt;&gt;"",H101=0),AND(I101&lt;&gt;"",J101=0)),"Packaging sin precio","OK"))))</f>
        <v/>
      </c>
    </row>
    <row r="102" customFormat="false" ht="15" hidden="false" customHeight="false" outlineLevel="0" collapsed="false">
      <c r="A102" s="15"/>
      <c r="B102" s="15"/>
      <c r="C102" s="20" t="str">
        <f aca="false">IF(A102="","",A102&amp;" - "&amp;B102)</f>
        <v/>
      </c>
      <c r="D102" s="15"/>
      <c r="E102" s="27"/>
      <c r="F102" s="32" t="str">
        <f aca="true">IF(OR(D102="",E102=""),"",IF(IFERROR(INDEX(RecEstado,MATCH(D102,ListaRecetas,0)),"")&lt;&gt;"OK","",IFERROR(E102*INDEX(RecCostoU,MATCH(D102,ListaRecetas,0)),"")))</f>
        <v/>
      </c>
      <c r="G102" s="15"/>
      <c r="H102" s="32" t="n">
        <f aca="true">IF(G102="",0,IFERROR(INDEX(InsCosto,MATCH(G102,ListaInsumos,0))*1,0))</f>
        <v>0</v>
      </c>
      <c r="I102" s="15"/>
      <c r="J102" s="32" t="n">
        <f aca="true">IF(I102="",0,IFERROR(INDEX(InsCosto,MATCH(I102,ListaInsumos,0))*1,0))</f>
        <v>0</v>
      </c>
      <c r="K102" s="30" t="str">
        <f aca="false">IF(F102="","",(F102+H102+J102)*CFG_Indirectos)</f>
        <v/>
      </c>
      <c r="L102" s="33" t="str">
        <f aca="false">IF(F102="","",F102+H102+J102+K102)</f>
        <v/>
      </c>
      <c r="M102" s="36"/>
      <c r="N102" s="33" t="str">
        <f aca="false">IF(OR(L102="",L102=0,M102="",M102&gt;=1),"",IF(CFG_Redondeo&gt;0,CEILING(L102/(1-M102),CFG_Redondeo),L102/(1-M102)))</f>
        <v/>
      </c>
      <c r="O102" s="28"/>
      <c r="P102" s="30" t="str">
        <f aca="false">IF(OR(L102="",O102=""),"",O102-L102)</f>
        <v/>
      </c>
      <c r="Q102" s="35" t="str">
        <f aca="false">IF(OR(P102="",O102=0),"",P102/O102)</f>
        <v/>
      </c>
      <c r="R102" s="20" t="str">
        <f aca="true">IF(A102="","",IF(D102="","Falta elegir receta",IF(IFERROR(INDEX(RecEstado,MATCH(D102,ListaRecetas,0)),"Receta no existe")&lt;&gt;"OK","Receta: "&amp;IFERROR(INDEX(RecEstado,MATCH(D102,ListaRecetas,0)),"no existe"),IF(OR(AND(G102&lt;&gt;"",H102=0),AND(I102&lt;&gt;"",J102=0)),"Packaging sin precio","OK"))))</f>
        <v/>
      </c>
    </row>
    <row r="103" customFormat="false" ht="15" hidden="false" customHeight="false" outlineLevel="0" collapsed="false">
      <c r="A103" s="15"/>
      <c r="B103" s="15"/>
      <c r="C103" s="20" t="str">
        <f aca="false">IF(A103="","",A103&amp;" - "&amp;B103)</f>
        <v/>
      </c>
      <c r="D103" s="15"/>
      <c r="E103" s="27"/>
      <c r="F103" s="32" t="str">
        <f aca="true">IF(OR(D103="",E103=""),"",IF(IFERROR(INDEX(RecEstado,MATCH(D103,ListaRecetas,0)),"")&lt;&gt;"OK","",IFERROR(E103*INDEX(RecCostoU,MATCH(D103,ListaRecetas,0)),"")))</f>
        <v/>
      </c>
      <c r="G103" s="15"/>
      <c r="H103" s="32" t="n">
        <f aca="true">IF(G103="",0,IFERROR(INDEX(InsCosto,MATCH(G103,ListaInsumos,0))*1,0))</f>
        <v>0</v>
      </c>
      <c r="I103" s="15"/>
      <c r="J103" s="32" t="n">
        <f aca="true">IF(I103="",0,IFERROR(INDEX(InsCosto,MATCH(I103,ListaInsumos,0))*1,0))</f>
        <v>0</v>
      </c>
      <c r="K103" s="30" t="str">
        <f aca="false">IF(F103="","",(F103+H103+J103)*CFG_Indirectos)</f>
        <v/>
      </c>
      <c r="L103" s="33" t="str">
        <f aca="false">IF(F103="","",F103+H103+J103+K103)</f>
        <v/>
      </c>
      <c r="M103" s="36"/>
      <c r="N103" s="33" t="str">
        <f aca="false">IF(OR(L103="",L103=0,M103="",M103&gt;=1),"",IF(CFG_Redondeo&gt;0,CEILING(L103/(1-M103),CFG_Redondeo),L103/(1-M103)))</f>
        <v/>
      </c>
      <c r="O103" s="28"/>
      <c r="P103" s="30" t="str">
        <f aca="false">IF(OR(L103="",O103=""),"",O103-L103)</f>
        <v/>
      </c>
      <c r="Q103" s="35" t="str">
        <f aca="false">IF(OR(P103="",O103=0),"",P103/O103)</f>
        <v/>
      </c>
      <c r="R103" s="20" t="str">
        <f aca="true">IF(A103="","",IF(D103="","Falta elegir receta",IF(IFERROR(INDEX(RecEstado,MATCH(D103,ListaRecetas,0)),"Receta no existe")&lt;&gt;"OK","Receta: "&amp;IFERROR(INDEX(RecEstado,MATCH(D103,ListaRecetas,0)),"no existe"),IF(OR(AND(G103&lt;&gt;"",H103=0),AND(I103&lt;&gt;"",J103=0)),"Packaging sin precio","OK"))))</f>
        <v/>
      </c>
    </row>
    <row r="104" customFormat="false" ht="15" hidden="false" customHeight="false" outlineLevel="0" collapsed="false">
      <c r="A104" s="15"/>
      <c r="B104" s="15"/>
      <c r="C104" s="20" t="str">
        <f aca="false">IF(A104="","",A104&amp;" - "&amp;B104)</f>
        <v/>
      </c>
      <c r="D104" s="15"/>
      <c r="E104" s="27"/>
      <c r="F104" s="32" t="str">
        <f aca="true">IF(OR(D104="",E104=""),"",IF(IFERROR(INDEX(RecEstado,MATCH(D104,ListaRecetas,0)),"")&lt;&gt;"OK","",IFERROR(E104*INDEX(RecCostoU,MATCH(D104,ListaRecetas,0)),"")))</f>
        <v/>
      </c>
      <c r="G104" s="15"/>
      <c r="H104" s="32" t="n">
        <f aca="true">IF(G104="",0,IFERROR(INDEX(InsCosto,MATCH(G104,ListaInsumos,0))*1,0))</f>
        <v>0</v>
      </c>
      <c r="I104" s="15"/>
      <c r="J104" s="32" t="n">
        <f aca="true">IF(I104="",0,IFERROR(INDEX(InsCosto,MATCH(I104,ListaInsumos,0))*1,0))</f>
        <v>0</v>
      </c>
      <c r="K104" s="30" t="str">
        <f aca="false">IF(F104="","",(F104+H104+J104)*CFG_Indirectos)</f>
        <v/>
      </c>
      <c r="L104" s="33" t="str">
        <f aca="false">IF(F104="","",F104+H104+J104+K104)</f>
        <v/>
      </c>
      <c r="M104" s="36"/>
      <c r="N104" s="33" t="str">
        <f aca="false">IF(OR(L104="",L104=0,M104="",M104&gt;=1),"",IF(CFG_Redondeo&gt;0,CEILING(L104/(1-M104),CFG_Redondeo),L104/(1-M104)))</f>
        <v/>
      </c>
      <c r="O104" s="28"/>
      <c r="P104" s="30" t="str">
        <f aca="false">IF(OR(L104="",O104=""),"",O104-L104)</f>
        <v/>
      </c>
      <c r="Q104" s="35" t="str">
        <f aca="false">IF(OR(P104="",O104=0),"",P104/O104)</f>
        <v/>
      </c>
      <c r="R104" s="20" t="str">
        <f aca="true">IF(A104="","",IF(D104="","Falta elegir receta",IF(IFERROR(INDEX(RecEstado,MATCH(D104,ListaRecetas,0)),"Receta no existe")&lt;&gt;"OK","Receta: "&amp;IFERROR(INDEX(RecEstado,MATCH(D104,ListaRecetas,0)),"no existe"),IF(OR(AND(G104&lt;&gt;"",H104=0),AND(I104&lt;&gt;"",J104=0)),"Packaging sin precio","OK"))))</f>
        <v/>
      </c>
    </row>
    <row r="105" customFormat="false" ht="15" hidden="false" customHeight="false" outlineLevel="0" collapsed="false">
      <c r="A105" s="15"/>
      <c r="B105" s="15"/>
      <c r="C105" s="20" t="str">
        <f aca="false">IF(A105="","",A105&amp;" - "&amp;B105)</f>
        <v/>
      </c>
      <c r="D105" s="15"/>
      <c r="E105" s="27"/>
      <c r="F105" s="32" t="str">
        <f aca="true">IF(OR(D105="",E105=""),"",IF(IFERROR(INDEX(RecEstado,MATCH(D105,ListaRecetas,0)),"")&lt;&gt;"OK","",IFERROR(E105*INDEX(RecCostoU,MATCH(D105,ListaRecetas,0)),"")))</f>
        <v/>
      </c>
      <c r="G105" s="15"/>
      <c r="H105" s="32" t="n">
        <f aca="true">IF(G105="",0,IFERROR(INDEX(InsCosto,MATCH(G105,ListaInsumos,0))*1,0))</f>
        <v>0</v>
      </c>
      <c r="I105" s="15"/>
      <c r="J105" s="32" t="n">
        <f aca="true">IF(I105="",0,IFERROR(INDEX(InsCosto,MATCH(I105,ListaInsumos,0))*1,0))</f>
        <v>0</v>
      </c>
      <c r="K105" s="30" t="str">
        <f aca="false">IF(F105="","",(F105+H105+J105)*CFG_Indirectos)</f>
        <v/>
      </c>
      <c r="L105" s="33" t="str">
        <f aca="false">IF(F105="","",F105+H105+J105+K105)</f>
        <v/>
      </c>
      <c r="M105" s="36"/>
      <c r="N105" s="33" t="str">
        <f aca="false">IF(OR(L105="",L105=0,M105="",M105&gt;=1),"",IF(CFG_Redondeo&gt;0,CEILING(L105/(1-M105),CFG_Redondeo),L105/(1-M105)))</f>
        <v/>
      </c>
      <c r="O105" s="28"/>
      <c r="P105" s="30" t="str">
        <f aca="false">IF(OR(L105="",O105=""),"",O105-L105)</f>
        <v/>
      </c>
      <c r="Q105" s="35" t="str">
        <f aca="false">IF(OR(P105="",O105=0),"",P105/O105)</f>
        <v/>
      </c>
      <c r="R105" s="20" t="str">
        <f aca="true">IF(A105="","",IF(D105="","Falta elegir receta",IF(IFERROR(INDEX(RecEstado,MATCH(D105,ListaRecetas,0)),"Receta no existe")&lt;&gt;"OK","Receta: "&amp;IFERROR(INDEX(RecEstado,MATCH(D105,ListaRecetas,0)),"no existe"),IF(OR(AND(G105&lt;&gt;"",H105=0),AND(I105&lt;&gt;"",J105=0)),"Packaging sin precio","OK"))))</f>
        <v/>
      </c>
    </row>
    <row r="106" customFormat="false" ht="15" hidden="false" customHeight="false" outlineLevel="0" collapsed="false">
      <c r="A106" s="15"/>
      <c r="B106" s="15"/>
      <c r="C106" s="20" t="str">
        <f aca="false">IF(A106="","",A106&amp;" - "&amp;B106)</f>
        <v/>
      </c>
      <c r="D106" s="15"/>
      <c r="E106" s="27"/>
      <c r="F106" s="32" t="str">
        <f aca="true">IF(OR(D106="",E106=""),"",IF(IFERROR(INDEX(RecEstado,MATCH(D106,ListaRecetas,0)),"")&lt;&gt;"OK","",IFERROR(E106*INDEX(RecCostoU,MATCH(D106,ListaRecetas,0)),"")))</f>
        <v/>
      </c>
      <c r="G106" s="15"/>
      <c r="H106" s="32" t="n">
        <f aca="true">IF(G106="",0,IFERROR(INDEX(InsCosto,MATCH(G106,ListaInsumos,0))*1,0))</f>
        <v>0</v>
      </c>
      <c r="I106" s="15"/>
      <c r="J106" s="32" t="n">
        <f aca="true">IF(I106="",0,IFERROR(INDEX(InsCosto,MATCH(I106,ListaInsumos,0))*1,0))</f>
        <v>0</v>
      </c>
      <c r="K106" s="30" t="str">
        <f aca="false">IF(F106="","",(F106+H106+J106)*CFG_Indirectos)</f>
        <v/>
      </c>
      <c r="L106" s="33" t="str">
        <f aca="false">IF(F106="","",F106+H106+J106+K106)</f>
        <v/>
      </c>
      <c r="M106" s="36"/>
      <c r="N106" s="33" t="str">
        <f aca="false">IF(OR(L106="",L106=0,M106="",M106&gt;=1),"",IF(CFG_Redondeo&gt;0,CEILING(L106/(1-M106),CFG_Redondeo),L106/(1-M106)))</f>
        <v/>
      </c>
      <c r="O106" s="28"/>
      <c r="P106" s="30" t="str">
        <f aca="false">IF(OR(L106="",O106=""),"",O106-L106)</f>
        <v/>
      </c>
      <c r="Q106" s="35" t="str">
        <f aca="false">IF(OR(P106="",O106=0),"",P106/O106)</f>
        <v/>
      </c>
      <c r="R106" s="20" t="str">
        <f aca="true">IF(A106="","",IF(D106="","Falta elegir receta",IF(IFERROR(INDEX(RecEstado,MATCH(D106,ListaRecetas,0)),"Receta no existe")&lt;&gt;"OK","Receta: "&amp;IFERROR(INDEX(RecEstado,MATCH(D106,ListaRecetas,0)),"no existe"),IF(OR(AND(G106&lt;&gt;"",H106=0),AND(I106&lt;&gt;"",J106=0)),"Packaging sin precio","OK"))))</f>
        <v/>
      </c>
    </row>
    <row r="107" customFormat="false" ht="15" hidden="false" customHeight="false" outlineLevel="0" collapsed="false">
      <c r="A107" s="15"/>
      <c r="B107" s="15"/>
      <c r="C107" s="20" t="str">
        <f aca="false">IF(A107="","",A107&amp;" - "&amp;B107)</f>
        <v/>
      </c>
      <c r="D107" s="15"/>
      <c r="E107" s="27"/>
      <c r="F107" s="32" t="str">
        <f aca="true">IF(OR(D107="",E107=""),"",IF(IFERROR(INDEX(RecEstado,MATCH(D107,ListaRecetas,0)),"")&lt;&gt;"OK","",IFERROR(E107*INDEX(RecCostoU,MATCH(D107,ListaRecetas,0)),"")))</f>
        <v/>
      </c>
      <c r="G107" s="15"/>
      <c r="H107" s="32" t="n">
        <f aca="true">IF(G107="",0,IFERROR(INDEX(InsCosto,MATCH(G107,ListaInsumos,0))*1,0))</f>
        <v>0</v>
      </c>
      <c r="I107" s="15"/>
      <c r="J107" s="32" t="n">
        <f aca="true">IF(I107="",0,IFERROR(INDEX(InsCosto,MATCH(I107,ListaInsumos,0))*1,0))</f>
        <v>0</v>
      </c>
      <c r="K107" s="30" t="str">
        <f aca="false">IF(F107="","",(F107+H107+J107)*CFG_Indirectos)</f>
        <v/>
      </c>
      <c r="L107" s="33" t="str">
        <f aca="false">IF(F107="","",F107+H107+J107+K107)</f>
        <v/>
      </c>
      <c r="M107" s="36"/>
      <c r="N107" s="33" t="str">
        <f aca="false">IF(OR(L107="",L107=0,M107="",M107&gt;=1),"",IF(CFG_Redondeo&gt;0,CEILING(L107/(1-M107),CFG_Redondeo),L107/(1-M107)))</f>
        <v/>
      </c>
      <c r="O107" s="28"/>
      <c r="P107" s="30" t="str">
        <f aca="false">IF(OR(L107="",O107=""),"",O107-L107)</f>
        <v/>
      </c>
      <c r="Q107" s="35" t="str">
        <f aca="false">IF(OR(P107="",O107=0),"",P107/O107)</f>
        <v/>
      </c>
      <c r="R107" s="20" t="str">
        <f aca="true">IF(A107="","",IF(D107="","Falta elegir receta",IF(IFERROR(INDEX(RecEstado,MATCH(D107,ListaRecetas,0)),"Receta no existe")&lt;&gt;"OK","Receta: "&amp;IFERROR(INDEX(RecEstado,MATCH(D107,ListaRecetas,0)),"no existe"),IF(OR(AND(G107&lt;&gt;"",H107=0),AND(I107&lt;&gt;"",J107=0)),"Packaging sin precio","OK"))))</f>
        <v/>
      </c>
    </row>
    <row r="108" customFormat="false" ht="15" hidden="false" customHeight="false" outlineLevel="0" collapsed="false">
      <c r="A108" s="15"/>
      <c r="B108" s="15"/>
      <c r="C108" s="20" t="str">
        <f aca="false">IF(A108="","",A108&amp;" - "&amp;B108)</f>
        <v/>
      </c>
      <c r="D108" s="15"/>
      <c r="E108" s="27"/>
      <c r="F108" s="32" t="str">
        <f aca="true">IF(OR(D108="",E108=""),"",IF(IFERROR(INDEX(RecEstado,MATCH(D108,ListaRecetas,0)),"")&lt;&gt;"OK","",IFERROR(E108*INDEX(RecCostoU,MATCH(D108,ListaRecetas,0)),"")))</f>
        <v/>
      </c>
      <c r="G108" s="15"/>
      <c r="H108" s="32" t="n">
        <f aca="true">IF(G108="",0,IFERROR(INDEX(InsCosto,MATCH(G108,ListaInsumos,0))*1,0))</f>
        <v>0</v>
      </c>
      <c r="I108" s="15"/>
      <c r="J108" s="32" t="n">
        <f aca="true">IF(I108="",0,IFERROR(INDEX(InsCosto,MATCH(I108,ListaInsumos,0))*1,0))</f>
        <v>0</v>
      </c>
      <c r="K108" s="30" t="str">
        <f aca="false">IF(F108="","",(F108+H108+J108)*CFG_Indirectos)</f>
        <v/>
      </c>
      <c r="L108" s="33" t="str">
        <f aca="false">IF(F108="","",F108+H108+J108+K108)</f>
        <v/>
      </c>
      <c r="M108" s="36"/>
      <c r="N108" s="33" t="str">
        <f aca="false">IF(OR(L108="",L108=0,M108="",M108&gt;=1),"",IF(CFG_Redondeo&gt;0,CEILING(L108/(1-M108),CFG_Redondeo),L108/(1-M108)))</f>
        <v/>
      </c>
      <c r="O108" s="28"/>
      <c r="P108" s="30" t="str">
        <f aca="false">IF(OR(L108="",O108=""),"",O108-L108)</f>
        <v/>
      </c>
      <c r="Q108" s="35" t="str">
        <f aca="false">IF(OR(P108="",O108=0),"",P108/O108)</f>
        <v/>
      </c>
      <c r="R108" s="20" t="str">
        <f aca="true">IF(A108="","",IF(D108="","Falta elegir receta",IF(IFERROR(INDEX(RecEstado,MATCH(D108,ListaRecetas,0)),"Receta no existe")&lt;&gt;"OK","Receta: "&amp;IFERROR(INDEX(RecEstado,MATCH(D108,ListaRecetas,0)),"no existe"),IF(OR(AND(G108&lt;&gt;"",H108=0),AND(I108&lt;&gt;"",J108=0)),"Packaging sin precio","OK"))))</f>
        <v/>
      </c>
    </row>
    <row r="109" customFormat="false" ht="15" hidden="false" customHeight="false" outlineLevel="0" collapsed="false">
      <c r="A109" s="15"/>
      <c r="B109" s="15"/>
      <c r="C109" s="20" t="str">
        <f aca="false">IF(A109="","",A109&amp;" - "&amp;B109)</f>
        <v/>
      </c>
      <c r="D109" s="15"/>
      <c r="E109" s="27"/>
      <c r="F109" s="32" t="str">
        <f aca="true">IF(OR(D109="",E109=""),"",IF(IFERROR(INDEX(RecEstado,MATCH(D109,ListaRecetas,0)),"")&lt;&gt;"OK","",IFERROR(E109*INDEX(RecCostoU,MATCH(D109,ListaRecetas,0)),"")))</f>
        <v/>
      </c>
      <c r="G109" s="15"/>
      <c r="H109" s="32" t="n">
        <f aca="true">IF(G109="",0,IFERROR(INDEX(InsCosto,MATCH(G109,ListaInsumos,0))*1,0))</f>
        <v>0</v>
      </c>
      <c r="I109" s="15"/>
      <c r="J109" s="32" t="n">
        <f aca="true">IF(I109="",0,IFERROR(INDEX(InsCosto,MATCH(I109,ListaInsumos,0))*1,0))</f>
        <v>0</v>
      </c>
      <c r="K109" s="30" t="str">
        <f aca="false">IF(F109="","",(F109+H109+J109)*CFG_Indirectos)</f>
        <v/>
      </c>
      <c r="L109" s="33" t="str">
        <f aca="false">IF(F109="","",F109+H109+J109+K109)</f>
        <v/>
      </c>
      <c r="M109" s="36"/>
      <c r="N109" s="33" t="str">
        <f aca="false">IF(OR(L109="",L109=0,M109="",M109&gt;=1),"",IF(CFG_Redondeo&gt;0,CEILING(L109/(1-M109),CFG_Redondeo),L109/(1-M109)))</f>
        <v/>
      </c>
      <c r="O109" s="28"/>
      <c r="P109" s="30" t="str">
        <f aca="false">IF(OR(L109="",O109=""),"",O109-L109)</f>
        <v/>
      </c>
      <c r="Q109" s="35" t="str">
        <f aca="false">IF(OR(P109="",O109=0),"",P109/O109)</f>
        <v/>
      </c>
      <c r="R109" s="20" t="str">
        <f aca="true">IF(A109="","",IF(D109="","Falta elegir receta",IF(IFERROR(INDEX(RecEstado,MATCH(D109,ListaRecetas,0)),"Receta no existe")&lt;&gt;"OK","Receta: "&amp;IFERROR(INDEX(RecEstado,MATCH(D109,ListaRecetas,0)),"no existe"),IF(OR(AND(G109&lt;&gt;"",H109=0),AND(I109&lt;&gt;"",J109=0)),"Packaging sin precio","OK"))))</f>
        <v/>
      </c>
    </row>
    <row r="110" customFormat="false" ht="15" hidden="false" customHeight="false" outlineLevel="0" collapsed="false">
      <c r="A110" s="15"/>
      <c r="B110" s="15"/>
      <c r="C110" s="20" t="str">
        <f aca="false">IF(A110="","",A110&amp;" - "&amp;B110)</f>
        <v/>
      </c>
      <c r="D110" s="15"/>
      <c r="E110" s="27"/>
      <c r="F110" s="32" t="str">
        <f aca="true">IF(OR(D110="",E110=""),"",IF(IFERROR(INDEX(RecEstado,MATCH(D110,ListaRecetas,0)),"")&lt;&gt;"OK","",IFERROR(E110*INDEX(RecCostoU,MATCH(D110,ListaRecetas,0)),"")))</f>
        <v/>
      </c>
      <c r="G110" s="15"/>
      <c r="H110" s="32" t="n">
        <f aca="true">IF(G110="",0,IFERROR(INDEX(InsCosto,MATCH(G110,ListaInsumos,0))*1,0))</f>
        <v>0</v>
      </c>
      <c r="I110" s="15"/>
      <c r="J110" s="32" t="n">
        <f aca="true">IF(I110="",0,IFERROR(INDEX(InsCosto,MATCH(I110,ListaInsumos,0))*1,0))</f>
        <v>0</v>
      </c>
      <c r="K110" s="30" t="str">
        <f aca="false">IF(F110="","",(F110+H110+J110)*CFG_Indirectos)</f>
        <v/>
      </c>
      <c r="L110" s="33" t="str">
        <f aca="false">IF(F110="","",F110+H110+J110+K110)</f>
        <v/>
      </c>
      <c r="M110" s="36"/>
      <c r="N110" s="33" t="str">
        <f aca="false">IF(OR(L110="",L110=0,M110="",M110&gt;=1),"",IF(CFG_Redondeo&gt;0,CEILING(L110/(1-M110),CFG_Redondeo),L110/(1-M110)))</f>
        <v/>
      </c>
      <c r="O110" s="28"/>
      <c r="P110" s="30" t="str">
        <f aca="false">IF(OR(L110="",O110=""),"",O110-L110)</f>
        <v/>
      </c>
      <c r="Q110" s="35" t="str">
        <f aca="false">IF(OR(P110="",O110=0),"",P110/O110)</f>
        <v/>
      </c>
      <c r="R110" s="20" t="str">
        <f aca="true">IF(A110="","",IF(D110="","Falta elegir receta",IF(IFERROR(INDEX(RecEstado,MATCH(D110,ListaRecetas,0)),"Receta no existe")&lt;&gt;"OK","Receta: "&amp;IFERROR(INDEX(RecEstado,MATCH(D110,ListaRecetas,0)),"no existe"),IF(OR(AND(G110&lt;&gt;"",H110=0),AND(I110&lt;&gt;"",J110=0)),"Packaging sin precio","OK"))))</f>
        <v/>
      </c>
    </row>
    <row r="111" customFormat="false" ht="15" hidden="false" customHeight="false" outlineLevel="0" collapsed="false">
      <c r="A111" s="15"/>
      <c r="B111" s="15"/>
      <c r="C111" s="20" t="str">
        <f aca="false">IF(A111="","",A111&amp;" - "&amp;B111)</f>
        <v/>
      </c>
      <c r="D111" s="15"/>
      <c r="E111" s="27"/>
      <c r="F111" s="32" t="str">
        <f aca="true">IF(OR(D111="",E111=""),"",IF(IFERROR(INDEX(RecEstado,MATCH(D111,ListaRecetas,0)),"")&lt;&gt;"OK","",IFERROR(E111*INDEX(RecCostoU,MATCH(D111,ListaRecetas,0)),"")))</f>
        <v/>
      </c>
      <c r="G111" s="15"/>
      <c r="H111" s="32" t="n">
        <f aca="true">IF(G111="",0,IFERROR(INDEX(InsCosto,MATCH(G111,ListaInsumos,0))*1,0))</f>
        <v>0</v>
      </c>
      <c r="I111" s="15"/>
      <c r="J111" s="32" t="n">
        <f aca="true">IF(I111="",0,IFERROR(INDEX(InsCosto,MATCH(I111,ListaInsumos,0))*1,0))</f>
        <v>0</v>
      </c>
      <c r="K111" s="30" t="str">
        <f aca="false">IF(F111="","",(F111+H111+J111)*CFG_Indirectos)</f>
        <v/>
      </c>
      <c r="L111" s="33" t="str">
        <f aca="false">IF(F111="","",F111+H111+J111+K111)</f>
        <v/>
      </c>
      <c r="M111" s="36"/>
      <c r="N111" s="33" t="str">
        <f aca="false">IF(OR(L111="",L111=0,M111="",M111&gt;=1),"",IF(CFG_Redondeo&gt;0,CEILING(L111/(1-M111),CFG_Redondeo),L111/(1-M111)))</f>
        <v/>
      </c>
      <c r="O111" s="28"/>
      <c r="P111" s="30" t="str">
        <f aca="false">IF(OR(L111="",O111=""),"",O111-L111)</f>
        <v/>
      </c>
      <c r="Q111" s="35" t="str">
        <f aca="false">IF(OR(P111="",O111=0),"",P111/O111)</f>
        <v/>
      </c>
      <c r="R111" s="20" t="str">
        <f aca="true">IF(A111="","",IF(D111="","Falta elegir receta",IF(IFERROR(INDEX(RecEstado,MATCH(D111,ListaRecetas,0)),"Receta no existe")&lt;&gt;"OK","Receta: "&amp;IFERROR(INDEX(RecEstado,MATCH(D111,ListaRecetas,0)),"no existe"),IF(OR(AND(G111&lt;&gt;"",H111=0),AND(I111&lt;&gt;"",J111=0)),"Packaging sin precio","OK"))))</f>
        <v/>
      </c>
    </row>
    <row r="112" customFormat="false" ht="15" hidden="false" customHeight="false" outlineLevel="0" collapsed="false">
      <c r="A112" s="15"/>
      <c r="B112" s="15"/>
      <c r="C112" s="20" t="str">
        <f aca="false">IF(A112="","",A112&amp;" - "&amp;B112)</f>
        <v/>
      </c>
      <c r="D112" s="15"/>
      <c r="E112" s="27"/>
      <c r="F112" s="32" t="str">
        <f aca="true">IF(OR(D112="",E112=""),"",IF(IFERROR(INDEX(RecEstado,MATCH(D112,ListaRecetas,0)),"")&lt;&gt;"OK","",IFERROR(E112*INDEX(RecCostoU,MATCH(D112,ListaRecetas,0)),"")))</f>
        <v/>
      </c>
      <c r="G112" s="15"/>
      <c r="H112" s="32" t="n">
        <f aca="true">IF(G112="",0,IFERROR(INDEX(InsCosto,MATCH(G112,ListaInsumos,0))*1,0))</f>
        <v>0</v>
      </c>
      <c r="I112" s="15"/>
      <c r="J112" s="32" t="n">
        <f aca="true">IF(I112="",0,IFERROR(INDEX(InsCosto,MATCH(I112,ListaInsumos,0))*1,0))</f>
        <v>0</v>
      </c>
      <c r="K112" s="30" t="str">
        <f aca="false">IF(F112="","",(F112+H112+J112)*CFG_Indirectos)</f>
        <v/>
      </c>
      <c r="L112" s="33" t="str">
        <f aca="false">IF(F112="","",F112+H112+J112+K112)</f>
        <v/>
      </c>
      <c r="M112" s="36"/>
      <c r="N112" s="33" t="str">
        <f aca="false">IF(OR(L112="",L112=0,M112="",M112&gt;=1),"",IF(CFG_Redondeo&gt;0,CEILING(L112/(1-M112),CFG_Redondeo),L112/(1-M112)))</f>
        <v/>
      </c>
      <c r="O112" s="28"/>
      <c r="P112" s="30" t="str">
        <f aca="false">IF(OR(L112="",O112=""),"",O112-L112)</f>
        <v/>
      </c>
      <c r="Q112" s="35" t="str">
        <f aca="false">IF(OR(P112="",O112=0),"",P112/O112)</f>
        <v/>
      </c>
      <c r="R112" s="20" t="str">
        <f aca="true">IF(A112="","",IF(D112="","Falta elegir receta",IF(IFERROR(INDEX(RecEstado,MATCH(D112,ListaRecetas,0)),"Receta no existe")&lt;&gt;"OK","Receta: "&amp;IFERROR(INDEX(RecEstado,MATCH(D112,ListaRecetas,0)),"no existe"),IF(OR(AND(G112&lt;&gt;"",H112=0),AND(I112&lt;&gt;"",J112=0)),"Packaging sin precio","OK"))))</f>
        <v/>
      </c>
    </row>
    <row r="113" customFormat="false" ht="15" hidden="false" customHeight="false" outlineLevel="0" collapsed="false">
      <c r="A113" s="15"/>
      <c r="B113" s="15"/>
      <c r="C113" s="20" t="str">
        <f aca="false">IF(A113="","",A113&amp;" - "&amp;B113)</f>
        <v/>
      </c>
      <c r="D113" s="15"/>
      <c r="E113" s="27"/>
      <c r="F113" s="32" t="str">
        <f aca="true">IF(OR(D113="",E113=""),"",IF(IFERROR(INDEX(RecEstado,MATCH(D113,ListaRecetas,0)),"")&lt;&gt;"OK","",IFERROR(E113*INDEX(RecCostoU,MATCH(D113,ListaRecetas,0)),"")))</f>
        <v/>
      </c>
      <c r="G113" s="15"/>
      <c r="H113" s="32" t="n">
        <f aca="true">IF(G113="",0,IFERROR(INDEX(InsCosto,MATCH(G113,ListaInsumos,0))*1,0))</f>
        <v>0</v>
      </c>
      <c r="I113" s="15"/>
      <c r="J113" s="32" t="n">
        <f aca="true">IF(I113="",0,IFERROR(INDEX(InsCosto,MATCH(I113,ListaInsumos,0))*1,0))</f>
        <v>0</v>
      </c>
      <c r="K113" s="30" t="str">
        <f aca="false">IF(F113="","",(F113+H113+J113)*CFG_Indirectos)</f>
        <v/>
      </c>
      <c r="L113" s="33" t="str">
        <f aca="false">IF(F113="","",F113+H113+J113+K113)</f>
        <v/>
      </c>
      <c r="M113" s="36"/>
      <c r="N113" s="33" t="str">
        <f aca="false">IF(OR(L113="",L113=0,M113="",M113&gt;=1),"",IF(CFG_Redondeo&gt;0,CEILING(L113/(1-M113),CFG_Redondeo),L113/(1-M113)))</f>
        <v/>
      </c>
      <c r="O113" s="28"/>
      <c r="P113" s="30" t="str">
        <f aca="false">IF(OR(L113="",O113=""),"",O113-L113)</f>
        <v/>
      </c>
      <c r="Q113" s="35" t="str">
        <f aca="false">IF(OR(P113="",O113=0),"",P113/O113)</f>
        <v/>
      </c>
      <c r="R113" s="20" t="str">
        <f aca="true">IF(A113="","",IF(D113="","Falta elegir receta",IF(IFERROR(INDEX(RecEstado,MATCH(D113,ListaRecetas,0)),"Receta no existe")&lt;&gt;"OK","Receta: "&amp;IFERROR(INDEX(RecEstado,MATCH(D113,ListaRecetas,0)),"no existe"),IF(OR(AND(G113&lt;&gt;"",H113=0),AND(I113&lt;&gt;"",J113=0)),"Packaging sin precio","OK"))))</f>
        <v/>
      </c>
    </row>
    <row r="114" customFormat="false" ht="15" hidden="false" customHeight="false" outlineLevel="0" collapsed="false">
      <c r="A114" s="15"/>
      <c r="B114" s="15"/>
      <c r="C114" s="20" t="str">
        <f aca="false">IF(A114="","",A114&amp;" - "&amp;B114)</f>
        <v/>
      </c>
      <c r="D114" s="15"/>
      <c r="E114" s="27"/>
      <c r="F114" s="32" t="str">
        <f aca="true">IF(OR(D114="",E114=""),"",IF(IFERROR(INDEX(RecEstado,MATCH(D114,ListaRecetas,0)),"")&lt;&gt;"OK","",IFERROR(E114*INDEX(RecCostoU,MATCH(D114,ListaRecetas,0)),"")))</f>
        <v/>
      </c>
      <c r="G114" s="15"/>
      <c r="H114" s="32" t="n">
        <f aca="true">IF(G114="",0,IFERROR(INDEX(InsCosto,MATCH(G114,ListaInsumos,0))*1,0))</f>
        <v>0</v>
      </c>
      <c r="I114" s="15"/>
      <c r="J114" s="32" t="n">
        <f aca="true">IF(I114="",0,IFERROR(INDEX(InsCosto,MATCH(I114,ListaInsumos,0))*1,0))</f>
        <v>0</v>
      </c>
      <c r="K114" s="30" t="str">
        <f aca="false">IF(F114="","",(F114+H114+J114)*CFG_Indirectos)</f>
        <v/>
      </c>
      <c r="L114" s="33" t="str">
        <f aca="false">IF(F114="","",F114+H114+J114+K114)</f>
        <v/>
      </c>
      <c r="M114" s="36"/>
      <c r="N114" s="33" t="str">
        <f aca="false">IF(OR(L114="",L114=0,M114="",M114&gt;=1),"",IF(CFG_Redondeo&gt;0,CEILING(L114/(1-M114),CFG_Redondeo),L114/(1-M114)))</f>
        <v/>
      </c>
      <c r="O114" s="28"/>
      <c r="P114" s="30" t="str">
        <f aca="false">IF(OR(L114="",O114=""),"",O114-L114)</f>
        <v/>
      </c>
      <c r="Q114" s="35" t="str">
        <f aca="false">IF(OR(P114="",O114=0),"",P114/O114)</f>
        <v/>
      </c>
      <c r="R114" s="20" t="str">
        <f aca="true">IF(A114="","",IF(D114="","Falta elegir receta",IF(IFERROR(INDEX(RecEstado,MATCH(D114,ListaRecetas,0)),"Receta no existe")&lt;&gt;"OK","Receta: "&amp;IFERROR(INDEX(RecEstado,MATCH(D114,ListaRecetas,0)),"no existe"),IF(OR(AND(G114&lt;&gt;"",H114=0),AND(I114&lt;&gt;"",J114=0)),"Packaging sin precio","OK"))))</f>
        <v/>
      </c>
    </row>
    <row r="115" customFormat="false" ht="15" hidden="false" customHeight="false" outlineLevel="0" collapsed="false">
      <c r="A115" s="15"/>
      <c r="B115" s="15"/>
      <c r="C115" s="20" t="str">
        <f aca="false">IF(A115="","",A115&amp;" - "&amp;B115)</f>
        <v/>
      </c>
      <c r="D115" s="15"/>
      <c r="E115" s="27"/>
      <c r="F115" s="32" t="str">
        <f aca="true">IF(OR(D115="",E115=""),"",IF(IFERROR(INDEX(RecEstado,MATCH(D115,ListaRecetas,0)),"")&lt;&gt;"OK","",IFERROR(E115*INDEX(RecCostoU,MATCH(D115,ListaRecetas,0)),"")))</f>
        <v/>
      </c>
      <c r="G115" s="15"/>
      <c r="H115" s="32" t="n">
        <f aca="true">IF(G115="",0,IFERROR(INDEX(InsCosto,MATCH(G115,ListaInsumos,0))*1,0))</f>
        <v>0</v>
      </c>
      <c r="I115" s="15"/>
      <c r="J115" s="32" t="n">
        <f aca="true">IF(I115="",0,IFERROR(INDEX(InsCosto,MATCH(I115,ListaInsumos,0))*1,0))</f>
        <v>0</v>
      </c>
      <c r="K115" s="30" t="str">
        <f aca="false">IF(F115="","",(F115+H115+J115)*CFG_Indirectos)</f>
        <v/>
      </c>
      <c r="L115" s="33" t="str">
        <f aca="false">IF(F115="","",F115+H115+J115+K115)</f>
        <v/>
      </c>
      <c r="M115" s="36"/>
      <c r="N115" s="33" t="str">
        <f aca="false">IF(OR(L115="",L115=0,M115="",M115&gt;=1),"",IF(CFG_Redondeo&gt;0,CEILING(L115/(1-M115),CFG_Redondeo),L115/(1-M115)))</f>
        <v/>
      </c>
      <c r="O115" s="28"/>
      <c r="P115" s="30" t="str">
        <f aca="false">IF(OR(L115="",O115=""),"",O115-L115)</f>
        <v/>
      </c>
      <c r="Q115" s="35" t="str">
        <f aca="false">IF(OR(P115="",O115=0),"",P115/O115)</f>
        <v/>
      </c>
      <c r="R115" s="20" t="str">
        <f aca="true">IF(A115="","",IF(D115="","Falta elegir receta",IF(IFERROR(INDEX(RecEstado,MATCH(D115,ListaRecetas,0)),"Receta no existe")&lt;&gt;"OK","Receta: "&amp;IFERROR(INDEX(RecEstado,MATCH(D115,ListaRecetas,0)),"no existe"),IF(OR(AND(G115&lt;&gt;"",H115=0),AND(I115&lt;&gt;"",J115=0)),"Packaging sin precio","OK"))))</f>
        <v/>
      </c>
    </row>
    <row r="116" customFormat="false" ht="15" hidden="false" customHeight="false" outlineLevel="0" collapsed="false">
      <c r="A116" s="15"/>
      <c r="B116" s="15"/>
      <c r="C116" s="20" t="str">
        <f aca="false">IF(A116="","",A116&amp;" - "&amp;B116)</f>
        <v/>
      </c>
      <c r="D116" s="15"/>
      <c r="E116" s="27"/>
      <c r="F116" s="32" t="str">
        <f aca="true">IF(OR(D116="",E116=""),"",IF(IFERROR(INDEX(RecEstado,MATCH(D116,ListaRecetas,0)),"")&lt;&gt;"OK","",IFERROR(E116*INDEX(RecCostoU,MATCH(D116,ListaRecetas,0)),"")))</f>
        <v/>
      </c>
      <c r="G116" s="15"/>
      <c r="H116" s="32" t="n">
        <f aca="true">IF(G116="",0,IFERROR(INDEX(InsCosto,MATCH(G116,ListaInsumos,0))*1,0))</f>
        <v>0</v>
      </c>
      <c r="I116" s="15"/>
      <c r="J116" s="32" t="n">
        <f aca="true">IF(I116="",0,IFERROR(INDEX(InsCosto,MATCH(I116,ListaInsumos,0))*1,0))</f>
        <v>0</v>
      </c>
      <c r="K116" s="30" t="str">
        <f aca="false">IF(F116="","",(F116+H116+J116)*CFG_Indirectos)</f>
        <v/>
      </c>
      <c r="L116" s="33" t="str">
        <f aca="false">IF(F116="","",F116+H116+J116+K116)</f>
        <v/>
      </c>
      <c r="M116" s="36"/>
      <c r="N116" s="33" t="str">
        <f aca="false">IF(OR(L116="",L116=0,M116="",M116&gt;=1),"",IF(CFG_Redondeo&gt;0,CEILING(L116/(1-M116),CFG_Redondeo),L116/(1-M116)))</f>
        <v/>
      </c>
      <c r="O116" s="28"/>
      <c r="P116" s="30" t="str">
        <f aca="false">IF(OR(L116="",O116=""),"",O116-L116)</f>
        <v/>
      </c>
      <c r="Q116" s="35" t="str">
        <f aca="false">IF(OR(P116="",O116=0),"",P116/O116)</f>
        <v/>
      </c>
      <c r="R116" s="20" t="str">
        <f aca="true">IF(A116="","",IF(D116="","Falta elegir receta",IF(IFERROR(INDEX(RecEstado,MATCH(D116,ListaRecetas,0)),"Receta no existe")&lt;&gt;"OK","Receta: "&amp;IFERROR(INDEX(RecEstado,MATCH(D116,ListaRecetas,0)),"no existe"),IF(OR(AND(G116&lt;&gt;"",H116=0),AND(I116&lt;&gt;"",J116=0)),"Packaging sin precio","OK"))))</f>
        <v/>
      </c>
    </row>
    <row r="117" customFormat="false" ht="15" hidden="false" customHeight="false" outlineLevel="0" collapsed="false">
      <c r="A117" s="15"/>
      <c r="B117" s="15"/>
      <c r="C117" s="20" t="str">
        <f aca="false">IF(A117="","",A117&amp;" - "&amp;B117)</f>
        <v/>
      </c>
      <c r="D117" s="15"/>
      <c r="E117" s="27"/>
      <c r="F117" s="32" t="str">
        <f aca="true">IF(OR(D117="",E117=""),"",IF(IFERROR(INDEX(RecEstado,MATCH(D117,ListaRecetas,0)),"")&lt;&gt;"OK","",IFERROR(E117*INDEX(RecCostoU,MATCH(D117,ListaRecetas,0)),"")))</f>
        <v/>
      </c>
      <c r="G117" s="15"/>
      <c r="H117" s="32" t="n">
        <f aca="true">IF(G117="",0,IFERROR(INDEX(InsCosto,MATCH(G117,ListaInsumos,0))*1,0))</f>
        <v>0</v>
      </c>
      <c r="I117" s="15"/>
      <c r="J117" s="32" t="n">
        <f aca="true">IF(I117="",0,IFERROR(INDEX(InsCosto,MATCH(I117,ListaInsumos,0))*1,0))</f>
        <v>0</v>
      </c>
      <c r="K117" s="30" t="str">
        <f aca="false">IF(F117="","",(F117+H117+J117)*CFG_Indirectos)</f>
        <v/>
      </c>
      <c r="L117" s="33" t="str">
        <f aca="false">IF(F117="","",F117+H117+J117+K117)</f>
        <v/>
      </c>
      <c r="M117" s="36"/>
      <c r="N117" s="33" t="str">
        <f aca="false">IF(OR(L117="",L117=0,M117="",M117&gt;=1),"",IF(CFG_Redondeo&gt;0,CEILING(L117/(1-M117),CFG_Redondeo),L117/(1-M117)))</f>
        <v/>
      </c>
      <c r="O117" s="28"/>
      <c r="P117" s="30" t="str">
        <f aca="false">IF(OR(L117="",O117=""),"",O117-L117)</f>
        <v/>
      </c>
      <c r="Q117" s="35" t="str">
        <f aca="false">IF(OR(P117="",O117=0),"",P117/O117)</f>
        <v/>
      </c>
      <c r="R117" s="20" t="str">
        <f aca="true">IF(A117="","",IF(D117="","Falta elegir receta",IF(IFERROR(INDEX(RecEstado,MATCH(D117,ListaRecetas,0)),"Receta no existe")&lt;&gt;"OK","Receta: "&amp;IFERROR(INDEX(RecEstado,MATCH(D117,ListaRecetas,0)),"no existe"),IF(OR(AND(G117&lt;&gt;"",H117=0),AND(I117&lt;&gt;"",J117=0)),"Packaging sin precio","OK"))))</f>
        <v/>
      </c>
    </row>
    <row r="118" customFormat="false" ht="15" hidden="false" customHeight="false" outlineLevel="0" collapsed="false">
      <c r="A118" s="15"/>
      <c r="B118" s="15"/>
      <c r="C118" s="20" t="str">
        <f aca="false">IF(A118="","",A118&amp;" - "&amp;B118)</f>
        <v/>
      </c>
      <c r="D118" s="15"/>
      <c r="E118" s="27"/>
      <c r="F118" s="32" t="str">
        <f aca="true">IF(OR(D118="",E118=""),"",IF(IFERROR(INDEX(RecEstado,MATCH(D118,ListaRecetas,0)),"")&lt;&gt;"OK","",IFERROR(E118*INDEX(RecCostoU,MATCH(D118,ListaRecetas,0)),"")))</f>
        <v/>
      </c>
      <c r="G118" s="15"/>
      <c r="H118" s="32" t="n">
        <f aca="true">IF(G118="",0,IFERROR(INDEX(InsCosto,MATCH(G118,ListaInsumos,0))*1,0))</f>
        <v>0</v>
      </c>
      <c r="I118" s="15"/>
      <c r="J118" s="32" t="n">
        <f aca="true">IF(I118="",0,IFERROR(INDEX(InsCosto,MATCH(I118,ListaInsumos,0))*1,0))</f>
        <v>0</v>
      </c>
      <c r="K118" s="30" t="str">
        <f aca="false">IF(F118="","",(F118+H118+J118)*CFG_Indirectos)</f>
        <v/>
      </c>
      <c r="L118" s="33" t="str">
        <f aca="false">IF(F118="","",F118+H118+J118+K118)</f>
        <v/>
      </c>
      <c r="M118" s="36"/>
      <c r="N118" s="33" t="str">
        <f aca="false">IF(OR(L118="",L118=0,M118="",M118&gt;=1),"",IF(CFG_Redondeo&gt;0,CEILING(L118/(1-M118),CFG_Redondeo),L118/(1-M118)))</f>
        <v/>
      </c>
      <c r="O118" s="28"/>
      <c r="P118" s="30" t="str">
        <f aca="false">IF(OR(L118="",O118=""),"",O118-L118)</f>
        <v/>
      </c>
      <c r="Q118" s="35" t="str">
        <f aca="false">IF(OR(P118="",O118=0),"",P118/O118)</f>
        <v/>
      </c>
      <c r="R118" s="20" t="str">
        <f aca="true">IF(A118="","",IF(D118="","Falta elegir receta",IF(IFERROR(INDEX(RecEstado,MATCH(D118,ListaRecetas,0)),"Receta no existe")&lt;&gt;"OK","Receta: "&amp;IFERROR(INDEX(RecEstado,MATCH(D118,ListaRecetas,0)),"no existe"),IF(OR(AND(G118&lt;&gt;"",H118=0),AND(I118&lt;&gt;"",J118=0)),"Packaging sin precio","OK"))))</f>
        <v/>
      </c>
    </row>
    <row r="119" customFormat="false" ht="15" hidden="false" customHeight="false" outlineLevel="0" collapsed="false">
      <c r="A119" s="15"/>
      <c r="B119" s="15"/>
      <c r="C119" s="20" t="str">
        <f aca="false">IF(A119="","",A119&amp;" - "&amp;B119)</f>
        <v/>
      </c>
      <c r="D119" s="15"/>
      <c r="E119" s="27"/>
      <c r="F119" s="32" t="str">
        <f aca="true">IF(OR(D119="",E119=""),"",IF(IFERROR(INDEX(RecEstado,MATCH(D119,ListaRecetas,0)),"")&lt;&gt;"OK","",IFERROR(E119*INDEX(RecCostoU,MATCH(D119,ListaRecetas,0)),"")))</f>
        <v/>
      </c>
      <c r="G119" s="15"/>
      <c r="H119" s="32" t="n">
        <f aca="true">IF(G119="",0,IFERROR(INDEX(InsCosto,MATCH(G119,ListaInsumos,0))*1,0))</f>
        <v>0</v>
      </c>
      <c r="I119" s="15"/>
      <c r="J119" s="32" t="n">
        <f aca="true">IF(I119="",0,IFERROR(INDEX(InsCosto,MATCH(I119,ListaInsumos,0))*1,0))</f>
        <v>0</v>
      </c>
      <c r="K119" s="30" t="str">
        <f aca="false">IF(F119="","",(F119+H119+J119)*CFG_Indirectos)</f>
        <v/>
      </c>
      <c r="L119" s="33" t="str">
        <f aca="false">IF(F119="","",F119+H119+J119+K119)</f>
        <v/>
      </c>
      <c r="M119" s="36"/>
      <c r="N119" s="33" t="str">
        <f aca="false">IF(OR(L119="",L119=0,M119="",M119&gt;=1),"",IF(CFG_Redondeo&gt;0,CEILING(L119/(1-M119),CFG_Redondeo),L119/(1-M119)))</f>
        <v/>
      </c>
      <c r="O119" s="28"/>
      <c r="P119" s="30" t="str">
        <f aca="false">IF(OR(L119="",O119=""),"",O119-L119)</f>
        <v/>
      </c>
      <c r="Q119" s="35" t="str">
        <f aca="false">IF(OR(P119="",O119=0),"",P119/O119)</f>
        <v/>
      </c>
      <c r="R119" s="20" t="str">
        <f aca="true">IF(A119="","",IF(D119="","Falta elegir receta",IF(IFERROR(INDEX(RecEstado,MATCH(D119,ListaRecetas,0)),"Receta no existe")&lt;&gt;"OK","Receta: "&amp;IFERROR(INDEX(RecEstado,MATCH(D119,ListaRecetas,0)),"no existe"),IF(OR(AND(G119&lt;&gt;"",H119=0),AND(I119&lt;&gt;"",J119=0)),"Packaging sin precio","OK"))))</f>
        <v/>
      </c>
    </row>
    <row r="120" customFormat="false" ht="15" hidden="false" customHeight="false" outlineLevel="0" collapsed="false">
      <c r="A120" s="15"/>
      <c r="B120" s="15"/>
      <c r="C120" s="20" t="str">
        <f aca="false">IF(A120="","",A120&amp;" - "&amp;B120)</f>
        <v/>
      </c>
      <c r="D120" s="15"/>
      <c r="E120" s="27"/>
      <c r="F120" s="32" t="str">
        <f aca="true">IF(OR(D120="",E120=""),"",IF(IFERROR(INDEX(RecEstado,MATCH(D120,ListaRecetas,0)),"")&lt;&gt;"OK","",IFERROR(E120*INDEX(RecCostoU,MATCH(D120,ListaRecetas,0)),"")))</f>
        <v/>
      </c>
      <c r="G120" s="15"/>
      <c r="H120" s="32" t="n">
        <f aca="true">IF(G120="",0,IFERROR(INDEX(InsCosto,MATCH(G120,ListaInsumos,0))*1,0))</f>
        <v>0</v>
      </c>
      <c r="I120" s="15"/>
      <c r="J120" s="32" t="n">
        <f aca="true">IF(I120="",0,IFERROR(INDEX(InsCosto,MATCH(I120,ListaInsumos,0))*1,0))</f>
        <v>0</v>
      </c>
      <c r="K120" s="30" t="str">
        <f aca="false">IF(F120="","",(F120+H120+J120)*CFG_Indirectos)</f>
        <v/>
      </c>
      <c r="L120" s="33" t="str">
        <f aca="false">IF(F120="","",F120+H120+J120+K120)</f>
        <v/>
      </c>
      <c r="M120" s="36"/>
      <c r="N120" s="33" t="str">
        <f aca="false">IF(OR(L120="",L120=0,M120="",M120&gt;=1),"",IF(CFG_Redondeo&gt;0,CEILING(L120/(1-M120),CFG_Redondeo),L120/(1-M120)))</f>
        <v/>
      </c>
      <c r="O120" s="28"/>
      <c r="P120" s="30" t="str">
        <f aca="false">IF(OR(L120="",O120=""),"",O120-L120)</f>
        <v/>
      </c>
      <c r="Q120" s="35" t="str">
        <f aca="false">IF(OR(P120="",O120=0),"",P120/O120)</f>
        <v/>
      </c>
      <c r="R120" s="20" t="str">
        <f aca="true">IF(A120="","",IF(D120="","Falta elegir receta",IF(IFERROR(INDEX(RecEstado,MATCH(D120,ListaRecetas,0)),"Receta no existe")&lt;&gt;"OK","Receta: "&amp;IFERROR(INDEX(RecEstado,MATCH(D120,ListaRecetas,0)),"no existe"),IF(OR(AND(G120&lt;&gt;"",H120=0),AND(I120&lt;&gt;"",J120=0)),"Packaging sin precio","OK"))))</f>
        <v/>
      </c>
    </row>
    <row r="121" customFormat="false" ht="15" hidden="false" customHeight="false" outlineLevel="0" collapsed="false">
      <c r="A121" s="15"/>
      <c r="B121" s="15"/>
      <c r="C121" s="20" t="str">
        <f aca="false">IF(A121="","",A121&amp;" - "&amp;B121)</f>
        <v/>
      </c>
      <c r="D121" s="15"/>
      <c r="E121" s="27"/>
      <c r="F121" s="32" t="str">
        <f aca="true">IF(OR(D121="",E121=""),"",IF(IFERROR(INDEX(RecEstado,MATCH(D121,ListaRecetas,0)),"")&lt;&gt;"OK","",IFERROR(E121*INDEX(RecCostoU,MATCH(D121,ListaRecetas,0)),"")))</f>
        <v/>
      </c>
      <c r="G121" s="15"/>
      <c r="H121" s="32" t="n">
        <f aca="true">IF(G121="",0,IFERROR(INDEX(InsCosto,MATCH(G121,ListaInsumos,0))*1,0))</f>
        <v>0</v>
      </c>
      <c r="I121" s="15"/>
      <c r="J121" s="32" t="n">
        <f aca="true">IF(I121="",0,IFERROR(INDEX(InsCosto,MATCH(I121,ListaInsumos,0))*1,0))</f>
        <v>0</v>
      </c>
      <c r="K121" s="30" t="str">
        <f aca="false">IF(F121="","",(F121+H121+J121)*CFG_Indirectos)</f>
        <v/>
      </c>
      <c r="L121" s="33" t="str">
        <f aca="false">IF(F121="","",F121+H121+J121+K121)</f>
        <v/>
      </c>
      <c r="M121" s="36"/>
      <c r="N121" s="33" t="str">
        <f aca="false">IF(OR(L121="",L121=0,M121="",M121&gt;=1),"",IF(CFG_Redondeo&gt;0,CEILING(L121/(1-M121),CFG_Redondeo),L121/(1-M121)))</f>
        <v/>
      </c>
      <c r="O121" s="28"/>
      <c r="P121" s="30" t="str">
        <f aca="false">IF(OR(L121="",O121=""),"",O121-L121)</f>
        <v/>
      </c>
      <c r="Q121" s="35" t="str">
        <f aca="false">IF(OR(P121="",O121=0),"",P121/O121)</f>
        <v/>
      </c>
      <c r="R121" s="20" t="str">
        <f aca="true">IF(A121="","",IF(D121="","Falta elegir receta",IF(IFERROR(INDEX(RecEstado,MATCH(D121,ListaRecetas,0)),"Receta no existe")&lt;&gt;"OK","Receta: "&amp;IFERROR(INDEX(RecEstado,MATCH(D121,ListaRecetas,0)),"no existe"),IF(OR(AND(G121&lt;&gt;"",H121=0),AND(I121&lt;&gt;"",J121=0)),"Packaging sin precio","OK"))))</f>
        <v/>
      </c>
    </row>
    <row r="122" customFormat="false" ht="15" hidden="false" customHeight="false" outlineLevel="0" collapsed="false">
      <c r="A122" s="15"/>
      <c r="B122" s="15"/>
      <c r="C122" s="20" t="str">
        <f aca="false">IF(A122="","",A122&amp;" - "&amp;B122)</f>
        <v/>
      </c>
      <c r="D122" s="15"/>
      <c r="E122" s="27"/>
      <c r="F122" s="32" t="str">
        <f aca="true">IF(OR(D122="",E122=""),"",IF(IFERROR(INDEX(RecEstado,MATCH(D122,ListaRecetas,0)),"")&lt;&gt;"OK","",IFERROR(E122*INDEX(RecCostoU,MATCH(D122,ListaRecetas,0)),"")))</f>
        <v/>
      </c>
      <c r="G122" s="15"/>
      <c r="H122" s="32" t="n">
        <f aca="true">IF(G122="",0,IFERROR(INDEX(InsCosto,MATCH(G122,ListaInsumos,0))*1,0))</f>
        <v>0</v>
      </c>
      <c r="I122" s="15"/>
      <c r="J122" s="32" t="n">
        <f aca="true">IF(I122="",0,IFERROR(INDEX(InsCosto,MATCH(I122,ListaInsumos,0))*1,0))</f>
        <v>0</v>
      </c>
      <c r="K122" s="30" t="str">
        <f aca="false">IF(F122="","",(F122+H122+J122)*CFG_Indirectos)</f>
        <v/>
      </c>
      <c r="L122" s="33" t="str">
        <f aca="false">IF(F122="","",F122+H122+J122+K122)</f>
        <v/>
      </c>
      <c r="M122" s="36"/>
      <c r="N122" s="33" t="str">
        <f aca="false">IF(OR(L122="",L122=0,M122="",M122&gt;=1),"",IF(CFG_Redondeo&gt;0,CEILING(L122/(1-M122),CFG_Redondeo),L122/(1-M122)))</f>
        <v/>
      </c>
      <c r="O122" s="28"/>
      <c r="P122" s="30" t="str">
        <f aca="false">IF(OR(L122="",O122=""),"",O122-L122)</f>
        <v/>
      </c>
      <c r="Q122" s="35" t="str">
        <f aca="false">IF(OR(P122="",O122=0),"",P122/O122)</f>
        <v/>
      </c>
      <c r="R122" s="20" t="str">
        <f aca="true">IF(A122="","",IF(D122="","Falta elegir receta",IF(IFERROR(INDEX(RecEstado,MATCH(D122,ListaRecetas,0)),"Receta no existe")&lt;&gt;"OK","Receta: "&amp;IFERROR(INDEX(RecEstado,MATCH(D122,ListaRecetas,0)),"no existe"),IF(OR(AND(G122&lt;&gt;"",H122=0),AND(I122&lt;&gt;"",J122=0)),"Packaging sin precio","OK"))))</f>
        <v/>
      </c>
    </row>
    <row r="123" customFormat="false" ht="15" hidden="false" customHeight="false" outlineLevel="0" collapsed="false">
      <c r="A123" s="15"/>
      <c r="B123" s="15"/>
      <c r="C123" s="20" t="str">
        <f aca="false">IF(A123="","",A123&amp;" - "&amp;B123)</f>
        <v/>
      </c>
      <c r="D123" s="15"/>
      <c r="E123" s="27"/>
      <c r="F123" s="32" t="str">
        <f aca="true">IF(OR(D123="",E123=""),"",IF(IFERROR(INDEX(RecEstado,MATCH(D123,ListaRecetas,0)),"")&lt;&gt;"OK","",IFERROR(E123*INDEX(RecCostoU,MATCH(D123,ListaRecetas,0)),"")))</f>
        <v/>
      </c>
      <c r="G123" s="15"/>
      <c r="H123" s="32" t="n">
        <f aca="true">IF(G123="",0,IFERROR(INDEX(InsCosto,MATCH(G123,ListaInsumos,0))*1,0))</f>
        <v>0</v>
      </c>
      <c r="I123" s="15"/>
      <c r="J123" s="32" t="n">
        <f aca="true">IF(I123="",0,IFERROR(INDEX(InsCosto,MATCH(I123,ListaInsumos,0))*1,0))</f>
        <v>0</v>
      </c>
      <c r="K123" s="30" t="str">
        <f aca="false">IF(F123="","",(F123+H123+J123)*CFG_Indirectos)</f>
        <v/>
      </c>
      <c r="L123" s="33" t="str">
        <f aca="false">IF(F123="","",F123+H123+J123+K123)</f>
        <v/>
      </c>
      <c r="M123" s="36"/>
      <c r="N123" s="33" t="str">
        <f aca="false">IF(OR(L123="",L123=0,M123="",M123&gt;=1),"",IF(CFG_Redondeo&gt;0,CEILING(L123/(1-M123),CFG_Redondeo),L123/(1-M123)))</f>
        <v/>
      </c>
      <c r="O123" s="28"/>
      <c r="P123" s="30" t="str">
        <f aca="false">IF(OR(L123="",O123=""),"",O123-L123)</f>
        <v/>
      </c>
      <c r="Q123" s="35" t="str">
        <f aca="false">IF(OR(P123="",O123=0),"",P123/O123)</f>
        <v/>
      </c>
      <c r="R123" s="20" t="str">
        <f aca="true">IF(A123="","",IF(D123="","Falta elegir receta",IF(IFERROR(INDEX(RecEstado,MATCH(D123,ListaRecetas,0)),"Receta no existe")&lt;&gt;"OK","Receta: "&amp;IFERROR(INDEX(RecEstado,MATCH(D123,ListaRecetas,0)),"no existe"),IF(OR(AND(G123&lt;&gt;"",H123=0),AND(I123&lt;&gt;"",J123=0)),"Packaging sin precio","OK"))))</f>
        <v/>
      </c>
    </row>
    <row r="124" customFormat="false" ht="15" hidden="false" customHeight="false" outlineLevel="0" collapsed="false">
      <c r="A124" s="15"/>
      <c r="B124" s="15"/>
      <c r="C124" s="20" t="str">
        <f aca="false">IF(A124="","",A124&amp;" - "&amp;B124)</f>
        <v/>
      </c>
      <c r="D124" s="15"/>
      <c r="E124" s="27"/>
      <c r="F124" s="32" t="str">
        <f aca="true">IF(OR(D124="",E124=""),"",IF(IFERROR(INDEX(RecEstado,MATCH(D124,ListaRecetas,0)),"")&lt;&gt;"OK","",IFERROR(E124*INDEX(RecCostoU,MATCH(D124,ListaRecetas,0)),"")))</f>
        <v/>
      </c>
      <c r="G124" s="15"/>
      <c r="H124" s="32" t="n">
        <f aca="true">IF(G124="",0,IFERROR(INDEX(InsCosto,MATCH(G124,ListaInsumos,0))*1,0))</f>
        <v>0</v>
      </c>
      <c r="I124" s="15"/>
      <c r="J124" s="32" t="n">
        <f aca="true">IF(I124="",0,IFERROR(INDEX(InsCosto,MATCH(I124,ListaInsumos,0))*1,0))</f>
        <v>0</v>
      </c>
      <c r="K124" s="30" t="str">
        <f aca="false">IF(F124="","",(F124+H124+J124)*CFG_Indirectos)</f>
        <v/>
      </c>
      <c r="L124" s="33" t="str">
        <f aca="false">IF(F124="","",F124+H124+J124+K124)</f>
        <v/>
      </c>
      <c r="M124" s="36"/>
      <c r="N124" s="33" t="str">
        <f aca="false">IF(OR(L124="",L124=0,M124="",M124&gt;=1),"",IF(CFG_Redondeo&gt;0,CEILING(L124/(1-M124),CFG_Redondeo),L124/(1-M124)))</f>
        <v/>
      </c>
      <c r="O124" s="28"/>
      <c r="P124" s="30" t="str">
        <f aca="false">IF(OR(L124="",O124=""),"",O124-L124)</f>
        <v/>
      </c>
      <c r="Q124" s="35" t="str">
        <f aca="false">IF(OR(P124="",O124=0),"",P124/O124)</f>
        <v/>
      </c>
      <c r="R124" s="20" t="str">
        <f aca="true">IF(A124="","",IF(D124="","Falta elegir receta",IF(IFERROR(INDEX(RecEstado,MATCH(D124,ListaRecetas,0)),"Receta no existe")&lt;&gt;"OK","Receta: "&amp;IFERROR(INDEX(RecEstado,MATCH(D124,ListaRecetas,0)),"no existe"),IF(OR(AND(G124&lt;&gt;"",H124=0),AND(I124&lt;&gt;"",J124=0)),"Packaging sin precio","OK"))))</f>
        <v/>
      </c>
    </row>
    <row r="125" customFormat="false" ht="15" hidden="false" customHeight="false" outlineLevel="0" collapsed="false">
      <c r="A125" s="15"/>
      <c r="B125" s="15"/>
      <c r="C125" s="20" t="str">
        <f aca="false">IF(A125="","",A125&amp;" - "&amp;B125)</f>
        <v/>
      </c>
      <c r="D125" s="15"/>
      <c r="E125" s="27"/>
      <c r="F125" s="32" t="str">
        <f aca="true">IF(OR(D125="",E125=""),"",IF(IFERROR(INDEX(RecEstado,MATCH(D125,ListaRecetas,0)),"")&lt;&gt;"OK","",IFERROR(E125*INDEX(RecCostoU,MATCH(D125,ListaRecetas,0)),"")))</f>
        <v/>
      </c>
      <c r="G125" s="15"/>
      <c r="H125" s="32" t="n">
        <f aca="true">IF(G125="",0,IFERROR(INDEX(InsCosto,MATCH(G125,ListaInsumos,0))*1,0))</f>
        <v>0</v>
      </c>
      <c r="I125" s="15"/>
      <c r="J125" s="32" t="n">
        <f aca="true">IF(I125="",0,IFERROR(INDEX(InsCosto,MATCH(I125,ListaInsumos,0))*1,0))</f>
        <v>0</v>
      </c>
      <c r="K125" s="30" t="str">
        <f aca="false">IF(F125="","",(F125+H125+J125)*CFG_Indirectos)</f>
        <v/>
      </c>
      <c r="L125" s="33" t="str">
        <f aca="false">IF(F125="","",F125+H125+J125+K125)</f>
        <v/>
      </c>
      <c r="M125" s="36"/>
      <c r="N125" s="33" t="str">
        <f aca="false">IF(OR(L125="",L125=0,M125="",M125&gt;=1),"",IF(CFG_Redondeo&gt;0,CEILING(L125/(1-M125),CFG_Redondeo),L125/(1-M125)))</f>
        <v/>
      </c>
      <c r="O125" s="28"/>
      <c r="P125" s="30" t="str">
        <f aca="false">IF(OR(L125="",O125=""),"",O125-L125)</f>
        <v/>
      </c>
      <c r="Q125" s="35" t="str">
        <f aca="false">IF(OR(P125="",O125=0),"",P125/O125)</f>
        <v/>
      </c>
      <c r="R125" s="20" t="str">
        <f aca="true">IF(A125="","",IF(D125="","Falta elegir receta",IF(IFERROR(INDEX(RecEstado,MATCH(D125,ListaRecetas,0)),"Receta no existe")&lt;&gt;"OK","Receta: "&amp;IFERROR(INDEX(RecEstado,MATCH(D125,ListaRecetas,0)),"no existe"),IF(OR(AND(G125&lt;&gt;"",H125=0),AND(I125&lt;&gt;"",J125=0)),"Packaging sin precio","OK"))))</f>
        <v/>
      </c>
    </row>
    <row r="126" customFormat="false" ht="15" hidden="false" customHeight="false" outlineLevel="0" collapsed="false">
      <c r="A126" s="15"/>
      <c r="B126" s="15"/>
      <c r="C126" s="20" t="str">
        <f aca="false">IF(A126="","",A126&amp;" - "&amp;B126)</f>
        <v/>
      </c>
      <c r="D126" s="15"/>
      <c r="E126" s="27"/>
      <c r="F126" s="32" t="str">
        <f aca="true">IF(OR(D126="",E126=""),"",IF(IFERROR(INDEX(RecEstado,MATCH(D126,ListaRecetas,0)),"")&lt;&gt;"OK","",IFERROR(E126*INDEX(RecCostoU,MATCH(D126,ListaRecetas,0)),"")))</f>
        <v/>
      </c>
      <c r="G126" s="15"/>
      <c r="H126" s="32" t="n">
        <f aca="true">IF(G126="",0,IFERROR(INDEX(InsCosto,MATCH(G126,ListaInsumos,0))*1,0))</f>
        <v>0</v>
      </c>
      <c r="I126" s="15"/>
      <c r="J126" s="32" t="n">
        <f aca="true">IF(I126="",0,IFERROR(INDEX(InsCosto,MATCH(I126,ListaInsumos,0))*1,0))</f>
        <v>0</v>
      </c>
      <c r="K126" s="30" t="str">
        <f aca="false">IF(F126="","",(F126+H126+J126)*CFG_Indirectos)</f>
        <v/>
      </c>
      <c r="L126" s="33" t="str">
        <f aca="false">IF(F126="","",F126+H126+J126+K126)</f>
        <v/>
      </c>
      <c r="M126" s="36"/>
      <c r="N126" s="33" t="str">
        <f aca="false">IF(OR(L126="",L126=0,M126="",M126&gt;=1),"",IF(CFG_Redondeo&gt;0,CEILING(L126/(1-M126),CFG_Redondeo),L126/(1-M126)))</f>
        <v/>
      </c>
      <c r="O126" s="28"/>
      <c r="P126" s="30" t="str">
        <f aca="false">IF(OR(L126="",O126=""),"",O126-L126)</f>
        <v/>
      </c>
      <c r="Q126" s="35" t="str">
        <f aca="false">IF(OR(P126="",O126=0),"",P126/O126)</f>
        <v/>
      </c>
      <c r="R126" s="20" t="str">
        <f aca="true">IF(A126="","",IF(D126="","Falta elegir receta",IF(IFERROR(INDEX(RecEstado,MATCH(D126,ListaRecetas,0)),"Receta no existe")&lt;&gt;"OK","Receta: "&amp;IFERROR(INDEX(RecEstado,MATCH(D126,ListaRecetas,0)),"no existe"),IF(OR(AND(G126&lt;&gt;"",H126=0),AND(I126&lt;&gt;"",J126=0)),"Packaging sin precio","OK"))))</f>
        <v/>
      </c>
    </row>
    <row r="127" customFormat="false" ht="15" hidden="false" customHeight="false" outlineLevel="0" collapsed="false">
      <c r="A127" s="15"/>
      <c r="B127" s="15"/>
      <c r="C127" s="20" t="str">
        <f aca="false">IF(A127="","",A127&amp;" - "&amp;B127)</f>
        <v/>
      </c>
      <c r="D127" s="15"/>
      <c r="E127" s="27"/>
      <c r="F127" s="32" t="str">
        <f aca="true">IF(OR(D127="",E127=""),"",IF(IFERROR(INDEX(RecEstado,MATCH(D127,ListaRecetas,0)),"")&lt;&gt;"OK","",IFERROR(E127*INDEX(RecCostoU,MATCH(D127,ListaRecetas,0)),"")))</f>
        <v/>
      </c>
      <c r="G127" s="15"/>
      <c r="H127" s="32" t="n">
        <f aca="true">IF(G127="",0,IFERROR(INDEX(InsCosto,MATCH(G127,ListaInsumos,0))*1,0))</f>
        <v>0</v>
      </c>
      <c r="I127" s="15"/>
      <c r="J127" s="32" t="n">
        <f aca="true">IF(I127="",0,IFERROR(INDEX(InsCosto,MATCH(I127,ListaInsumos,0))*1,0))</f>
        <v>0</v>
      </c>
      <c r="K127" s="30" t="str">
        <f aca="false">IF(F127="","",(F127+H127+J127)*CFG_Indirectos)</f>
        <v/>
      </c>
      <c r="L127" s="33" t="str">
        <f aca="false">IF(F127="","",F127+H127+J127+K127)</f>
        <v/>
      </c>
      <c r="M127" s="36"/>
      <c r="N127" s="33" t="str">
        <f aca="false">IF(OR(L127="",L127=0,M127="",M127&gt;=1),"",IF(CFG_Redondeo&gt;0,CEILING(L127/(1-M127),CFG_Redondeo),L127/(1-M127)))</f>
        <v/>
      </c>
      <c r="O127" s="28"/>
      <c r="P127" s="30" t="str">
        <f aca="false">IF(OR(L127="",O127=""),"",O127-L127)</f>
        <v/>
      </c>
      <c r="Q127" s="35" t="str">
        <f aca="false">IF(OR(P127="",O127=0),"",P127/O127)</f>
        <v/>
      </c>
      <c r="R127" s="20" t="str">
        <f aca="true">IF(A127="","",IF(D127="","Falta elegir receta",IF(IFERROR(INDEX(RecEstado,MATCH(D127,ListaRecetas,0)),"Receta no existe")&lt;&gt;"OK","Receta: "&amp;IFERROR(INDEX(RecEstado,MATCH(D127,ListaRecetas,0)),"no existe"),IF(OR(AND(G127&lt;&gt;"",H127=0),AND(I127&lt;&gt;"",J127=0)),"Packaging sin precio","OK"))))</f>
        <v/>
      </c>
    </row>
    <row r="128" customFormat="false" ht="15" hidden="false" customHeight="false" outlineLevel="0" collapsed="false">
      <c r="A128" s="15"/>
      <c r="B128" s="15"/>
      <c r="C128" s="20" t="str">
        <f aca="false">IF(A128="","",A128&amp;" - "&amp;B128)</f>
        <v/>
      </c>
      <c r="D128" s="15"/>
      <c r="E128" s="27"/>
      <c r="F128" s="32" t="str">
        <f aca="true">IF(OR(D128="",E128=""),"",IF(IFERROR(INDEX(RecEstado,MATCH(D128,ListaRecetas,0)),"")&lt;&gt;"OK","",IFERROR(E128*INDEX(RecCostoU,MATCH(D128,ListaRecetas,0)),"")))</f>
        <v/>
      </c>
      <c r="G128" s="15"/>
      <c r="H128" s="32" t="n">
        <f aca="true">IF(G128="",0,IFERROR(INDEX(InsCosto,MATCH(G128,ListaInsumos,0))*1,0))</f>
        <v>0</v>
      </c>
      <c r="I128" s="15"/>
      <c r="J128" s="32" t="n">
        <f aca="true">IF(I128="",0,IFERROR(INDEX(InsCosto,MATCH(I128,ListaInsumos,0))*1,0))</f>
        <v>0</v>
      </c>
      <c r="K128" s="30" t="str">
        <f aca="false">IF(F128="","",(F128+H128+J128)*CFG_Indirectos)</f>
        <v/>
      </c>
      <c r="L128" s="33" t="str">
        <f aca="false">IF(F128="","",F128+H128+J128+K128)</f>
        <v/>
      </c>
      <c r="M128" s="36"/>
      <c r="N128" s="33" t="str">
        <f aca="false">IF(OR(L128="",L128=0,M128="",M128&gt;=1),"",IF(CFG_Redondeo&gt;0,CEILING(L128/(1-M128),CFG_Redondeo),L128/(1-M128)))</f>
        <v/>
      </c>
      <c r="O128" s="28"/>
      <c r="P128" s="30" t="str">
        <f aca="false">IF(OR(L128="",O128=""),"",O128-L128)</f>
        <v/>
      </c>
      <c r="Q128" s="35" t="str">
        <f aca="false">IF(OR(P128="",O128=0),"",P128/O128)</f>
        <v/>
      </c>
      <c r="R128" s="20" t="str">
        <f aca="true">IF(A128="","",IF(D128="","Falta elegir receta",IF(IFERROR(INDEX(RecEstado,MATCH(D128,ListaRecetas,0)),"Receta no existe")&lt;&gt;"OK","Receta: "&amp;IFERROR(INDEX(RecEstado,MATCH(D128,ListaRecetas,0)),"no existe"),IF(OR(AND(G128&lt;&gt;"",H128=0),AND(I128&lt;&gt;"",J128=0)),"Packaging sin precio","OK"))))</f>
        <v/>
      </c>
    </row>
    <row r="129" customFormat="false" ht="15" hidden="false" customHeight="false" outlineLevel="0" collapsed="false">
      <c r="A129" s="15"/>
      <c r="B129" s="15"/>
      <c r="C129" s="20" t="str">
        <f aca="false">IF(A129="","",A129&amp;" - "&amp;B129)</f>
        <v/>
      </c>
      <c r="D129" s="15"/>
      <c r="E129" s="27"/>
      <c r="F129" s="32" t="str">
        <f aca="true">IF(OR(D129="",E129=""),"",IF(IFERROR(INDEX(RecEstado,MATCH(D129,ListaRecetas,0)),"")&lt;&gt;"OK","",IFERROR(E129*INDEX(RecCostoU,MATCH(D129,ListaRecetas,0)),"")))</f>
        <v/>
      </c>
      <c r="G129" s="15"/>
      <c r="H129" s="32" t="n">
        <f aca="true">IF(G129="",0,IFERROR(INDEX(InsCosto,MATCH(G129,ListaInsumos,0))*1,0))</f>
        <v>0</v>
      </c>
      <c r="I129" s="15"/>
      <c r="J129" s="32" t="n">
        <f aca="true">IF(I129="",0,IFERROR(INDEX(InsCosto,MATCH(I129,ListaInsumos,0))*1,0))</f>
        <v>0</v>
      </c>
      <c r="K129" s="30" t="str">
        <f aca="false">IF(F129="","",(F129+H129+J129)*CFG_Indirectos)</f>
        <v/>
      </c>
      <c r="L129" s="33" t="str">
        <f aca="false">IF(F129="","",F129+H129+J129+K129)</f>
        <v/>
      </c>
      <c r="M129" s="36"/>
      <c r="N129" s="33" t="str">
        <f aca="false">IF(OR(L129="",L129=0,M129="",M129&gt;=1),"",IF(CFG_Redondeo&gt;0,CEILING(L129/(1-M129),CFG_Redondeo),L129/(1-M129)))</f>
        <v/>
      </c>
      <c r="O129" s="28"/>
      <c r="P129" s="30" t="str">
        <f aca="false">IF(OR(L129="",O129=""),"",O129-L129)</f>
        <v/>
      </c>
      <c r="Q129" s="35" t="str">
        <f aca="false">IF(OR(P129="",O129=0),"",P129/O129)</f>
        <v/>
      </c>
      <c r="R129" s="20" t="str">
        <f aca="true">IF(A129="","",IF(D129="","Falta elegir receta",IF(IFERROR(INDEX(RecEstado,MATCH(D129,ListaRecetas,0)),"Receta no existe")&lt;&gt;"OK","Receta: "&amp;IFERROR(INDEX(RecEstado,MATCH(D129,ListaRecetas,0)),"no existe"),IF(OR(AND(G129&lt;&gt;"",H129=0),AND(I129&lt;&gt;"",J129=0)),"Packaging sin precio","OK"))))</f>
        <v/>
      </c>
    </row>
    <row r="130" customFormat="false" ht="15" hidden="false" customHeight="false" outlineLevel="0" collapsed="false">
      <c r="A130" s="15"/>
      <c r="B130" s="15"/>
      <c r="C130" s="20" t="str">
        <f aca="false">IF(A130="","",A130&amp;" - "&amp;B130)</f>
        <v/>
      </c>
      <c r="D130" s="15"/>
      <c r="E130" s="27"/>
      <c r="F130" s="32" t="str">
        <f aca="true">IF(OR(D130="",E130=""),"",IF(IFERROR(INDEX(RecEstado,MATCH(D130,ListaRecetas,0)),"")&lt;&gt;"OK","",IFERROR(E130*INDEX(RecCostoU,MATCH(D130,ListaRecetas,0)),"")))</f>
        <v/>
      </c>
      <c r="G130" s="15"/>
      <c r="H130" s="32" t="n">
        <f aca="true">IF(G130="",0,IFERROR(INDEX(InsCosto,MATCH(G130,ListaInsumos,0))*1,0))</f>
        <v>0</v>
      </c>
      <c r="I130" s="15"/>
      <c r="J130" s="32" t="n">
        <f aca="true">IF(I130="",0,IFERROR(INDEX(InsCosto,MATCH(I130,ListaInsumos,0))*1,0))</f>
        <v>0</v>
      </c>
      <c r="K130" s="30" t="str">
        <f aca="false">IF(F130="","",(F130+H130+J130)*CFG_Indirectos)</f>
        <v/>
      </c>
      <c r="L130" s="33" t="str">
        <f aca="false">IF(F130="","",F130+H130+J130+K130)</f>
        <v/>
      </c>
      <c r="M130" s="36"/>
      <c r="N130" s="33" t="str">
        <f aca="false">IF(OR(L130="",L130=0,M130="",M130&gt;=1),"",IF(CFG_Redondeo&gt;0,CEILING(L130/(1-M130),CFG_Redondeo),L130/(1-M130)))</f>
        <v/>
      </c>
      <c r="O130" s="28"/>
      <c r="P130" s="30" t="str">
        <f aca="false">IF(OR(L130="",O130=""),"",O130-L130)</f>
        <v/>
      </c>
      <c r="Q130" s="35" t="str">
        <f aca="false">IF(OR(P130="",O130=0),"",P130/O130)</f>
        <v/>
      </c>
      <c r="R130" s="20" t="str">
        <f aca="true">IF(A130="","",IF(D130="","Falta elegir receta",IF(IFERROR(INDEX(RecEstado,MATCH(D130,ListaRecetas,0)),"Receta no existe")&lt;&gt;"OK","Receta: "&amp;IFERROR(INDEX(RecEstado,MATCH(D130,ListaRecetas,0)),"no existe"),IF(OR(AND(G130&lt;&gt;"",H130=0),AND(I130&lt;&gt;"",J130=0)),"Packaging sin precio","OK"))))</f>
        <v/>
      </c>
    </row>
    <row r="131" customFormat="false" ht="15" hidden="false" customHeight="false" outlineLevel="0" collapsed="false">
      <c r="A131" s="15"/>
      <c r="B131" s="15"/>
      <c r="C131" s="20" t="str">
        <f aca="false">IF(A131="","",A131&amp;" - "&amp;B131)</f>
        <v/>
      </c>
      <c r="D131" s="15"/>
      <c r="E131" s="27"/>
      <c r="F131" s="32" t="str">
        <f aca="true">IF(OR(D131="",E131=""),"",IF(IFERROR(INDEX(RecEstado,MATCH(D131,ListaRecetas,0)),"")&lt;&gt;"OK","",IFERROR(E131*INDEX(RecCostoU,MATCH(D131,ListaRecetas,0)),"")))</f>
        <v/>
      </c>
      <c r="G131" s="15"/>
      <c r="H131" s="32" t="n">
        <f aca="true">IF(G131="",0,IFERROR(INDEX(InsCosto,MATCH(G131,ListaInsumos,0))*1,0))</f>
        <v>0</v>
      </c>
      <c r="I131" s="15"/>
      <c r="J131" s="32" t="n">
        <f aca="true">IF(I131="",0,IFERROR(INDEX(InsCosto,MATCH(I131,ListaInsumos,0))*1,0))</f>
        <v>0</v>
      </c>
      <c r="K131" s="30" t="str">
        <f aca="false">IF(F131="","",(F131+H131+J131)*CFG_Indirectos)</f>
        <v/>
      </c>
      <c r="L131" s="33" t="str">
        <f aca="false">IF(F131="","",F131+H131+J131+K131)</f>
        <v/>
      </c>
      <c r="M131" s="36"/>
      <c r="N131" s="33" t="str">
        <f aca="false">IF(OR(L131="",L131=0,M131="",M131&gt;=1),"",IF(CFG_Redondeo&gt;0,CEILING(L131/(1-M131),CFG_Redondeo),L131/(1-M131)))</f>
        <v/>
      </c>
      <c r="O131" s="28"/>
      <c r="P131" s="30" t="str">
        <f aca="false">IF(OR(L131="",O131=""),"",O131-L131)</f>
        <v/>
      </c>
      <c r="Q131" s="35" t="str">
        <f aca="false">IF(OR(P131="",O131=0),"",P131/O131)</f>
        <v/>
      </c>
      <c r="R131" s="20" t="str">
        <f aca="true">IF(A131="","",IF(D131="","Falta elegir receta",IF(IFERROR(INDEX(RecEstado,MATCH(D131,ListaRecetas,0)),"Receta no existe")&lt;&gt;"OK","Receta: "&amp;IFERROR(INDEX(RecEstado,MATCH(D131,ListaRecetas,0)),"no existe"),IF(OR(AND(G131&lt;&gt;"",H131=0),AND(I131&lt;&gt;"",J131=0)),"Packaging sin precio","OK"))))</f>
        <v/>
      </c>
    </row>
    <row r="132" customFormat="false" ht="15" hidden="false" customHeight="false" outlineLevel="0" collapsed="false">
      <c r="A132" s="15"/>
      <c r="B132" s="15"/>
      <c r="C132" s="20" t="str">
        <f aca="false">IF(A132="","",A132&amp;" - "&amp;B132)</f>
        <v/>
      </c>
      <c r="D132" s="15"/>
      <c r="E132" s="27"/>
      <c r="F132" s="32" t="str">
        <f aca="true">IF(OR(D132="",E132=""),"",IF(IFERROR(INDEX(RecEstado,MATCH(D132,ListaRecetas,0)),"")&lt;&gt;"OK","",IFERROR(E132*INDEX(RecCostoU,MATCH(D132,ListaRecetas,0)),"")))</f>
        <v/>
      </c>
      <c r="G132" s="15"/>
      <c r="H132" s="32" t="n">
        <f aca="true">IF(G132="",0,IFERROR(INDEX(InsCosto,MATCH(G132,ListaInsumos,0))*1,0))</f>
        <v>0</v>
      </c>
      <c r="I132" s="15"/>
      <c r="J132" s="32" t="n">
        <f aca="true">IF(I132="",0,IFERROR(INDEX(InsCosto,MATCH(I132,ListaInsumos,0))*1,0))</f>
        <v>0</v>
      </c>
      <c r="K132" s="30" t="str">
        <f aca="false">IF(F132="","",(F132+H132+J132)*CFG_Indirectos)</f>
        <v/>
      </c>
      <c r="L132" s="33" t="str">
        <f aca="false">IF(F132="","",F132+H132+J132+K132)</f>
        <v/>
      </c>
      <c r="M132" s="36"/>
      <c r="N132" s="33" t="str">
        <f aca="false">IF(OR(L132="",L132=0,M132="",M132&gt;=1),"",IF(CFG_Redondeo&gt;0,CEILING(L132/(1-M132),CFG_Redondeo),L132/(1-M132)))</f>
        <v/>
      </c>
      <c r="O132" s="28"/>
      <c r="P132" s="30" t="str">
        <f aca="false">IF(OR(L132="",O132=""),"",O132-L132)</f>
        <v/>
      </c>
      <c r="Q132" s="35" t="str">
        <f aca="false">IF(OR(P132="",O132=0),"",P132/O132)</f>
        <v/>
      </c>
      <c r="R132" s="20" t="str">
        <f aca="true">IF(A132="","",IF(D132="","Falta elegir receta",IF(IFERROR(INDEX(RecEstado,MATCH(D132,ListaRecetas,0)),"Receta no existe")&lt;&gt;"OK","Receta: "&amp;IFERROR(INDEX(RecEstado,MATCH(D132,ListaRecetas,0)),"no existe"),IF(OR(AND(G132&lt;&gt;"",H132=0),AND(I132&lt;&gt;"",J132=0)),"Packaging sin precio","OK"))))</f>
        <v/>
      </c>
    </row>
    <row r="133" customFormat="false" ht="15" hidden="false" customHeight="false" outlineLevel="0" collapsed="false">
      <c r="A133" s="15"/>
      <c r="B133" s="15"/>
      <c r="C133" s="20" t="str">
        <f aca="false">IF(A133="","",A133&amp;" - "&amp;B133)</f>
        <v/>
      </c>
      <c r="D133" s="15"/>
      <c r="E133" s="27"/>
      <c r="F133" s="32" t="str">
        <f aca="true">IF(OR(D133="",E133=""),"",IF(IFERROR(INDEX(RecEstado,MATCH(D133,ListaRecetas,0)),"")&lt;&gt;"OK","",IFERROR(E133*INDEX(RecCostoU,MATCH(D133,ListaRecetas,0)),"")))</f>
        <v/>
      </c>
      <c r="G133" s="15"/>
      <c r="H133" s="32" t="n">
        <f aca="true">IF(G133="",0,IFERROR(INDEX(InsCosto,MATCH(G133,ListaInsumos,0))*1,0))</f>
        <v>0</v>
      </c>
      <c r="I133" s="15"/>
      <c r="J133" s="32" t="n">
        <f aca="true">IF(I133="",0,IFERROR(INDEX(InsCosto,MATCH(I133,ListaInsumos,0))*1,0))</f>
        <v>0</v>
      </c>
      <c r="K133" s="30" t="str">
        <f aca="false">IF(F133="","",(F133+H133+J133)*CFG_Indirectos)</f>
        <v/>
      </c>
      <c r="L133" s="33" t="str">
        <f aca="false">IF(F133="","",F133+H133+J133+K133)</f>
        <v/>
      </c>
      <c r="M133" s="36"/>
      <c r="N133" s="33" t="str">
        <f aca="false">IF(OR(L133="",L133=0,M133="",M133&gt;=1),"",IF(CFG_Redondeo&gt;0,CEILING(L133/(1-M133),CFG_Redondeo),L133/(1-M133)))</f>
        <v/>
      </c>
      <c r="O133" s="28"/>
      <c r="P133" s="30" t="str">
        <f aca="false">IF(OR(L133="",O133=""),"",O133-L133)</f>
        <v/>
      </c>
      <c r="Q133" s="35" t="str">
        <f aca="false">IF(OR(P133="",O133=0),"",P133/O133)</f>
        <v/>
      </c>
      <c r="R133" s="20" t="str">
        <f aca="true">IF(A133="","",IF(D133="","Falta elegir receta",IF(IFERROR(INDEX(RecEstado,MATCH(D133,ListaRecetas,0)),"Receta no existe")&lt;&gt;"OK","Receta: "&amp;IFERROR(INDEX(RecEstado,MATCH(D133,ListaRecetas,0)),"no existe"),IF(OR(AND(G133&lt;&gt;"",H133=0),AND(I133&lt;&gt;"",J133=0)),"Packaging sin precio","OK"))))</f>
        <v/>
      </c>
    </row>
    <row r="134" customFormat="false" ht="15" hidden="false" customHeight="false" outlineLevel="0" collapsed="false">
      <c r="A134" s="15"/>
      <c r="B134" s="15"/>
      <c r="C134" s="20" t="str">
        <f aca="false">IF(A134="","",A134&amp;" - "&amp;B134)</f>
        <v/>
      </c>
      <c r="D134" s="15"/>
      <c r="E134" s="27"/>
      <c r="F134" s="32" t="str">
        <f aca="true">IF(OR(D134="",E134=""),"",IF(IFERROR(INDEX(RecEstado,MATCH(D134,ListaRecetas,0)),"")&lt;&gt;"OK","",IFERROR(E134*INDEX(RecCostoU,MATCH(D134,ListaRecetas,0)),"")))</f>
        <v/>
      </c>
      <c r="G134" s="15"/>
      <c r="H134" s="32" t="n">
        <f aca="true">IF(G134="",0,IFERROR(INDEX(InsCosto,MATCH(G134,ListaInsumos,0))*1,0))</f>
        <v>0</v>
      </c>
      <c r="I134" s="15"/>
      <c r="J134" s="32" t="n">
        <f aca="true">IF(I134="",0,IFERROR(INDEX(InsCosto,MATCH(I134,ListaInsumos,0))*1,0))</f>
        <v>0</v>
      </c>
      <c r="K134" s="30" t="str">
        <f aca="false">IF(F134="","",(F134+H134+J134)*CFG_Indirectos)</f>
        <v/>
      </c>
      <c r="L134" s="33" t="str">
        <f aca="false">IF(F134="","",F134+H134+J134+K134)</f>
        <v/>
      </c>
      <c r="M134" s="36"/>
      <c r="N134" s="33" t="str">
        <f aca="false">IF(OR(L134="",L134=0,M134="",M134&gt;=1),"",IF(CFG_Redondeo&gt;0,CEILING(L134/(1-M134),CFG_Redondeo),L134/(1-M134)))</f>
        <v/>
      </c>
      <c r="O134" s="28"/>
      <c r="P134" s="30" t="str">
        <f aca="false">IF(OR(L134="",O134=""),"",O134-L134)</f>
        <v/>
      </c>
      <c r="Q134" s="35" t="str">
        <f aca="false">IF(OR(P134="",O134=0),"",P134/O134)</f>
        <v/>
      </c>
      <c r="R134" s="20" t="str">
        <f aca="true">IF(A134="","",IF(D134="","Falta elegir receta",IF(IFERROR(INDEX(RecEstado,MATCH(D134,ListaRecetas,0)),"Receta no existe")&lt;&gt;"OK","Receta: "&amp;IFERROR(INDEX(RecEstado,MATCH(D134,ListaRecetas,0)),"no existe"),IF(OR(AND(G134&lt;&gt;"",H134=0),AND(I134&lt;&gt;"",J134=0)),"Packaging sin precio","OK"))))</f>
        <v/>
      </c>
    </row>
    <row r="135" customFormat="false" ht="15" hidden="false" customHeight="false" outlineLevel="0" collapsed="false">
      <c r="A135" s="15"/>
      <c r="B135" s="15"/>
      <c r="C135" s="20" t="str">
        <f aca="false">IF(A135="","",A135&amp;" - "&amp;B135)</f>
        <v/>
      </c>
      <c r="D135" s="15"/>
      <c r="E135" s="27"/>
      <c r="F135" s="32" t="str">
        <f aca="true">IF(OR(D135="",E135=""),"",IF(IFERROR(INDEX(RecEstado,MATCH(D135,ListaRecetas,0)),"")&lt;&gt;"OK","",IFERROR(E135*INDEX(RecCostoU,MATCH(D135,ListaRecetas,0)),"")))</f>
        <v/>
      </c>
      <c r="G135" s="15"/>
      <c r="H135" s="32" t="n">
        <f aca="true">IF(G135="",0,IFERROR(INDEX(InsCosto,MATCH(G135,ListaInsumos,0))*1,0))</f>
        <v>0</v>
      </c>
      <c r="I135" s="15"/>
      <c r="J135" s="32" t="n">
        <f aca="true">IF(I135="",0,IFERROR(INDEX(InsCosto,MATCH(I135,ListaInsumos,0))*1,0))</f>
        <v>0</v>
      </c>
      <c r="K135" s="30" t="str">
        <f aca="false">IF(F135="","",(F135+H135+J135)*CFG_Indirectos)</f>
        <v/>
      </c>
      <c r="L135" s="33" t="str">
        <f aca="false">IF(F135="","",F135+H135+J135+K135)</f>
        <v/>
      </c>
      <c r="M135" s="36"/>
      <c r="N135" s="33" t="str">
        <f aca="false">IF(OR(L135="",L135=0,M135="",M135&gt;=1),"",IF(CFG_Redondeo&gt;0,CEILING(L135/(1-M135),CFG_Redondeo),L135/(1-M135)))</f>
        <v/>
      </c>
      <c r="O135" s="28"/>
      <c r="P135" s="30" t="str">
        <f aca="false">IF(OR(L135="",O135=""),"",O135-L135)</f>
        <v/>
      </c>
      <c r="Q135" s="35" t="str">
        <f aca="false">IF(OR(P135="",O135=0),"",P135/O135)</f>
        <v/>
      </c>
      <c r="R135" s="20" t="str">
        <f aca="true">IF(A135="","",IF(D135="","Falta elegir receta",IF(IFERROR(INDEX(RecEstado,MATCH(D135,ListaRecetas,0)),"Receta no existe")&lt;&gt;"OK","Receta: "&amp;IFERROR(INDEX(RecEstado,MATCH(D135,ListaRecetas,0)),"no existe"),IF(OR(AND(G135&lt;&gt;"",H135=0),AND(I135&lt;&gt;"",J135=0)),"Packaging sin precio","OK"))))</f>
        <v/>
      </c>
    </row>
    <row r="136" customFormat="false" ht="15" hidden="false" customHeight="false" outlineLevel="0" collapsed="false">
      <c r="A136" s="15"/>
      <c r="B136" s="15"/>
      <c r="C136" s="20" t="str">
        <f aca="false">IF(A136="","",A136&amp;" - "&amp;B136)</f>
        <v/>
      </c>
      <c r="D136" s="15"/>
      <c r="E136" s="27"/>
      <c r="F136" s="32" t="str">
        <f aca="true">IF(OR(D136="",E136=""),"",IF(IFERROR(INDEX(RecEstado,MATCH(D136,ListaRecetas,0)),"")&lt;&gt;"OK","",IFERROR(E136*INDEX(RecCostoU,MATCH(D136,ListaRecetas,0)),"")))</f>
        <v/>
      </c>
      <c r="G136" s="15"/>
      <c r="H136" s="32" t="n">
        <f aca="true">IF(G136="",0,IFERROR(INDEX(InsCosto,MATCH(G136,ListaInsumos,0))*1,0))</f>
        <v>0</v>
      </c>
      <c r="I136" s="15"/>
      <c r="J136" s="32" t="n">
        <f aca="true">IF(I136="",0,IFERROR(INDEX(InsCosto,MATCH(I136,ListaInsumos,0))*1,0))</f>
        <v>0</v>
      </c>
      <c r="K136" s="30" t="str">
        <f aca="false">IF(F136="","",(F136+H136+J136)*CFG_Indirectos)</f>
        <v/>
      </c>
      <c r="L136" s="33" t="str">
        <f aca="false">IF(F136="","",F136+H136+J136+K136)</f>
        <v/>
      </c>
      <c r="M136" s="36"/>
      <c r="N136" s="33" t="str">
        <f aca="false">IF(OR(L136="",L136=0,M136="",M136&gt;=1),"",IF(CFG_Redondeo&gt;0,CEILING(L136/(1-M136),CFG_Redondeo),L136/(1-M136)))</f>
        <v/>
      </c>
      <c r="O136" s="28"/>
      <c r="P136" s="30" t="str">
        <f aca="false">IF(OR(L136="",O136=""),"",O136-L136)</f>
        <v/>
      </c>
      <c r="Q136" s="35" t="str">
        <f aca="false">IF(OR(P136="",O136=0),"",P136/O136)</f>
        <v/>
      </c>
      <c r="R136" s="20" t="str">
        <f aca="true">IF(A136="","",IF(D136="","Falta elegir receta",IF(IFERROR(INDEX(RecEstado,MATCH(D136,ListaRecetas,0)),"Receta no existe")&lt;&gt;"OK","Receta: "&amp;IFERROR(INDEX(RecEstado,MATCH(D136,ListaRecetas,0)),"no existe"),IF(OR(AND(G136&lt;&gt;"",H136=0),AND(I136&lt;&gt;"",J136=0)),"Packaging sin precio","OK"))))</f>
        <v/>
      </c>
    </row>
    <row r="137" customFormat="false" ht="15" hidden="false" customHeight="false" outlineLevel="0" collapsed="false">
      <c r="A137" s="15"/>
      <c r="B137" s="15"/>
      <c r="C137" s="20" t="str">
        <f aca="false">IF(A137="","",A137&amp;" - "&amp;B137)</f>
        <v/>
      </c>
      <c r="D137" s="15"/>
      <c r="E137" s="27"/>
      <c r="F137" s="32" t="str">
        <f aca="true">IF(OR(D137="",E137=""),"",IF(IFERROR(INDEX(RecEstado,MATCH(D137,ListaRecetas,0)),"")&lt;&gt;"OK","",IFERROR(E137*INDEX(RecCostoU,MATCH(D137,ListaRecetas,0)),"")))</f>
        <v/>
      </c>
      <c r="G137" s="15"/>
      <c r="H137" s="32" t="n">
        <f aca="true">IF(G137="",0,IFERROR(INDEX(InsCosto,MATCH(G137,ListaInsumos,0))*1,0))</f>
        <v>0</v>
      </c>
      <c r="I137" s="15"/>
      <c r="J137" s="32" t="n">
        <f aca="true">IF(I137="",0,IFERROR(INDEX(InsCosto,MATCH(I137,ListaInsumos,0))*1,0))</f>
        <v>0</v>
      </c>
      <c r="K137" s="30" t="str">
        <f aca="false">IF(F137="","",(F137+H137+J137)*CFG_Indirectos)</f>
        <v/>
      </c>
      <c r="L137" s="33" t="str">
        <f aca="false">IF(F137="","",F137+H137+J137+K137)</f>
        <v/>
      </c>
      <c r="M137" s="36"/>
      <c r="N137" s="33" t="str">
        <f aca="false">IF(OR(L137="",L137=0,M137="",M137&gt;=1),"",IF(CFG_Redondeo&gt;0,CEILING(L137/(1-M137),CFG_Redondeo),L137/(1-M137)))</f>
        <v/>
      </c>
      <c r="O137" s="28"/>
      <c r="P137" s="30" t="str">
        <f aca="false">IF(OR(L137="",O137=""),"",O137-L137)</f>
        <v/>
      </c>
      <c r="Q137" s="35" t="str">
        <f aca="false">IF(OR(P137="",O137=0),"",P137/O137)</f>
        <v/>
      </c>
      <c r="R137" s="20" t="str">
        <f aca="true">IF(A137="","",IF(D137="","Falta elegir receta",IF(IFERROR(INDEX(RecEstado,MATCH(D137,ListaRecetas,0)),"Receta no existe")&lt;&gt;"OK","Receta: "&amp;IFERROR(INDEX(RecEstado,MATCH(D137,ListaRecetas,0)),"no existe"),IF(OR(AND(G137&lt;&gt;"",H137=0),AND(I137&lt;&gt;"",J137=0)),"Packaging sin precio","OK"))))</f>
        <v/>
      </c>
    </row>
    <row r="138" customFormat="false" ht="15" hidden="false" customHeight="false" outlineLevel="0" collapsed="false">
      <c r="A138" s="15"/>
      <c r="B138" s="15"/>
      <c r="C138" s="20" t="str">
        <f aca="false">IF(A138="","",A138&amp;" - "&amp;B138)</f>
        <v/>
      </c>
      <c r="D138" s="15"/>
      <c r="E138" s="27"/>
      <c r="F138" s="32" t="str">
        <f aca="true">IF(OR(D138="",E138=""),"",IF(IFERROR(INDEX(RecEstado,MATCH(D138,ListaRecetas,0)),"")&lt;&gt;"OK","",IFERROR(E138*INDEX(RecCostoU,MATCH(D138,ListaRecetas,0)),"")))</f>
        <v/>
      </c>
      <c r="G138" s="15"/>
      <c r="H138" s="32" t="n">
        <f aca="true">IF(G138="",0,IFERROR(INDEX(InsCosto,MATCH(G138,ListaInsumos,0))*1,0))</f>
        <v>0</v>
      </c>
      <c r="I138" s="15"/>
      <c r="J138" s="32" t="n">
        <f aca="true">IF(I138="",0,IFERROR(INDEX(InsCosto,MATCH(I138,ListaInsumos,0))*1,0))</f>
        <v>0</v>
      </c>
      <c r="K138" s="30" t="str">
        <f aca="false">IF(F138="","",(F138+H138+J138)*CFG_Indirectos)</f>
        <v/>
      </c>
      <c r="L138" s="33" t="str">
        <f aca="false">IF(F138="","",F138+H138+J138+K138)</f>
        <v/>
      </c>
      <c r="M138" s="36"/>
      <c r="N138" s="33" t="str">
        <f aca="false">IF(OR(L138="",L138=0,M138="",M138&gt;=1),"",IF(CFG_Redondeo&gt;0,CEILING(L138/(1-M138),CFG_Redondeo),L138/(1-M138)))</f>
        <v/>
      </c>
      <c r="O138" s="28"/>
      <c r="P138" s="30" t="str">
        <f aca="false">IF(OR(L138="",O138=""),"",O138-L138)</f>
        <v/>
      </c>
      <c r="Q138" s="35" t="str">
        <f aca="false">IF(OR(P138="",O138=0),"",P138/O138)</f>
        <v/>
      </c>
      <c r="R138" s="20" t="str">
        <f aca="true">IF(A138="","",IF(D138="","Falta elegir receta",IF(IFERROR(INDEX(RecEstado,MATCH(D138,ListaRecetas,0)),"Receta no existe")&lt;&gt;"OK","Receta: "&amp;IFERROR(INDEX(RecEstado,MATCH(D138,ListaRecetas,0)),"no existe"),IF(OR(AND(G138&lt;&gt;"",H138=0),AND(I138&lt;&gt;"",J138=0)),"Packaging sin precio","OK"))))</f>
        <v/>
      </c>
    </row>
    <row r="139" customFormat="false" ht="15" hidden="false" customHeight="false" outlineLevel="0" collapsed="false">
      <c r="A139" s="15"/>
      <c r="B139" s="15"/>
      <c r="C139" s="20" t="str">
        <f aca="false">IF(A139="","",A139&amp;" - "&amp;B139)</f>
        <v/>
      </c>
      <c r="D139" s="15"/>
      <c r="E139" s="27"/>
      <c r="F139" s="32" t="str">
        <f aca="true">IF(OR(D139="",E139=""),"",IF(IFERROR(INDEX(RecEstado,MATCH(D139,ListaRecetas,0)),"")&lt;&gt;"OK","",IFERROR(E139*INDEX(RecCostoU,MATCH(D139,ListaRecetas,0)),"")))</f>
        <v/>
      </c>
      <c r="G139" s="15"/>
      <c r="H139" s="32" t="n">
        <f aca="true">IF(G139="",0,IFERROR(INDEX(InsCosto,MATCH(G139,ListaInsumos,0))*1,0))</f>
        <v>0</v>
      </c>
      <c r="I139" s="15"/>
      <c r="J139" s="32" t="n">
        <f aca="true">IF(I139="",0,IFERROR(INDEX(InsCosto,MATCH(I139,ListaInsumos,0))*1,0))</f>
        <v>0</v>
      </c>
      <c r="K139" s="30" t="str">
        <f aca="false">IF(F139="","",(F139+H139+J139)*CFG_Indirectos)</f>
        <v/>
      </c>
      <c r="L139" s="33" t="str">
        <f aca="false">IF(F139="","",F139+H139+J139+K139)</f>
        <v/>
      </c>
      <c r="M139" s="36"/>
      <c r="N139" s="33" t="str">
        <f aca="false">IF(OR(L139="",L139=0,M139="",M139&gt;=1),"",IF(CFG_Redondeo&gt;0,CEILING(L139/(1-M139),CFG_Redondeo),L139/(1-M139)))</f>
        <v/>
      </c>
      <c r="O139" s="28"/>
      <c r="P139" s="30" t="str">
        <f aca="false">IF(OR(L139="",O139=""),"",O139-L139)</f>
        <v/>
      </c>
      <c r="Q139" s="35" t="str">
        <f aca="false">IF(OR(P139="",O139=0),"",P139/O139)</f>
        <v/>
      </c>
      <c r="R139" s="20" t="str">
        <f aca="true">IF(A139="","",IF(D139="","Falta elegir receta",IF(IFERROR(INDEX(RecEstado,MATCH(D139,ListaRecetas,0)),"Receta no existe")&lt;&gt;"OK","Receta: "&amp;IFERROR(INDEX(RecEstado,MATCH(D139,ListaRecetas,0)),"no existe"),IF(OR(AND(G139&lt;&gt;"",H139=0),AND(I139&lt;&gt;"",J139=0)),"Packaging sin precio","OK"))))</f>
        <v/>
      </c>
    </row>
    <row r="140" customFormat="false" ht="15" hidden="false" customHeight="false" outlineLevel="0" collapsed="false">
      <c r="A140" s="15"/>
      <c r="B140" s="15"/>
      <c r="C140" s="20" t="str">
        <f aca="false">IF(A140="","",A140&amp;" - "&amp;B140)</f>
        <v/>
      </c>
      <c r="D140" s="15"/>
      <c r="E140" s="27"/>
      <c r="F140" s="32" t="str">
        <f aca="true">IF(OR(D140="",E140=""),"",IF(IFERROR(INDEX(RecEstado,MATCH(D140,ListaRecetas,0)),"")&lt;&gt;"OK","",IFERROR(E140*INDEX(RecCostoU,MATCH(D140,ListaRecetas,0)),"")))</f>
        <v/>
      </c>
      <c r="G140" s="15"/>
      <c r="H140" s="32" t="n">
        <f aca="true">IF(G140="",0,IFERROR(INDEX(InsCosto,MATCH(G140,ListaInsumos,0))*1,0))</f>
        <v>0</v>
      </c>
      <c r="I140" s="15"/>
      <c r="J140" s="32" t="n">
        <f aca="true">IF(I140="",0,IFERROR(INDEX(InsCosto,MATCH(I140,ListaInsumos,0))*1,0))</f>
        <v>0</v>
      </c>
      <c r="K140" s="30" t="str">
        <f aca="false">IF(F140="","",(F140+H140+J140)*CFG_Indirectos)</f>
        <v/>
      </c>
      <c r="L140" s="33" t="str">
        <f aca="false">IF(F140="","",F140+H140+J140+K140)</f>
        <v/>
      </c>
      <c r="M140" s="36"/>
      <c r="N140" s="33" t="str">
        <f aca="false">IF(OR(L140="",L140=0,M140="",M140&gt;=1),"",IF(CFG_Redondeo&gt;0,CEILING(L140/(1-M140),CFG_Redondeo),L140/(1-M140)))</f>
        <v/>
      </c>
      <c r="O140" s="28"/>
      <c r="P140" s="30" t="str">
        <f aca="false">IF(OR(L140="",O140=""),"",O140-L140)</f>
        <v/>
      </c>
      <c r="Q140" s="35" t="str">
        <f aca="false">IF(OR(P140="",O140=0),"",P140/O140)</f>
        <v/>
      </c>
      <c r="R140" s="20" t="str">
        <f aca="true">IF(A140="","",IF(D140="","Falta elegir receta",IF(IFERROR(INDEX(RecEstado,MATCH(D140,ListaRecetas,0)),"Receta no existe")&lt;&gt;"OK","Receta: "&amp;IFERROR(INDEX(RecEstado,MATCH(D140,ListaRecetas,0)),"no existe"),IF(OR(AND(G140&lt;&gt;"",H140=0),AND(I140&lt;&gt;"",J140=0)),"Packaging sin precio","OK"))))</f>
        <v/>
      </c>
    </row>
    <row r="141" customFormat="false" ht="15" hidden="false" customHeight="false" outlineLevel="0" collapsed="false">
      <c r="A141" s="15"/>
      <c r="B141" s="15"/>
      <c r="C141" s="20" t="str">
        <f aca="false">IF(A141="","",A141&amp;" - "&amp;B141)</f>
        <v/>
      </c>
      <c r="D141" s="15"/>
      <c r="E141" s="27"/>
      <c r="F141" s="32" t="str">
        <f aca="true">IF(OR(D141="",E141=""),"",IF(IFERROR(INDEX(RecEstado,MATCH(D141,ListaRecetas,0)),"")&lt;&gt;"OK","",IFERROR(E141*INDEX(RecCostoU,MATCH(D141,ListaRecetas,0)),"")))</f>
        <v/>
      </c>
      <c r="G141" s="15"/>
      <c r="H141" s="32" t="n">
        <f aca="true">IF(G141="",0,IFERROR(INDEX(InsCosto,MATCH(G141,ListaInsumos,0))*1,0))</f>
        <v>0</v>
      </c>
      <c r="I141" s="15"/>
      <c r="J141" s="32" t="n">
        <f aca="true">IF(I141="",0,IFERROR(INDEX(InsCosto,MATCH(I141,ListaInsumos,0))*1,0))</f>
        <v>0</v>
      </c>
      <c r="K141" s="30" t="str">
        <f aca="false">IF(F141="","",(F141+H141+J141)*CFG_Indirectos)</f>
        <v/>
      </c>
      <c r="L141" s="33" t="str">
        <f aca="false">IF(F141="","",F141+H141+J141+K141)</f>
        <v/>
      </c>
      <c r="M141" s="36"/>
      <c r="N141" s="33" t="str">
        <f aca="false">IF(OR(L141="",L141=0,M141="",M141&gt;=1),"",IF(CFG_Redondeo&gt;0,CEILING(L141/(1-M141),CFG_Redondeo),L141/(1-M141)))</f>
        <v/>
      </c>
      <c r="O141" s="28"/>
      <c r="P141" s="30" t="str">
        <f aca="false">IF(OR(L141="",O141=""),"",O141-L141)</f>
        <v/>
      </c>
      <c r="Q141" s="35" t="str">
        <f aca="false">IF(OR(P141="",O141=0),"",P141/O141)</f>
        <v/>
      </c>
      <c r="R141" s="20" t="str">
        <f aca="true">IF(A141="","",IF(D141="","Falta elegir receta",IF(IFERROR(INDEX(RecEstado,MATCH(D141,ListaRecetas,0)),"Receta no existe")&lt;&gt;"OK","Receta: "&amp;IFERROR(INDEX(RecEstado,MATCH(D141,ListaRecetas,0)),"no existe"),IF(OR(AND(G141&lt;&gt;"",H141=0),AND(I141&lt;&gt;"",J141=0)),"Packaging sin precio","OK"))))</f>
        <v/>
      </c>
    </row>
    <row r="142" customFormat="false" ht="15" hidden="false" customHeight="false" outlineLevel="0" collapsed="false">
      <c r="A142" s="15"/>
      <c r="B142" s="15"/>
      <c r="C142" s="20" t="str">
        <f aca="false">IF(A142="","",A142&amp;" - "&amp;B142)</f>
        <v/>
      </c>
      <c r="D142" s="15"/>
      <c r="E142" s="27"/>
      <c r="F142" s="32" t="str">
        <f aca="true">IF(OR(D142="",E142=""),"",IF(IFERROR(INDEX(RecEstado,MATCH(D142,ListaRecetas,0)),"")&lt;&gt;"OK","",IFERROR(E142*INDEX(RecCostoU,MATCH(D142,ListaRecetas,0)),"")))</f>
        <v/>
      </c>
      <c r="G142" s="15"/>
      <c r="H142" s="32" t="n">
        <f aca="true">IF(G142="",0,IFERROR(INDEX(InsCosto,MATCH(G142,ListaInsumos,0))*1,0))</f>
        <v>0</v>
      </c>
      <c r="I142" s="15"/>
      <c r="J142" s="32" t="n">
        <f aca="true">IF(I142="",0,IFERROR(INDEX(InsCosto,MATCH(I142,ListaInsumos,0))*1,0))</f>
        <v>0</v>
      </c>
      <c r="K142" s="30" t="str">
        <f aca="false">IF(F142="","",(F142+H142+J142)*CFG_Indirectos)</f>
        <v/>
      </c>
      <c r="L142" s="33" t="str">
        <f aca="false">IF(F142="","",F142+H142+J142+K142)</f>
        <v/>
      </c>
      <c r="M142" s="36"/>
      <c r="N142" s="33" t="str">
        <f aca="false">IF(OR(L142="",L142=0,M142="",M142&gt;=1),"",IF(CFG_Redondeo&gt;0,CEILING(L142/(1-M142),CFG_Redondeo),L142/(1-M142)))</f>
        <v/>
      </c>
      <c r="O142" s="28"/>
      <c r="P142" s="30" t="str">
        <f aca="false">IF(OR(L142="",O142=""),"",O142-L142)</f>
        <v/>
      </c>
      <c r="Q142" s="35" t="str">
        <f aca="false">IF(OR(P142="",O142=0),"",P142/O142)</f>
        <v/>
      </c>
      <c r="R142" s="20" t="str">
        <f aca="true">IF(A142="","",IF(D142="","Falta elegir receta",IF(IFERROR(INDEX(RecEstado,MATCH(D142,ListaRecetas,0)),"Receta no existe")&lt;&gt;"OK","Receta: "&amp;IFERROR(INDEX(RecEstado,MATCH(D142,ListaRecetas,0)),"no existe"),IF(OR(AND(G142&lt;&gt;"",H142=0),AND(I142&lt;&gt;"",J142=0)),"Packaging sin precio","OK"))))</f>
        <v/>
      </c>
    </row>
    <row r="143" customFormat="false" ht="15" hidden="false" customHeight="false" outlineLevel="0" collapsed="false">
      <c r="A143" s="15"/>
      <c r="B143" s="15"/>
      <c r="C143" s="20" t="str">
        <f aca="false">IF(A143="","",A143&amp;" - "&amp;B143)</f>
        <v/>
      </c>
      <c r="D143" s="15"/>
      <c r="E143" s="27"/>
      <c r="F143" s="32" t="str">
        <f aca="true">IF(OR(D143="",E143=""),"",IF(IFERROR(INDEX(RecEstado,MATCH(D143,ListaRecetas,0)),"")&lt;&gt;"OK","",IFERROR(E143*INDEX(RecCostoU,MATCH(D143,ListaRecetas,0)),"")))</f>
        <v/>
      </c>
      <c r="G143" s="15"/>
      <c r="H143" s="32" t="n">
        <f aca="true">IF(G143="",0,IFERROR(INDEX(InsCosto,MATCH(G143,ListaInsumos,0))*1,0))</f>
        <v>0</v>
      </c>
      <c r="I143" s="15"/>
      <c r="J143" s="32" t="n">
        <f aca="true">IF(I143="",0,IFERROR(INDEX(InsCosto,MATCH(I143,ListaInsumos,0))*1,0))</f>
        <v>0</v>
      </c>
      <c r="K143" s="30" t="str">
        <f aca="false">IF(F143="","",(F143+H143+J143)*CFG_Indirectos)</f>
        <v/>
      </c>
      <c r="L143" s="33" t="str">
        <f aca="false">IF(F143="","",F143+H143+J143+K143)</f>
        <v/>
      </c>
      <c r="M143" s="36"/>
      <c r="N143" s="33" t="str">
        <f aca="false">IF(OR(L143="",L143=0,M143="",M143&gt;=1),"",IF(CFG_Redondeo&gt;0,CEILING(L143/(1-M143),CFG_Redondeo),L143/(1-M143)))</f>
        <v/>
      </c>
      <c r="O143" s="28"/>
      <c r="P143" s="30" t="str">
        <f aca="false">IF(OR(L143="",O143=""),"",O143-L143)</f>
        <v/>
      </c>
      <c r="Q143" s="35" t="str">
        <f aca="false">IF(OR(P143="",O143=0),"",P143/O143)</f>
        <v/>
      </c>
      <c r="R143" s="20" t="str">
        <f aca="true">IF(A143="","",IF(D143="","Falta elegir receta",IF(IFERROR(INDEX(RecEstado,MATCH(D143,ListaRecetas,0)),"Receta no existe")&lt;&gt;"OK","Receta: "&amp;IFERROR(INDEX(RecEstado,MATCH(D143,ListaRecetas,0)),"no existe"),IF(OR(AND(G143&lt;&gt;"",H143=0),AND(I143&lt;&gt;"",J143=0)),"Packaging sin precio","OK"))))</f>
        <v/>
      </c>
    </row>
    <row r="144" customFormat="false" ht="15" hidden="false" customHeight="false" outlineLevel="0" collapsed="false">
      <c r="A144" s="15"/>
      <c r="B144" s="15"/>
      <c r="C144" s="20" t="str">
        <f aca="false">IF(A144="","",A144&amp;" - "&amp;B144)</f>
        <v/>
      </c>
      <c r="D144" s="15"/>
      <c r="E144" s="27"/>
      <c r="F144" s="32" t="str">
        <f aca="true">IF(OR(D144="",E144=""),"",IF(IFERROR(INDEX(RecEstado,MATCH(D144,ListaRecetas,0)),"")&lt;&gt;"OK","",IFERROR(E144*INDEX(RecCostoU,MATCH(D144,ListaRecetas,0)),"")))</f>
        <v/>
      </c>
      <c r="G144" s="15"/>
      <c r="H144" s="32" t="n">
        <f aca="true">IF(G144="",0,IFERROR(INDEX(InsCosto,MATCH(G144,ListaInsumos,0))*1,0))</f>
        <v>0</v>
      </c>
      <c r="I144" s="15"/>
      <c r="J144" s="32" t="n">
        <f aca="true">IF(I144="",0,IFERROR(INDEX(InsCosto,MATCH(I144,ListaInsumos,0))*1,0))</f>
        <v>0</v>
      </c>
      <c r="K144" s="30" t="str">
        <f aca="false">IF(F144="","",(F144+H144+J144)*CFG_Indirectos)</f>
        <v/>
      </c>
      <c r="L144" s="33" t="str">
        <f aca="false">IF(F144="","",F144+H144+J144+K144)</f>
        <v/>
      </c>
      <c r="M144" s="36"/>
      <c r="N144" s="33" t="str">
        <f aca="false">IF(OR(L144="",L144=0,M144="",M144&gt;=1),"",IF(CFG_Redondeo&gt;0,CEILING(L144/(1-M144),CFG_Redondeo),L144/(1-M144)))</f>
        <v/>
      </c>
      <c r="O144" s="28"/>
      <c r="P144" s="30" t="str">
        <f aca="false">IF(OR(L144="",O144=""),"",O144-L144)</f>
        <v/>
      </c>
      <c r="Q144" s="35" t="str">
        <f aca="false">IF(OR(P144="",O144=0),"",P144/O144)</f>
        <v/>
      </c>
      <c r="R144" s="20" t="str">
        <f aca="true">IF(A144="","",IF(D144="","Falta elegir receta",IF(IFERROR(INDEX(RecEstado,MATCH(D144,ListaRecetas,0)),"Receta no existe")&lt;&gt;"OK","Receta: "&amp;IFERROR(INDEX(RecEstado,MATCH(D144,ListaRecetas,0)),"no existe"),IF(OR(AND(G144&lt;&gt;"",H144=0),AND(I144&lt;&gt;"",J144=0)),"Packaging sin precio","OK"))))</f>
        <v/>
      </c>
    </row>
    <row r="145" customFormat="false" ht="15" hidden="false" customHeight="false" outlineLevel="0" collapsed="false">
      <c r="A145" s="15"/>
      <c r="B145" s="15"/>
      <c r="C145" s="20" t="str">
        <f aca="false">IF(A145="","",A145&amp;" - "&amp;B145)</f>
        <v/>
      </c>
      <c r="D145" s="15"/>
      <c r="E145" s="27"/>
      <c r="F145" s="32" t="str">
        <f aca="true">IF(OR(D145="",E145=""),"",IF(IFERROR(INDEX(RecEstado,MATCH(D145,ListaRecetas,0)),"")&lt;&gt;"OK","",IFERROR(E145*INDEX(RecCostoU,MATCH(D145,ListaRecetas,0)),"")))</f>
        <v/>
      </c>
      <c r="G145" s="15"/>
      <c r="H145" s="32" t="n">
        <f aca="true">IF(G145="",0,IFERROR(INDEX(InsCosto,MATCH(G145,ListaInsumos,0))*1,0))</f>
        <v>0</v>
      </c>
      <c r="I145" s="15"/>
      <c r="J145" s="32" t="n">
        <f aca="true">IF(I145="",0,IFERROR(INDEX(InsCosto,MATCH(I145,ListaInsumos,0))*1,0))</f>
        <v>0</v>
      </c>
      <c r="K145" s="30" t="str">
        <f aca="false">IF(F145="","",(F145+H145+J145)*CFG_Indirectos)</f>
        <v/>
      </c>
      <c r="L145" s="33" t="str">
        <f aca="false">IF(F145="","",F145+H145+J145+K145)</f>
        <v/>
      </c>
      <c r="M145" s="36"/>
      <c r="N145" s="33" t="str">
        <f aca="false">IF(OR(L145="",L145=0,M145="",M145&gt;=1),"",IF(CFG_Redondeo&gt;0,CEILING(L145/(1-M145),CFG_Redondeo),L145/(1-M145)))</f>
        <v/>
      </c>
      <c r="O145" s="28"/>
      <c r="P145" s="30" t="str">
        <f aca="false">IF(OR(L145="",O145=""),"",O145-L145)</f>
        <v/>
      </c>
      <c r="Q145" s="35" t="str">
        <f aca="false">IF(OR(P145="",O145=0),"",P145/O145)</f>
        <v/>
      </c>
      <c r="R145" s="20" t="str">
        <f aca="true">IF(A145="","",IF(D145="","Falta elegir receta",IF(IFERROR(INDEX(RecEstado,MATCH(D145,ListaRecetas,0)),"Receta no existe")&lt;&gt;"OK","Receta: "&amp;IFERROR(INDEX(RecEstado,MATCH(D145,ListaRecetas,0)),"no existe"),IF(OR(AND(G145&lt;&gt;"",H145=0),AND(I145&lt;&gt;"",J145=0)),"Packaging sin precio","OK"))))</f>
        <v/>
      </c>
    </row>
    <row r="146" customFormat="false" ht="15" hidden="false" customHeight="false" outlineLevel="0" collapsed="false">
      <c r="A146" s="15"/>
      <c r="B146" s="15"/>
      <c r="C146" s="20" t="str">
        <f aca="false">IF(A146="","",A146&amp;" - "&amp;B146)</f>
        <v/>
      </c>
      <c r="D146" s="15"/>
      <c r="E146" s="27"/>
      <c r="F146" s="32" t="str">
        <f aca="true">IF(OR(D146="",E146=""),"",IF(IFERROR(INDEX(RecEstado,MATCH(D146,ListaRecetas,0)),"")&lt;&gt;"OK","",IFERROR(E146*INDEX(RecCostoU,MATCH(D146,ListaRecetas,0)),"")))</f>
        <v/>
      </c>
      <c r="G146" s="15"/>
      <c r="H146" s="32" t="n">
        <f aca="true">IF(G146="",0,IFERROR(INDEX(InsCosto,MATCH(G146,ListaInsumos,0))*1,0))</f>
        <v>0</v>
      </c>
      <c r="I146" s="15"/>
      <c r="J146" s="32" t="n">
        <f aca="true">IF(I146="",0,IFERROR(INDEX(InsCosto,MATCH(I146,ListaInsumos,0))*1,0))</f>
        <v>0</v>
      </c>
      <c r="K146" s="30" t="str">
        <f aca="false">IF(F146="","",(F146+H146+J146)*CFG_Indirectos)</f>
        <v/>
      </c>
      <c r="L146" s="33" t="str">
        <f aca="false">IF(F146="","",F146+H146+J146+K146)</f>
        <v/>
      </c>
      <c r="M146" s="36"/>
      <c r="N146" s="33" t="str">
        <f aca="false">IF(OR(L146="",L146=0,M146="",M146&gt;=1),"",IF(CFG_Redondeo&gt;0,CEILING(L146/(1-M146),CFG_Redondeo),L146/(1-M146)))</f>
        <v/>
      </c>
      <c r="O146" s="28"/>
      <c r="P146" s="30" t="str">
        <f aca="false">IF(OR(L146="",O146=""),"",O146-L146)</f>
        <v/>
      </c>
      <c r="Q146" s="35" t="str">
        <f aca="false">IF(OR(P146="",O146=0),"",P146/O146)</f>
        <v/>
      </c>
      <c r="R146" s="20" t="str">
        <f aca="true">IF(A146="","",IF(D146="","Falta elegir receta",IF(IFERROR(INDEX(RecEstado,MATCH(D146,ListaRecetas,0)),"Receta no existe")&lt;&gt;"OK","Receta: "&amp;IFERROR(INDEX(RecEstado,MATCH(D146,ListaRecetas,0)),"no existe"),IF(OR(AND(G146&lt;&gt;"",H146=0),AND(I146&lt;&gt;"",J146=0)),"Packaging sin precio","OK"))))</f>
        <v/>
      </c>
    </row>
    <row r="147" customFormat="false" ht="15" hidden="false" customHeight="false" outlineLevel="0" collapsed="false">
      <c r="A147" s="15"/>
      <c r="B147" s="15"/>
      <c r="C147" s="20" t="str">
        <f aca="false">IF(A147="","",A147&amp;" - "&amp;B147)</f>
        <v/>
      </c>
      <c r="D147" s="15"/>
      <c r="E147" s="27"/>
      <c r="F147" s="32" t="str">
        <f aca="true">IF(OR(D147="",E147=""),"",IF(IFERROR(INDEX(RecEstado,MATCH(D147,ListaRecetas,0)),"")&lt;&gt;"OK","",IFERROR(E147*INDEX(RecCostoU,MATCH(D147,ListaRecetas,0)),"")))</f>
        <v/>
      </c>
      <c r="G147" s="15"/>
      <c r="H147" s="32" t="n">
        <f aca="true">IF(G147="",0,IFERROR(INDEX(InsCosto,MATCH(G147,ListaInsumos,0))*1,0))</f>
        <v>0</v>
      </c>
      <c r="I147" s="15"/>
      <c r="J147" s="32" t="n">
        <f aca="true">IF(I147="",0,IFERROR(INDEX(InsCosto,MATCH(I147,ListaInsumos,0))*1,0))</f>
        <v>0</v>
      </c>
      <c r="K147" s="30" t="str">
        <f aca="false">IF(F147="","",(F147+H147+J147)*CFG_Indirectos)</f>
        <v/>
      </c>
      <c r="L147" s="33" t="str">
        <f aca="false">IF(F147="","",F147+H147+J147+K147)</f>
        <v/>
      </c>
      <c r="M147" s="36"/>
      <c r="N147" s="33" t="str">
        <f aca="false">IF(OR(L147="",L147=0,M147="",M147&gt;=1),"",IF(CFG_Redondeo&gt;0,CEILING(L147/(1-M147),CFG_Redondeo),L147/(1-M147)))</f>
        <v/>
      </c>
      <c r="O147" s="28"/>
      <c r="P147" s="30" t="str">
        <f aca="false">IF(OR(L147="",O147=""),"",O147-L147)</f>
        <v/>
      </c>
      <c r="Q147" s="35" t="str">
        <f aca="false">IF(OR(P147="",O147=0),"",P147/O147)</f>
        <v/>
      </c>
      <c r="R147" s="20" t="str">
        <f aca="true">IF(A147="","",IF(D147="","Falta elegir receta",IF(IFERROR(INDEX(RecEstado,MATCH(D147,ListaRecetas,0)),"Receta no existe")&lt;&gt;"OK","Receta: "&amp;IFERROR(INDEX(RecEstado,MATCH(D147,ListaRecetas,0)),"no existe"),IF(OR(AND(G147&lt;&gt;"",H147=0),AND(I147&lt;&gt;"",J147=0)),"Packaging sin precio","OK"))))</f>
        <v/>
      </c>
    </row>
    <row r="148" customFormat="false" ht="15" hidden="false" customHeight="false" outlineLevel="0" collapsed="false">
      <c r="A148" s="15"/>
      <c r="B148" s="15"/>
      <c r="C148" s="20" t="str">
        <f aca="false">IF(A148="","",A148&amp;" - "&amp;B148)</f>
        <v/>
      </c>
      <c r="D148" s="15"/>
      <c r="E148" s="27"/>
      <c r="F148" s="32" t="str">
        <f aca="true">IF(OR(D148="",E148=""),"",IF(IFERROR(INDEX(RecEstado,MATCH(D148,ListaRecetas,0)),"")&lt;&gt;"OK","",IFERROR(E148*INDEX(RecCostoU,MATCH(D148,ListaRecetas,0)),"")))</f>
        <v/>
      </c>
      <c r="G148" s="15"/>
      <c r="H148" s="32" t="n">
        <f aca="true">IF(G148="",0,IFERROR(INDEX(InsCosto,MATCH(G148,ListaInsumos,0))*1,0))</f>
        <v>0</v>
      </c>
      <c r="I148" s="15"/>
      <c r="J148" s="32" t="n">
        <f aca="true">IF(I148="",0,IFERROR(INDEX(InsCosto,MATCH(I148,ListaInsumos,0))*1,0))</f>
        <v>0</v>
      </c>
      <c r="K148" s="30" t="str">
        <f aca="false">IF(F148="","",(F148+H148+J148)*CFG_Indirectos)</f>
        <v/>
      </c>
      <c r="L148" s="33" t="str">
        <f aca="false">IF(F148="","",F148+H148+J148+K148)</f>
        <v/>
      </c>
      <c r="M148" s="36"/>
      <c r="N148" s="33" t="str">
        <f aca="false">IF(OR(L148="",L148=0,M148="",M148&gt;=1),"",IF(CFG_Redondeo&gt;0,CEILING(L148/(1-M148),CFG_Redondeo),L148/(1-M148)))</f>
        <v/>
      </c>
      <c r="O148" s="28"/>
      <c r="P148" s="30" t="str">
        <f aca="false">IF(OR(L148="",O148=""),"",O148-L148)</f>
        <v/>
      </c>
      <c r="Q148" s="35" t="str">
        <f aca="false">IF(OR(P148="",O148=0),"",P148/O148)</f>
        <v/>
      </c>
      <c r="R148" s="20" t="str">
        <f aca="true">IF(A148="","",IF(D148="","Falta elegir receta",IF(IFERROR(INDEX(RecEstado,MATCH(D148,ListaRecetas,0)),"Receta no existe")&lt;&gt;"OK","Receta: "&amp;IFERROR(INDEX(RecEstado,MATCH(D148,ListaRecetas,0)),"no existe"),IF(OR(AND(G148&lt;&gt;"",H148=0),AND(I148&lt;&gt;"",J148=0)),"Packaging sin precio","OK"))))</f>
        <v/>
      </c>
    </row>
    <row r="149" customFormat="false" ht="15" hidden="false" customHeight="false" outlineLevel="0" collapsed="false">
      <c r="A149" s="15"/>
      <c r="B149" s="15"/>
      <c r="C149" s="20" t="str">
        <f aca="false">IF(A149="","",A149&amp;" - "&amp;B149)</f>
        <v/>
      </c>
      <c r="D149" s="15"/>
      <c r="E149" s="27"/>
      <c r="F149" s="32" t="str">
        <f aca="true">IF(OR(D149="",E149=""),"",IF(IFERROR(INDEX(RecEstado,MATCH(D149,ListaRecetas,0)),"")&lt;&gt;"OK","",IFERROR(E149*INDEX(RecCostoU,MATCH(D149,ListaRecetas,0)),"")))</f>
        <v/>
      </c>
      <c r="G149" s="15"/>
      <c r="H149" s="32" t="n">
        <f aca="true">IF(G149="",0,IFERROR(INDEX(InsCosto,MATCH(G149,ListaInsumos,0))*1,0))</f>
        <v>0</v>
      </c>
      <c r="I149" s="15"/>
      <c r="J149" s="32" t="n">
        <f aca="true">IF(I149="",0,IFERROR(INDEX(InsCosto,MATCH(I149,ListaInsumos,0))*1,0))</f>
        <v>0</v>
      </c>
      <c r="K149" s="30" t="str">
        <f aca="false">IF(F149="","",(F149+H149+J149)*CFG_Indirectos)</f>
        <v/>
      </c>
      <c r="L149" s="33" t="str">
        <f aca="false">IF(F149="","",F149+H149+J149+K149)</f>
        <v/>
      </c>
      <c r="M149" s="36"/>
      <c r="N149" s="33" t="str">
        <f aca="false">IF(OR(L149="",L149=0,M149="",M149&gt;=1),"",IF(CFG_Redondeo&gt;0,CEILING(L149/(1-M149),CFG_Redondeo),L149/(1-M149)))</f>
        <v/>
      </c>
      <c r="O149" s="28"/>
      <c r="P149" s="30" t="str">
        <f aca="false">IF(OR(L149="",O149=""),"",O149-L149)</f>
        <v/>
      </c>
      <c r="Q149" s="35" t="str">
        <f aca="false">IF(OR(P149="",O149=0),"",P149/O149)</f>
        <v/>
      </c>
      <c r="R149" s="20" t="str">
        <f aca="true">IF(A149="","",IF(D149="","Falta elegir receta",IF(IFERROR(INDEX(RecEstado,MATCH(D149,ListaRecetas,0)),"Receta no existe")&lt;&gt;"OK","Receta: "&amp;IFERROR(INDEX(RecEstado,MATCH(D149,ListaRecetas,0)),"no existe"),IF(OR(AND(G149&lt;&gt;"",H149=0),AND(I149&lt;&gt;"",J149=0)),"Packaging sin precio","OK"))))</f>
        <v/>
      </c>
    </row>
    <row r="150" customFormat="false" ht="15" hidden="false" customHeight="false" outlineLevel="0" collapsed="false">
      <c r="A150" s="15"/>
      <c r="B150" s="15"/>
      <c r="C150" s="20" t="str">
        <f aca="false">IF(A150="","",A150&amp;" - "&amp;B150)</f>
        <v/>
      </c>
      <c r="D150" s="15"/>
      <c r="E150" s="27"/>
      <c r="F150" s="32" t="str">
        <f aca="true">IF(OR(D150="",E150=""),"",IF(IFERROR(INDEX(RecEstado,MATCH(D150,ListaRecetas,0)),"")&lt;&gt;"OK","",IFERROR(E150*INDEX(RecCostoU,MATCH(D150,ListaRecetas,0)),"")))</f>
        <v/>
      </c>
      <c r="G150" s="15"/>
      <c r="H150" s="32" t="n">
        <f aca="true">IF(G150="",0,IFERROR(INDEX(InsCosto,MATCH(G150,ListaInsumos,0))*1,0))</f>
        <v>0</v>
      </c>
      <c r="I150" s="15"/>
      <c r="J150" s="32" t="n">
        <f aca="true">IF(I150="",0,IFERROR(INDEX(InsCosto,MATCH(I150,ListaInsumos,0))*1,0))</f>
        <v>0</v>
      </c>
      <c r="K150" s="30" t="str">
        <f aca="false">IF(F150="","",(F150+H150+J150)*CFG_Indirectos)</f>
        <v/>
      </c>
      <c r="L150" s="33" t="str">
        <f aca="false">IF(F150="","",F150+H150+J150+K150)</f>
        <v/>
      </c>
      <c r="M150" s="36"/>
      <c r="N150" s="33" t="str">
        <f aca="false">IF(OR(L150="",L150=0,M150="",M150&gt;=1),"",IF(CFG_Redondeo&gt;0,CEILING(L150/(1-M150),CFG_Redondeo),L150/(1-M150)))</f>
        <v/>
      </c>
      <c r="O150" s="28"/>
      <c r="P150" s="30" t="str">
        <f aca="false">IF(OR(L150="",O150=""),"",O150-L150)</f>
        <v/>
      </c>
      <c r="Q150" s="35" t="str">
        <f aca="false">IF(OR(P150="",O150=0),"",P150/O150)</f>
        <v/>
      </c>
      <c r="R150" s="20" t="str">
        <f aca="true">IF(A150="","",IF(D150="","Falta elegir receta",IF(IFERROR(INDEX(RecEstado,MATCH(D150,ListaRecetas,0)),"Receta no existe")&lt;&gt;"OK","Receta: "&amp;IFERROR(INDEX(RecEstado,MATCH(D150,ListaRecetas,0)),"no existe"),IF(OR(AND(G150&lt;&gt;"",H150=0),AND(I150&lt;&gt;"",J150=0)),"Packaging sin precio","OK"))))</f>
        <v/>
      </c>
    </row>
  </sheetData>
  <conditionalFormatting sqref="Q5:Q150">
    <cfRule type="expression" priority="2" aboveAverage="0" equalAverage="0" bottom="0" percent="0" rank="0" text="" dxfId="0">
      <formula>AND(ISNUMBER(Q5),Q5&lt;M5)</formula>
    </cfRule>
    <cfRule type="expression" priority="3" aboveAverage="0" equalAverage="0" bottom="0" percent="0" rank="0" text="" dxfId="1">
      <formula>AND(ISNUMBER(Q5),Q5&gt;=M5)</formula>
    </cfRule>
  </conditionalFormatting>
  <conditionalFormatting sqref="R5:R150">
    <cfRule type="expression" priority="4" aboveAverage="0" equalAverage="0" bottom="0" percent="0" rank="0" text="" dxfId="2">
      <formula>AND(R5&lt;&gt;"",R5&lt;&gt;"OK")</formula>
    </cfRule>
  </conditionalFormatting>
  <dataValidations count="3">
    <dataValidation allowBlank="true" error="Elegí un valor de la lista desplegable." errorStyle="stop" errorTitle="Valor no válido" operator="between" showDropDown="false" showErrorMessage="false" showInputMessage="false" sqref="D5:D150" type="list">
      <formula1>ListaRecetas</formula1>
      <formula2>0</formula2>
    </dataValidation>
    <dataValidation allowBlank="true" error="Elegí un valor de la lista desplegable." errorStyle="stop" errorTitle="Valor no válido" operator="between" showDropDown="false" showErrorMessage="false" showInputMessage="false" sqref="G5:G150" type="list">
      <formula1>ListaInsumos</formula1>
      <formula2>0</formula2>
    </dataValidation>
    <dataValidation allowBlank="true" error="Elegí un valor de la lista desplegable." errorStyle="stop" errorTitle="Valor no válido" operator="between" showDropDown="false" showErrorMessage="false" showInputMessage="false" sqref="I5:I150" type="list">
      <formula1>ListaInsumos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7027"/>
    <pageSetUpPr fitToPage="false"/>
  </sheetPr>
  <dimension ref="A1:Q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30"/>
  </cols>
  <sheetData>
    <row r="1" customFormat="false" ht="19.7" hidden="false" customHeight="false" outlineLevel="0" collapsed="false">
      <c r="A1" s="12" t="s">
        <v>183</v>
      </c>
    </row>
    <row r="2" customFormat="false" ht="15" hidden="false" customHeight="false" outlineLevel="0" collapsed="false">
      <c r="A2" s="13" t="s">
        <v>184</v>
      </c>
    </row>
    <row r="4" customFormat="false" ht="42" hidden="false" customHeight="true" outlineLevel="0" collapsed="false">
      <c r="A4" s="14" t="s">
        <v>185</v>
      </c>
      <c r="B4" s="14" t="s">
        <v>186</v>
      </c>
      <c r="C4" s="14" t="s">
        <v>125</v>
      </c>
      <c r="D4" s="14" t="s">
        <v>187</v>
      </c>
      <c r="E4" s="14" t="s">
        <v>188</v>
      </c>
      <c r="F4" s="14" t="s">
        <v>189</v>
      </c>
      <c r="H4" s="37" t="s">
        <v>185</v>
      </c>
      <c r="I4" s="37" t="s">
        <v>190</v>
      </c>
      <c r="J4" s="37" t="s">
        <v>191</v>
      </c>
      <c r="K4" s="37" t="s">
        <v>165</v>
      </c>
      <c r="L4" s="37" t="s">
        <v>192</v>
      </c>
      <c r="M4" s="37" t="s">
        <v>193</v>
      </c>
      <c r="N4" s="37" t="s">
        <v>170</v>
      </c>
      <c r="O4" s="37" t="s">
        <v>194</v>
      </c>
      <c r="P4" s="37" t="s">
        <v>195</v>
      </c>
      <c r="Q4" s="37" t="s">
        <v>51</v>
      </c>
    </row>
    <row r="5" customFormat="false" ht="15" hidden="false" customHeight="false" outlineLevel="0" collapsed="false">
      <c r="A5" s="15" t="s">
        <v>196</v>
      </c>
      <c r="B5" s="15" t="s">
        <v>197</v>
      </c>
      <c r="C5" s="27" t="n">
        <v>1</v>
      </c>
      <c r="D5" s="32" t="str">
        <f aca="true">IF(B5="","",IFERROR(INDEX(ProdCosto,MATCH(B5,ListaProductos,0))*1,""))</f>
        <v/>
      </c>
      <c r="E5" s="30" t="str">
        <f aca="false">IF(OR(B5="",D5=""),"",C5*D5)</f>
        <v/>
      </c>
      <c r="F5" s="30" t="n">
        <f aca="true">IF(B5="","",C5*IFERROR(INDEX(ProdPrecio,MATCH(B5,ListaProductos,0))*1,0))</f>
        <v>4000</v>
      </c>
      <c r="H5" s="38" t="s">
        <v>196</v>
      </c>
      <c r="I5" s="39" t="str">
        <f aca="false">IF(OR(H5="",Q5&lt;&gt;"OK"),"",SUMIFS($E$5:$E$200,$A$5:$A$200,H5))</f>
        <v/>
      </c>
      <c r="J5" s="40"/>
      <c r="K5" s="39" t="str">
        <f aca="false">IF(I5="","",I5+J5)</f>
        <v/>
      </c>
      <c r="L5" s="40" t="n">
        <v>29800</v>
      </c>
      <c r="M5" s="39" t="str">
        <f aca="false">IF(OR(K5="",L5=""),"",L5-K5)</f>
        <v/>
      </c>
      <c r="N5" s="41" t="str">
        <f aca="false">IF(OR(M5="",L5=0),"",M5/L5)</f>
        <v/>
      </c>
      <c r="O5" s="39" t="n">
        <f aca="false">IF(H5="","",SUMIFS($F$5:$F$200,$A$5:$A$200,H5))</f>
        <v>31500</v>
      </c>
      <c r="P5" s="41" t="n">
        <f aca="false">IF(OR(O5="",O5=0,L5=""),"",1-L5/O5)</f>
        <v>0.053968253968254</v>
      </c>
      <c r="Q5" s="42" t="str">
        <f aca="false">IF(H5="","",IF(COUNTIFS($A$5:$A$200,H5)=0,"Sin productos cargados",IF(COUNTIFS($A$5:$A$200,H5)-COUNTIFS($A$5:$A$200,H5,$E$5:$E$200,"&gt;=0")&gt;0,"Faltan costos de "&amp;(COUNTIFS($A$5:$A$200,H5)-COUNTIFS($A$5:$A$200,H5,$E$5:$E$200,"&gt;=0"))&amp;" producto(s)","OK")))</f>
        <v>Faltan costos de 10 producto(s)</v>
      </c>
    </row>
    <row r="6" customFormat="false" ht="15" hidden="false" customHeight="false" outlineLevel="0" collapsed="false">
      <c r="A6" s="15" t="s">
        <v>196</v>
      </c>
      <c r="B6" s="15" t="s">
        <v>198</v>
      </c>
      <c r="C6" s="27" t="n">
        <v>1</v>
      </c>
      <c r="D6" s="32" t="str">
        <f aca="true">IF(B6="","",IFERROR(INDEX(ProdCosto,MATCH(B6,ListaProductos,0))*1,""))</f>
        <v/>
      </c>
      <c r="E6" s="30" t="str">
        <f aca="false">IF(OR(B6="",D6=""),"",C6*D6)</f>
        <v/>
      </c>
      <c r="F6" s="30" t="n">
        <f aca="true">IF(B6="","",C6*IFERROR(INDEX(ProdPrecio,MATCH(B6,ListaProductos,0))*1,0))</f>
        <v>3000</v>
      </c>
      <c r="H6" s="38" t="s">
        <v>199</v>
      </c>
      <c r="I6" s="39" t="str">
        <f aca="false">IF(OR(H6="",Q6&lt;&gt;"OK"),"",SUMIFS($E$5:$E$200,$A$5:$A$200,H6))</f>
        <v/>
      </c>
      <c r="J6" s="40"/>
      <c r="K6" s="39" t="str">
        <f aca="false">IF(I6="","",I6+J6)</f>
        <v/>
      </c>
      <c r="L6" s="40" t="n">
        <v>15000</v>
      </c>
      <c r="M6" s="39" t="str">
        <f aca="false">IF(OR(K6="",L6=""),"",L6-K6)</f>
        <v/>
      </c>
      <c r="N6" s="41" t="str">
        <f aca="false">IF(OR(M6="",L6=0),"",M6/L6)</f>
        <v/>
      </c>
      <c r="O6" s="39" t="n">
        <f aca="false">IF(H6="","",SUMIFS($F$5:$F$200,$A$5:$A$200,H6))</f>
        <v>13000</v>
      </c>
      <c r="P6" s="41" t="n">
        <f aca="false">IF(OR(O6="",O6=0,L6=""),"",1-L6/O6)</f>
        <v>-0.153846153846154</v>
      </c>
      <c r="Q6" s="42" t="str">
        <f aca="false">IF(H6="","",IF(COUNTIFS($A$5:$A$200,H6)=0,"Sin productos cargados",IF(COUNTIFS($A$5:$A$200,H6)-COUNTIFS($A$5:$A$200,H6,$E$5:$E$200,"&gt;=0")&gt;0,"Faltan costos de "&amp;(COUNTIFS($A$5:$A$200,H6)-COUNTIFS($A$5:$A$200,H6,$E$5:$E$200,"&gt;=0"))&amp;" producto(s)","OK")))</f>
        <v>Faltan costos de 5 producto(s)</v>
      </c>
    </row>
    <row r="7" customFormat="false" ht="15" hidden="false" customHeight="false" outlineLevel="0" collapsed="false">
      <c r="A7" s="15" t="s">
        <v>196</v>
      </c>
      <c r="B7" s="15" t="s">
        <v>200</v>
      </c>
      <c r="C7" s="27" t="n">
        <v>1</v>
      </c>
      <c r="D7" s="32" t="str">
        <f aca="true">IF(B7="","",IFERROR(INDEX(ProdCosto,MATCH(B7,ListaProductos,0))*1,""))</f>
        <v/>
      </c>
      <c r="E7" s="30" t="str">
        <f aca="false">IF(OR(B7="",D7=""),"",C7*D7)</f>
        <v/>
      </c>
      <c r="F7" s="30" t="n">
        <f aca="true">IF(B7="","",C7*IFERROR(INDEX(ProdPrecio,MATCH(B7,ListaProductos,0))*1,0))</f>
        <v>4000</v>
      </c>
      <c r="H7" s="38"/>
      <c r="I7" s="39" t="str">
        <f aca="false">IF(OR(H7="",Q7&lt;&gt;"OK"),"",SUMIFS($E$5:$E$200,$A$5:$A$200,H7))</f>
        <v/>
      </c>
      <c r="J7" s="40"/>
      <c r="K7" s="39" t="str">
        <f aca="false">IF(I7="","",I7+J7)</f>
        <v/>
      </c>
      <c r="L7" s="40"/>
      <c r="M7" s="39" t="str">
        <f aca="false">IF(OR(K7="",L7=""),"",L7-K7)</f>
        <v/>
      </c>
      <c r="N7" s="41" t="str">
        <f aca="false">IF(OR(M7="",L7=0),"",M7/L7)</f>
        <v/>
      </c>
      <c r="O7" s="39" t="str">
        <f aca="false">IF(H7="","",SUMIFS($F$5:$F$200,$A$5:$A$200,H7))</f>
        <v/>
      </c>
      <c r="P7" s="41" t="str">
        <f aca="false">IF(OR(O7="",O7=0,L7=""),"",1-L7/O7)</f>
        <v/>
      </c>
      <c r="Q7" s="42" t="str">
        <f aca="false">IF(H7="","",IF(COUNTIFS($A$5:$A$200,H7)=0,"Sin productos cargados",IF(COUNTIFS($A$5:$A$200,H7)-COUNTIFS($A$5:$A$200,H7,$E$5:$E$200,"&gt;=0")&gt;0,"Faltan costos de "&amp;(COUNTIFS($A$5:$A$200,H7)-COUNTIFS($A$5:$A$200,H7,$E$5:$E$200,"&gt;=0"))&amp;" producto(s)","OK")))</f>
        <v/>
      </c>
    </row>
    <row r="8" customFormat="false" ht="15" hidden="false" customHeight="false" outlineLevel="0" collapsed="false">
      <c r="A8" s="15" t="s">
        <v>196</v>
      </c>
      <c r="B8" s="15" t="s">
        <v>201</v>
      </c>
      <c r="C8" s="27" t="n">
        <v>1</v>
      </c>
      <c r="D8" s="32" t="str">
        <f aca="true">IF(B8="","",IFERROR(INDEX(ProdCosto,MATCH(B8,ListaProductos,0))*1,""))</f>
        <v/>
      </c>
      <c r="E8" s="30" t="str">
        <f aca="false">IF(OR(B8="",D8=""),"",C8*D8)</f>
        <v/>
      </c>
      <c r="F8" s="30" t="n">
        <f aca="true">IF(B8="","",C8*IFERROR(INDEX(ProdPrecio,MATCH(B8,ListaProductos,0))*1,0))</f>
        <v>2500</v>
      </c>
      <c r="H8" s="38"/>
      <c r="I8" s="39" t="str">
        <f aca="false">IF(OR(H8="",Q8&lt;&gt;"OK"),"",SUMIFS($E$5:$E$200,$A$5:$A$200,H8))</f>
        <v/>
      </c>
      <c r="J8" s="40"/>
      <c r="K8" s="39" t="str">
        <f aca="false">IF(I8="","",I8+J8)</f>
        <v/>
      </c>
      <c r="L8" s="40"/>
      <c r="M8" s="39" t="str">
        <f aca="false">IF(OR(K8="",L8=""),"",L8-K8)</f>
        <v/>
      </c>
      <c r="N8" s="41" t="str">
        <f aca="false">IF(OR(M8="",L8=0),"",M8/L8)</f>
        <v/>
      </c>
      <c r="O8" s="39" t="str">
        <f aca="false">IF(H8="","",SUMIFS($F$5:$F$200,$A$5:$A$200,H8))</f>
        <v/>
      </c>
      <c r="P8" s="41" t="str">
        <f aca="false">IF(OR(O8="",O8=0,L8=""),"",1-L8/O8)</f>
        <v/>
      </c>
      <c r="Q8" s="42" t="str">
        <f aca="false">IF(H8="","",IF(COUNTIFS($A$5:$A$200,H8)=0,"Sin productos cargados",IF(COUNTIFS($A$5:$A$200,H8)-COUNTIFS($A$5:$A$200,H8,$E$5:$E$200,"&gt;=0")&gt;0,"Faltan costos de "&amp;(COUNTIFS($A$5:$A$200,H8)-COUNTIFS($A$5:$A$200,H8,$E$5:$E$200,"&gt;=0"))&amp;" producto(s)","OK")))</f>
        <v/>
      </c>
    </row>
    <row r="9" customFormat="false" ht="15" hidden="false" customHeight="false" outlineLevel="0" collapsed="false">
      <c r="A9" s="15" t="s">
        <v>196</v>
      </c>
      <c r="B9" s="15" t="s">
        <v>202</v>
      </c>
      <c r="C9" s="27" t="n">
        <v>1</v>
      </c>
      <c r="D9" s="32" t="n">
        <f aca="true">IF(B9="","",IFERROR(INDEX(ProdCosto,MATCH(B9,ListaProductos,0))*1,""))</f>
        <v>669.125</v>
      </c>
      <c r="E9" s="30" t="n">
        <f aca="false">IF(OR(B9="",D9=""),"",C9*D9)</f>
        <v>669.125</v>
      </c>
      <c r="F9" s="30" t="n">
        <f aca="true">IF(B9="","",C9*IFERROR(INDEX(ProdPrecio,MATCH(B9,ListaProductos,0))*1,0))</f>
        <v>2500</v>
      </c>
      <c r="H9" s="38"/>
      <c r="I9" s="39" t="str">
        <f aca="false">IF(OR(H9="",Q9&lt;&gt;"OK"),"",SUMIFS($E$5:$E$200,$A$5:$A$200,H9))</f>
        <v/>
      </c>
      <c r="J9" s="40"/>
      <c r="K9" s="39" t="str">
        <f aca="false">IF(I9="","",I9+J9)</f>
        <v/>
      </c>
      <c r="L9" s="40"/>
      <c r="M9" s="39" t="str">
        <f aca="false">IF(OR(K9="",L9=""),"",L9-K9)</f>
        <v/>
      </c>
      <c r="N9" s="41" t="str">
        <f aca="false">IF(OR(M9="",L9=0),"",M9/L9)</f>
        <v/>
      </c>
      <c r="O9" s="39" t="str">
        <f aca="false">IF(H9="","",SUMIFS($F$5:$F$200,$A$5:$A$200,H9))</f>
        <v/>
      </c>
      <c r="P9" s="41" t="str">
        <f aca="false">IF(OR(O9="",O9=0,L9=""),"",1-L9/O9)</f>
        <v/>
      </c>
      <c r="Q9" s="42" t="str">
        <f aca="false">IF(H9="","",IF(COUNTIFS($A$5:$A$200,H9)=0,"Sin productos cargados",IF(COUNTIFS($A$5:$A$200,H9)-COUNTIFS($A$5:$A$200,H9,$E$5:$E$200,"&gt;=0")&gt;0,"Faltan costos de "&amp;(COUNTIFS($A$5:$A$200,H9)-COUNTIFS($A$5:$A$200,H9,$E$5:$E$200,"&gt;=0"))&amp;" producto(s)","OK")))</f>
        <v/>
      </c>
    </row>
    <row r="10" customFormat="false" ht="15" hidden="false" customHeight="false" outlineLevel="0" collapsed="false">
      <c r="A10" s="15" t="s">
        <v>196</v>
      </c>
      <c r="B10" s="15" t="s">
        <v>203</v>
      </c>
      <c r="C10" s="27" t="n">
        <v>1</v>
      </c>
      <c r="D10" s="32" t="str">
        <f aca="true">IF(B10="","",IFERROR(INDEX(ProdCosto,MATCH(B10,ListaProductos,0))*1,""))</f>
        <v/>
      </c>
      <c r="E10" s="30" t="str">
        <f aca="false">IF(OR(B10="",D10=""),"",C10*D10)</f>
        <v/>
      </c>
      <c r="F10" s="30" t="n">
        <f aca="true">IF(B10="","",C10*IFERROR(INDEX(ProdPrecio,MATCH(B10,ListaProductos,0))*1,0))</f>
        <v>2500</v>
      </c>
      <c r="H10" s="38"/>
      <c r="I10" s="39" t="str">
        <f aca="false">IF(OR(H10="",Q10&lt;&gt;"OK"),"",SUMIFS($E$5:$E$200,$A$5:$A$200,H10))</f>
        <v/>
      </c>
      <c r="J10" s="40"/>
      <c r="K10" s="39" t="str">
        <f aca="false">IF(I10="","",I10+J10)</f>
        <v/>
      </c>
      <c r="L10" s="40"/>
      <c r="M10" s="39" t="str">
        <f aca="false">IF(OR(K10="",L10=""),"",L10-K10)</f>
        <v/>
      </c>
      <c r="N10" s="41" t="str">
        <f aca="false">IF(OR(M10="",L10=0),"",M10/L10)</f>
        <v/>
      </c>
      <c r="O10" s="39" t="str">
        <f aca="false">IF(H10="","",SUMIFS($F$5:$F$200,$A$5:$A$200,H10))</f>
        <v/>
      </c>
      <c r="P10" s="41" t="str">
        <f aca="false">IF(OR(O10="",O10=0,L10=""),"",1-L10/O10)</f>
        <v/>
      </c>
      <c r="Q10" s="42" t="str">
        <f aca="false">IF(H10="","",IF(COUNTIFS($A$5:$A$200,H10)=0,"Sin productos cargados",IF(COUNTIFS($A$5:$A$200,H10)-COUNTIFS($A$5:$A$200,H10,$E$5:$E$200,"&gt;=0")&gt;0,"Faltan costos de "&amp;(COUNTIFS($A$5:$A$200,H10)-COUNTIFS($A$5:$A$200,H10,$E$5:$E$200,"&gt;=0"))&amp;" producto(s)","OK")))</f>
        <v/>
      </c>
    </row>
    <row r="11" customFormat="false" ht="15" hidden="false" customHeight="false" outlineLevel="0" collapsed="false">
      <c r="A11" s="15" t="s">
        <v>196</v>
      </c>
      <c r="B11" s="15" t="s">
        <v>204</v>
      </c>
      <c r="C11" s="27" t="n">
        <v>1</v>
      </c>
      <c r="D11" s="32" t="str">
        <f aca="true">IF(B11="","",IFERROR(INDEX(ProdCosto,MATCH(B11,ListaProductos,0))*1,""))</f>
        <v/>
      </c>
      <c r="E11" s="30" t="str">
        <f aca="false">IF(OR(B11="",D11=""),"",C11*D11)</f>
        <v/>
      </c>
      <c r="F11" s="30" t="n">
        <f aca="true">IF(B11="","",C11*IFERROR(INDEX(ProdPrecio,MATCH(B11,ListaProductos,0))*1,0))</f>
        <v>3000</v>
      </c>
      <c r="H11" s="38"/>
      <c r="I11" s="39" t="str">
        <f aca="false">IF(OR(H11="",Q11&lt;&gt;"OK"),"",SUMIFS($E$5:$E$200,$A$5:$A$200,H11))</f>
        <v/>
      </c>
      <c r="J11" s="40"/>
      <c r="K11" s="39" t="str">
        <f aca="false">IF(I11="","",I11+J11)</f>
        <v/>
      </c>
      <c r="L11" s="40"/>
      <c r="M11" s="39" t="str">
        <f aca="false">IF(OR(K11="",L11=""),"",L11-K11)</f>
        <v/>
      </c>
      <c r="N11" s="41" t="str">
        <f aca="false">IF(OR(M11="",L11=0),"",M11/L11)</f>
        <v/>
      </c>
      <c r="O11" s="39" t="str">
        <f aca="false">IF(H11="","",SUMIFS($F$5:$F$200,$A$5:$A$200,H11))</f>
        <v/>
      </c>
      <c r="P11" s="41" t="str">
        <f aca="false">IF(OR(O11="",O11=0,L11=""),"",1-L11/O11)</f>
        <v/>
      </c>
      <c r="Q11" s="42" t="str">
        <f aca="false">IF(H11="","",IF(COUNTIFS($A$5:$A$200,H11)=0,"Sin productos cargados",IF(COUNTIFS($A$5:$A$200,H11)-COUNTIFS($A$5:$A$200,H11,$E$5:$E$200,"&gt;=0")&gt;0,"Faltan costos de "&amp;(COUNTIFS($A$5:$A$200,H11)-COUNTIFS($A$5:$A$200,H11,$E$5:$E$200,"&gt;=0"))&amp;" producto(s)","OK")))</f>
        <v/>
      </c>
    </row>
    <row r="12" customFormat="false" ht="15" hidden="false" customHeight="false" outlineLevel="0" collapsed="false">
      <c r="A12" s="15" t="s">
        <v>196</v>
      </c>
      <c r="B12" s="15" t="s">
        <v>205</v>
      </c>
      <c r="C12" s="27" t="n">
        <v>1</v>
      </c>
      <c r="D12" s="32" t="str">
        <f aca="true">IF(B12="","",IFERROR(INDEX(ProdCosto,MATCH(B12,ListaProductos,0))*1,""))</f>
        <v/>
      </c>
      <c r="E12" s="30" t="str">
        <f aca="false">IF(OR(B12="",D12=""),"",C12*D12)</f>
        <v/>
      </c>
      <c r="F12" s="30" t="n">
        <f aca="true">IF(B12="","",C12*IFERROR(INDEX(ProdPrecio,MATCH(B12,ListaProductos,0))*1,0))</f>
        <v>2500</v>
      </c>
      <c r="H12" s="38"/>
      <c r="I12" s="39" t="str">
        <f aca="false">IF(OR(H12="",Q12&lt;&gt;"OK"),"",SUMIFS($E$5:$E$200,$A$5:$A$200,H12))</f>
        <v/>
      </c>
      <c r="J12" s="40"/>
      <c r="K12" s="39" t="str">
        <f aca="false">IF(I12="","",I12+J12)</f>
        <v/>
      </c>
      <c r="L12" s="40"/>
      <c r="M12" s="39" t="str">
        <f aca="false">IF(OR(K12="",L12=""),"",L12-K12)</f>
        <v/>
      </c>
      <c r="N12" s="41" t="str">
        <f aca="false">IF(OR(M12="",L12=0),"",M12/L12)</f>
        <v/>
      </c>
      <c r="O12" s="39" t="str">
        <f aca="false">IF(H12="","",SUMIFS($F$5:$F$200,$A$5:$A$200,H12))</f>
        <v/>
      </c>
      <c r="P12" s="41" t="str">
        <f aca="false">IF(OR(O12="",O12=0,L12=""),"",1-L12/O12)</f>
        <v/>
      </c>
      <c r="Q12" s="42" t="str">
        <f aca="false">IF(H12="","",IF(COUNTIFS($A$5:$A$200,H12)=0,"Sin productos cargados",IF(COUNTIFS($A$5:$A$200,H12)-COUNTIFS($A$5:$A$200,H12,$E$5:$E$200,"&gt;=0")&gt;0,"Faltan costos de "&amp;(COUNTIFS($A$5:$A$200,H12)-COUNTIFS($A$5:$A$200,H12,$E$5:$E$200,"&gt;=0"))&amp;" producto(s)","OK")))</f>
        <v/>
      </c>
    </row>
    <row r="13" customFormat="false" ht="15" hidden="false" customHeight="false" outlineLevel="0" collapsed="false">
      <c r="A13" s="15" t="s">
        <v>196</v>
      </c>
      <c r="B13" s="15" t="s">
        <v>206</v>
      </c>
      <c r="C13" s="27" t="n">
        <v>1</v>
      </c>
      <c r="D13" s="32" t="str">
        <f aca="true">IF(B13="","",IFERROR(INDEX(ProdCosto,MATCH(B13,ListaProductos,0))*1,""))</f>
        <v/>
      </c>
      <c r="E13" s="30" t="str">
        <f aca="false">IF(OR(B13="",D13=""),"",C13*D13)</f>
        <v/>
      </c>
      <c r="F13" s="30" t="n">
        <f aca="true">IF(B13="","",C13*IFERROR(INDEX(ProdPrecio,MATCH(B13,ListaProductos,0))*1,0))</f>
        <v>2500</v>
      </c>
      <c r="H13" s="38"/>
      <c r="I13" s="39" t="str">
        <f aca="false">IF(OR(H13="",Q13&lt;&gt;"OK"),"",SUMIFS($E$5:$E$200,$A$5:$A$200,H13))</f>
        <v/>
      </c>
      <c r="J13" s="40"/>
      <c r="K13" s="39" t="str">
        <f aca="false">IF(I13="","",I13+J13)</f>
        <v/>
      </c>
      <c r="L13" s="40"/>
      <c r="M13" s="39" t="str">
        <f aca="false">IF(OR(K13="",L13=""),"",L13-K13)</f>
        <v/>
      </c>
      <c r="N13" s="41" t="str">
        <f aca="false">IF(OR(M13="",L13=0),"",M13/L13)</f>
        <v/>
      </c>
      <c r="O13" s="39" t="str">
        <f aca="false">IF(H13="","",SUMIFS($F$5:$F$200,$A$5:$A$200,H13))</f>
        <v/>
      </c>
      <c r="P13" s="41" t="str">
        <f aca="false">IF(OR(O13="",O13=0,L13=""),"",1-L13/O13)</f>
        <v/>
      </c>
      <c r="Q13" s="42" t="str">
        <f aca="false">IF(H13="","",IF(COUNTIFS($A$5:$A$200,H13)=0,"Sin productos cargados",IF(COUNTIFS($A$5:$A$200,H13)-COUNTIFS($A$5:$A$200,H13,$E$5:$E$200,"&gt;=0")&gt;0,"Faltan costos de "&amp;(COUNTIFS($A$5:$A$200,H13)-COUNTIFS($A$5:$A$200,H13,$E$5:$E$200,"&gt;=0"))&amp;" producto(s)","OK")))</f>
        <v/>
      </c>
    </row>
    <row r="14" customFormat="false" ht="15" hidden="false" customHeight="false" outlineLevel="0" collapsed="false">
      <c r="A14" s="15" t="s">
        <v>196</v>
      </c>
      <c r="B14" s="15" t="s">
        <v>207</v>
      </c>
      <c r="C14" s="27" t="n">
        <v>1</v>
      </c>
      <c r="D14" s="32" t="str">
        <f aca="true">IF(B14="","",IFERROR(INDEX(ProdCosto,MATCH(B14,ListaProductos,0))*1,""))</f>
        <v/>
      </c>
      <c r="E14" s="30" t="str">
        <f aca="false">IF(OR(B14="",D14=""),"",C14*D14)</f>
        <v/>
      </c>
      <c r="F14" s="30" t="n">
        <f aca="true">IF(B14="","",C14*IFERROR(INDEX(ProdPrecio,MATCH(B14,ListaProductos,0))*1,0))</f>
        <v>2500</v>
      </c>
      <c r="H14" s="38"/>
      <c r="I14" s="39" t="str">
        <f aca="false">IF(OR(H14="",Q14&lt;&gt;"OK"),"",SUMIFS($E$5:$E$200,$A$5:$A$200,H14))</f>
        <v/>
      </c>
      <c r="J14" s="40"/>
      <c r="K14" s="39" t="str">
        <f aca="false">IF(I14="","",I14+J14)</f>
        <v/>
      </c>
      <c r="L14" s="40"/>
      <c r="M14" s="39" t="str">
        <f aca="false">IF(OR(K14="",L14=""),"",L14-K14)</f>
        <v/>
      </c>
      <c r="N14" s="41" t="str">
        <f aca="false">IF(OR(M14="",L14=0),"",M14/L14)</f>
        <v/>
      </c>
      <c r="O14" s="39" t="str">
        <f aca="false">IF(H14="","",SUMIFS($F$5:$F$200,$A$5:$A$200,H14))</f>
        <v/>
      </c>
      <c r="P14" s="41" t="str">
        <f aca="false">IF(OR(O14="",O14=0,L14=""),"",1-L14/O14)</f>
        <v/>
      </c>
      <c r="Q14" s="42" t="str">
        <f aca="false">IF(H14="","",IF(COUNTIFS($A$5:$A$200,H14)=0,"Sin productos cargados",IF(COUNTIFS($A$5:$A$200,H14)-COUNTIFS($A$5:$A$200,H14,$E$5:$E$200,"&gt;=0")&gt;0,"Faltan costos de "&amp;(COUNTIFS($A$5:$A$200,H14)-COUNTIFS($A$5:$A$200,H14,$E$5:$E$200,"&gt;=0"))&amp;" producto(s)","OK")))</f>
        <v/>
      </c>
    </row>
    <row r="15" customFormat="false" ht="15" hidden="false" customHeight="false" outlineLevel="0" collapsed="false">
      <c r="A15" s="15" t="s">
        <v>196</v>
      </c>
      <c r="B15" s="15" t="s">
        <v>208</v>
      </c>
      <c r="C15" s="27" t="n">
        <v>1</v>
      </c>
      <c r="D15" s="32" t="str">
        <f aca="true">IF(B15="","",IFERROR(INDEX(ProdCosto,MATCH(B15,ListaProductos,0))*1,""))</f>
        <v/>
      </c>
      <c r="E15" s="30" t="str">
        <f aca="false">IF(OR(B15="",D15=""),"",C15*D15)</f>
        <v/>
      </c>
      <c r="F15" s="30" t="n">
        <f aca="true">IF(B15="","",C15*IFERROR(INDEX(ProdPrecio,MATCH(B15,ListaProductos,0))*1,0))</f>
        <v>2500</v>
      </c>
      <c r="H15" s="38"/>
      <c r="I15" s="39" t="str">
        <f aca="false">IF(OR(H15="",Q15&lt;&gt;"OK"),"",SUMIFS($E$5:$E$200,$A$5:$A$200,H15))</f>
        <v/>
      </c>
      <c r="J15" s="40"/>
      <c r="K15" s="39" t="str">
        <f aca="false">IF(I15="","",I15+J15)</f>
        <v/>
      </c>
      <c r="L15" s="40"/>
      <c r="M15" s="39" t="str">
        <f aca="false">IF(OR(K15="",L15=""),"",L15-K15)</f>
        <v/>
      </c>
      <c r="N15" s="41" t="str">
        <f aca="false">IF(OR(M15="",L15=0),"",M15/L15)</f>
        <v/>
      </c>
      <c r="O15" s="39" t="str">
        <f aca="false">IF(H15="","",SUMIFS($F$5:$F$200,$A$5:$A$200,H15))</f>
        <v/>
      </c>
      <c r="P15" s="41" t="str">
        <f aca="false">IF(OR(O15="",O15=0,L15=""),"",1-L15/O15)</f>
        <v/>
      </c>
      <c r="Q15" s="42" t="str">
        <f aca="false">IF(H15="","",IF(COUNTIFS($A$5:$A$200,H15)=0,"Sin productos cargados",IF(COUNTIFS($A$5:$A$200,H15)-COUNTIFS($A$5:$A$200,H15,$E$5:$E$200,"&gt;=0")&gt;0,"Faltan costos de "&amp;(COUNTIFS($A$5:$A$200,H15)-COUNTIFS($A$5:$A$200,H15,$E$5:$E$200,"&gt;=0"))&amp;" producto(s)","OK")))</f>
        <v/>
      </c>
    </row>
    <row r="16" customFormat="false" ht="15" hidden="false" customHeight="false" outlineLevel="0" collapsed="false">
      <c r="A16" s="15" t="s">
        <v>199</v>
      </c>
      <c r="B16" s="15" t="s">
        <v>203</v>
      </c>
      <c r="C16" s="27" t="n">
        <v>1</v>
      </c>
      <c r="D16" s="32" t="str">
        <f aca="true">IF(B16="","",IFERROR(INDEX(ProdCosto,MATCH(B16,ListaProductos,0))*1,""))</f>
        <v/>
      </c>
      <c r="E16" s="30" t="str">
        <f aca="false">IF(OR(B16="",D16=""),"",C16*D16)</f>
        <v/>
      </c>
      <c r="F16" s="30" t="n">
        <f aca="true">IF(B16="","",C16*IFERROR(INDEX(ProdPrecio,MATCH(B16,ListaProductos,0))*1,0))</f>
        <v>2500</v>
      </c>
      <c r="H16" s="38"/>
      <c r="I16" s="39" t="str">
        <f aca="false">IF(OR(H16="",Q16&lt;&gt;"OK"),"",SUMIFS($E$5:$E$200,$A$5:$A$200,H16))</f>
        <v/>
      </c>
      <c r="J16" s="40"/>
      <c r="K16" s="39" t="str">
        <f aca="false">IF(I16="","",I16+J16)</f>
        <v/>
      </c>
      <c r="L16" s="40"/>
      <c r="M16" s="39" t="str">
        <f aca="false">IF(OR(K16="",L16=""),"",L16-K16)</f>
        <v/>
      </c>
      <c r="N16" s="41" t="str">
        <f aca="false">IF(OR(M16="",L16=0),"",M16/L16)</f>
        <v/>
      </c>
      <c r="O16" s="39" t="str">
        <f aca="false">IF(H16="","",SUMIFS($F$5:$F$200,$A$5:$A$200,H16))</f>
        <v/>
      </c>
      <c r="P16" s="41" t="str">
        <f aca="false">IF(OR(O16="",O16=0,L16=""),"",1-L16/O16)</f>
        <v/>
      </c>
      <c r="Q16" s="42" t="str">
        <f aca="false">IF(H16="","",IF(COUNTIFS($A$5:$A$200,H16)=0,"Sin productos cargados",IF(COUNTIFS($A$5:$A$200,H16)-COUNTIFS($A$5:$A$200,H16,$E$5:$E$200,"&gt;=0")&gt;0,"Faltan costos de "&amp;(COUNTIFS($A$5:$A$200,H16)-COUNTIFS($A$5:$A$200,H16,$E$5:$E$200,"&gt;=0"))&amp;" producto(s)","OK")))</f>
        <v/>
      </c>
    </row>
    <row r="17" customFormat="false" ht="15" hidden="false" customHeight="false" outlineLevel="0" collapsed="false">
      <c r="A17" s="15" t="s">
        <v>199</v>
      </c>
      <c r="B17" s="15" t="s">
        <v>205</v>
      </c>
      <c r="C17" s="27" t="n">
        <v>1</v>
      </c>
      <c r="D17" s="32" t="str">
        <f aca="true">IF(B17="","",IFERROR(INDEX(ProdCosto,MATCH(B17,ListaProductos,0))*1,""))</f>
        <v/>
      </c>
      <c r="E17" s="30" t="str">
        <f aca="false">IF(OR(B17="",D17=""),"",C17*D17)</f>
        <v/>
      </c>
      <c r="F17" s="30" t="n">
        <f aca="true">IF(B17="","",C17*IFERROR(INDEX(ProdPrecio,MATCH(B17,ListaProductos,0))*1,0))</f>
        <v>2500</v>
      </c>
      <c r="H17" s="38"/>
      <c r="I17" s="39" t="str">
        <f aca="false">IF(OR(H17="",Q17&lt;&gt;"OK"),"",SUMIFS($E$5:$E$200,$A$5:$A$200,H17))</f>
        <v/>
      </c>
      <c r="J17" s="40"/>
      <c r="K17" s="39" t="str">
        <f aca="false">IF(I17="","",I17+J17)</f>
        <v/>
      </c>
      <c r="L17" s="40"/>
      <c r="M17" s="39" t="str">
        <f aca="false">IF(OR(K17="",L17=""),"",L17-K17)</f>
        <v/>
      </c>
      <c r="N17" s="41" t="str">
        <f aca="false">IF(OR(M17="",L17=0),"",M17/L17)</f>
        <v/>
      </c>
      <c r="O17" s="39" t="str">
        <f aca="false">IF(H17="","",SUMIFS($F$5:$F$200,$A$5:$A$200,H17))</f>
        <v/>
      </c>
      <c r="P17" s="41" t="str">
        <f aca="false">IF(OR(O17="",O17=0,L17=""),"",1-L17/O17)</f>
        <v/>
      </c>
      <c r="Q17" s="42" t="str">
        <f aca="false">IF(H17="","",IF(COUNTIFS($A$5:$A$200,H17)=0,"Sin productos cargados",IF(COUNTIFS($A$5:$A$200,H17)-COUNTIFS($A$5:$A$200,H17,$E$5:$E$200,"&gt;=0")&gt;0,"Faltan costos de "&amp;(COUNTIFS($A$5:$A$200,H17)-COUNTIFS($A$5:$A$200,H17,$E$5:$E$200,"&gt;=0"))&amp;" producto(s)","OK")))</f>
        <v/>
      </c>
    </row>
    <row r="18" customFormat="false" ht="15" hidden="false" customHeight="false" outlineLevel="0" collapsed="false">
      <c r="A18" s="15" t="s">
        <v>199</v>
      </c>
      <c r="B18" s="15" t="s">
        <v>207</v>
      </c>
      <c r="C18" s="27" t="n">
        <v>1</v>
      </c>
      <c r="D18" s="32" t="str">
        <f aca="true">IF(B18="","",IFERROR(INDEX(ProdCosto,MATCH(B18,ListaProductos,0))*1,""))</f>
        <v/>
      </c>
      <c r="E18" s="30" t="str">
        <f aca="false">IF(OR(B18="",D18=""),"",C18*D18)</f>
        <v/>
      </c>
      <c r="F18" s="30" t="n">
        <f aca="true">IF(B18="","",C18*IFERROR(INDEX(ProdPrecio,MATCH(B18,ListaProductos,0))*1,0))</f>
        <v>2500</v>
      </c>
      <c r="H18" s="38"/>
      <c r="I18" s="39" t="str">
        <f aca="false">IF(OR(H18="",Q18&lt;&gt;"OK"),"",SUMIFS($E$5:$E$200,$A$5:$A$200,H18))</f>
        <v/>
      </c>
      <c r="J18" s="40"/>
      <c r="K18" s="39" t="str">
        <f aca="false">IF(I18="","",I18+J18)</f>
        <v/>
      </c>
      <c r="L18" s="40"/>
      <c r="M18" s="39" t="str">
        <f aca="false">IF(OR(K18="",L18=""),"",L18-K18)</f>
        <v/>
      </c>
      <c r="N18" s="41" t="str">
        <f aca="false">IF(OR(M18="",L18=0),"",M18/L18)</f>
        <v/>
      </c>
      <c r="O18" s="39" t="str">
        <f aca="false">IF(H18="","",SUMIFS($F$5:$F$200,$A$5:$A$200,H18))</f>
        <v/>
      </c>
      <c r="P18" s="41" t="str">
        <f aca="false">IF(OR(O18="",O18=0,L18=""),"",1-L18/O18)</f>
        <v/>
      </c>
      <c r="Q18" s="42" t="str">
        <f aca="false">IF(H18="","",IF(COUNTIFS($A$5:$A$200,H18)=0,"Sin productos cargados",IF(COUNTIFS($A$5:$A$200,H18)-COUNTIFS($A$5:$A$200,H18,$E$5:$E$200,"&gt;=0")&gt;0,"Faltan costos de "&amp;(COUNTIFS($A$5:$A$200,H18)-COUNTIFS($A$5:$A$200,H18,$E$5:$E$200,"&gt;=0"))&amp;" producto(s)","OK")))</f>
        <v/>
      </c>
    </row>
    <row r="19" customFormat="false" ht="15" hidden="false" customHeight="false" outlineLevel="0" collapsed="false">
      <c r="A19" s="15" t="s">
        <v>199</v>
      </c>
      <c r="B19" s="15" t="s">
        <v>206</v>
      </c>
      <c r="C19" s="27" t="n">
        <v>1</v>
      </c>
      <c r="D19" s="32" t="str">
        <f aca="true">IF(B19="","",IFERROR(INDEX(ProdCosto,MATCH(B19,ListaProductos,0))*1,""))</f>
        <v/>
      </c>
      <c r="E19" s="30" t="str">
        <f aca="false">IF(OR(B19="",D19=""),"",C19*D19)</f>
        <v/>
      </c>
      <c r="F19" s="30" t="n">
        <f aca="true">IF(B19="","",C19*IFERROR(INDEX(ProdPrecio,MATCH(B19,ListaProductos,0))*1,0))</f>
        <v>2500</v>
      </c>
      <c r="H19" s="38"/>
      <c r="I19" s="39" t="str">
        <f aca="false">IF(OR(H19="",Q19&lt;&gt;"OK"),"",SUMIFS($E$5:$E$200,$A$5:$A$200,H19))</f>
        <v/>
      </c>
      <c r="J19" s="40"/>
      <c r="K19" s="39" t="str">
        <f aca="false">IF(I19="","",I19+J19)</f>
        <v/>
      </c>
      <c r="L19" s="40"/>
      <c r="M19" s="39" t="str">
        <f aca="false">IF(OR(K19="",L19=""),"",L19-K19)</f>
        <v/>
      </c>
      <c r="N19" s="41" t="str">
        <f aca="false">IF(OR(M19="",L19=0),"",M19/L19)</f>
        <v/>
      </c>
      <c r="O19" s="39" t="str">
        <f aca="false">IF(H19="","",SUMIFS($F$5:$F$200,$A$5:$A$200,H19))</f>
        <v/>
      </c>
      <c r="P19" s="41" t="str">
        <f aca="false">IF(OR(O19="",O19=0,L19=""),"",1-L19/O19)</f>
        <v/>
      </c>
      <c r="Q19" s="42" t="str">
        <f aca="false">IF(H19="","",IF(COUNTIFS($A$5:$A$200,H19)=0,"Sin productos cargados",IF(COUNTIFS($A$5:$A$200,H19)-COUNTIFS($A$5:$A$200,H19,$E$5:$E$200,"&gt;=0")&gt;0,"Faltan costos de "&amp;(COUNTIFS($A$5:$A$200,H19)-COUNTIFS($A$5:$A$200,H19,$E$5:$E$200,"&gt;=0"))&amp;" producto(s)","OK")))</f>
        <v/>
      </c>
    </row>
    <row r="20" customFormat="false" ht="15" hidden="false" customHeight="false" outlineLevel="0" collapsed="false">
      <c r="A20" s="15" t="s">
        <v>199</v>
      </c>
      <c r="B20" s="15" t="s">
        <v>198</v>
      </c>
      <c r="C20" s="27" t="n">
        <v>1</v>
      </c>
      <c r="D20" s="32" t="str">
        <f aca="true">IF(B20="","",IFERROR(INDEX(ProdCosto,MATCH(B20,ListaProductos,0))*1,""))</f>
        <v/>
      </c>
      <c r="E20" s="30" t="str">
        <f aca="false">IF(OR(B20="",D20=""),"",C20*D20)</f>
        <v/>
      </c>
      <c r="F20" s="30" t="n">
        <f aca="true">IF(B20="","",C20*IFERROR(INDEX(ProdPrecio,MATCH(B20,ListaProductos,0))*1,0))</f>
        <v>3000</v>
      </c>
    </row>
    <row r="21" customFormat="false" ht="15" hidden="false" customHeight="false" outlineLevel="0" collapsed="false">
      <c r="A21" s="15"/>
      <c r="B21" s="15"/>
      <c r="C21" s="27"/>
      <c r="D21" s="32" t="str">
        <f aca="true">IF(B21="","",IFERROR(INDEX(ProdCosto,MATCH(B21,ListaProductos,0))*1,""))</f>
        <v/>
      </c>
      <c r="E21" s="30" t="str">
        <f aca="false">IF(OR(B21="",D21=""),"",C21*D21)</f>
        <v/>
      </c>
      <c r="F21" s="30" t="str">
        <f aca="true">IF(B21="","",C21*IFERROR(INDEX(ProdPrecio,MATCH(B21,ListaProductos,0))*1,0))</f>
        <v/>
      </c>
    </row>
    <row r="22" customFormat="false" ht="15" hidden="false" customHeight="false" outlineLevel="0" collapsed="false">
      <c r="A22" s="15"/>
      <c r="B22" s="15"/>
      <c r="C22" s="27"/>
      <c r="D22" s="32" t="str">
        <f aca="true">IF(B22="","",IFERROR(INDEX(ProdCosto,MATCH(B22,ListaProductos,0))*1,""))</f>
        <v/>
      </c>
      <c r="E22" s="30" t="str">
        <f aca="false">IF(OR(B22="",D22=""),"",C22*D22)</f>
        <v/>
      </c>
      <c r="F22" s="30" t="str">
        <f aca="true">IF(B22="","",C22*IFERROR(INDEX(ProdPrecio,MATCH(B22,ListaProductos,0))*1,0))</f>
        <v/>
      </c>
    </row>
    <row r="23" customFormat="false" ht="15" hidden="false" customHeight="false" outlineLevel="0" collapsed="false">
      <c r="A23" s="15"/>
      <c r="B23" s="15"/>
      <c r="C23" s="27"/>
      <c r="D23" s="32" t="str">
        <f aca="true">IF(B23="","",IFERROR(INDEX(ProdCosto,MATCH(B23,ListaProductos,0))*1,""))</f>
        <v/>
      </c>
      <c r="E23" s="30" t="str">
        <f aca="false">IF(OR(B23="",D23=""),"",C23*D23)</f>
        <v/>
      </c>
      <c r="F23" s="30" t="str">
        <f aca="true">IF(B23="","",C23*IFERROR(INDEX(ProdPrecio,MATCH(B23,ListaProductos,0))*1,0))</f>
        <v/>
      </c>
    </row>
    <row r="24" customFormat="false" ht="15" hidden="false" customHeight="false" outlineLevel="0" collapsed="false">
      <c r="A24" s="15"/>
      <c r="B24" s="15"/>
      <c r="C24" s="27"/>
      <c r="D24" s="32" t="str">
        <f aca="true">IF(B24="","",IFERROR(INDEX(ProdCosto,MATCH(B24,ListaProductos,0))*1,""))</f>
        <v/>
      </c>
      <c r="E24" s="30" t="str">
        <f aca="false">IF(OR(B24="",D24=""),"",C24*D24)</f>
        <v/>
      </c>
      <c r="F24" s="30" t="str">
        <f aca="true">IF(B24="","",C24*IFERROR(INDEX(ProdPrecio,MATCH(B24,ListaProductos,0))*1,0))</f>
        <v/>
      </c>
    </row>
    <row r="25" customFormat="false" ht="15" hidden="false" customHeight="false" outlineLevel="0" collapsed="false">
      <c r="A25" s="15"/>
      <c r="B25" s="15"/>
      <c r="C25" s="27"/>
      <c r="D25" s="32" t="str">
        <f aca="true">IF(B25="","",IFERROR(INDEX(ProdCosto,MATCH(B25,ListaProductos,0))*1,""))</f>
        <v/>
      </c>
      <c r="E25" s="30" t="str">
        <f aca="false">IF(OR(B25="",D25=""),"",C25*D25)</f>
        <v/>
      </c>
      <c r="F25" s="30" t="str">
        <f aca="true">IF(B25="","",C25*IFERROR(INDEX(ProdPrecio,MATCH(B25,ListaProductos,0))*1,0))</f>
        <v/>
      </c>
    </row>
    <row r="26" customFormat="false" ht="15" hidden="false" customHeight="false" outlineLevel="0" collapsed="false">
      <c r="A26" s="15"/>
      <c r="B26" s="15"/>
      <c r="C26" s="27"/>
      <c r="D26" s="32" t="str">
        <f aca="true">IF(B26="","",IFERROR(INDEX(ProdCosto,MATCH(B26,ListaProductos,0))*1,""))</f>
        <v/>
      </c>
      <c r="E26" s="30" t="str">
        <f aca="false">IF(OR(B26="",D26=""),"",C26*D26)</f>
        <v/>
      </c>
      <c r="F26" s="30" t="str">
        <f aca="true">IF(B26="","",C26*IFERROR(INDEX(ProdPrecio,MATCH(B26,ListaProductos,0))*1,0))</f>
        <v/>
      </c>
    </row>
    <row r="27" customFormat="false" ht="15" hidden="false" customHeight="false" outlineLevel="0" collapsed="false">
      <c r="A27" s="15"/>
      <c r="B27" s="15"/>
      <c r="C27" s="27"/>
      <c r="D27" s="32" t="str">
        <f aca="true">IF(B27="","",IFERROR(INDEX(ProdCosto,MATCH(B27,ListaProductos,0))*1,""))</f>
        <v/>
      </c>
      <c r="E27" s="30" t="str">
        <f aca="false">IF(OR(B27="",D27=""),"",C27*D27)</f>
        <v/>
      </c>
      <c r="F27" s="30" t="str">
        <f aca="true">IF(B27="","",C27*IFERROR(INDEX(ProdPrecio,MATCH(B27,ListaProductos,0))*1,0))</f>
        <v/>
      </c>
    </row>
    <row r="28" customFormat="false" ht="15" hidden="false" customHeight="false" outlineLevel="0" collapsed="false">
      <c r="A28" s="15"/>
      <c r="B28" s="15"/>
      <c r="C28" s="27"/>
      <c r="D28" s="32" t="str">
        <f aca="true">IF(B28="","",IFERROR(INDEX(ProdCosto,MATCH(B28,ListaProductos,0))*1,""))</f>
        <v/>
      </c>
      <c r="E28" s="30" t="str">
        <f aca="false">IF(OR(B28="",D28=""),"",C28*D28)</f>
        <v/>
      </c>
      <c r="F28" s="30" t="str">
        <f aca="true">IF(B28="","",C28*IFERROR(INDEX(ProdPrecio,MATCH(B28,ListaProductos,0))*1,0))</f>
        <v/>
      </c>
    </row>
    <row r="29" customFormat="false" ht="15" hidden="false" customHeight="false" outlineLevel="0" collapsed="false">
      <c r="A29" s="15"/>
      <c r="B29" s="15"/>
      <c r="C29" s="27"/>
      <c r="D29" s="32" t="str">
        <f aca="true">IF(B29="","",IFERROR(INDEX(ProdCosto,MATCH(B29,ListaProductos,0))*1,""))</f>
        <v/>
      </c>
      <c r="E29" s="30" t="str">
        <f aca="false">IF(OR(B29="",D29=""),"",C29*D29)</f>
        <v/>
      </c>
      <c r="F29" s="30" t="str">
        <f aca="true">IF(B29="","",C29*IFERROR(INDEX(ProdPrecio,MATCH(B29,ListaProductos,0))*1,0))</f>
        <v/>
      </c>
    </row>
    <row r="30" customFormat="false" ht="15" hidden="false" customHeight="false" outlineLevel="0" collapsed="false">
      <c r="A30" s="15"/>
      <c r="B30" s="15"/>
      <c r="C30" s="27"/>
      <c r="D30" s="32" t="str">
        <f aca="true">IF(B30="","",IFERROR(INDEX(ProdCosto,MATCH(B30,ListaProductos,0))*1,""))</f>
        <v/>
      </c>
      <c r="E30" s="30" t="str">
        <f aca="false">IF(OR(B30="",D30=""),"",C30*D30)</f>
        <v/>
      </c>
      <c r="F30" s="30" t="str">
        <f aca="true">IF(B30="","",C30*IFERROR(INDEX(ProdPrecio,MATCH(B30,ListaProductos,0))*1,0))</f>
        <v/>
      </c>
    </row>
    <row r="31" customFormat="false" ht="15" hidden="false" customHeight="false" outlineLevel="0" collapsed="false">
      <c r="A31" s="15"/>
      <c r="B31" s="15"/>
      <c r="C31" s="27"/>
      <c r="D31" s="32" t="str">
        <f aca="true">IF(B31="","",IFERROR(INDEX(ProdCosto,MATCH(B31,ListaProductos,0))*1,""))</f>
        <v/>
      </c>
      <c r="E31" s="30" t="str">
        <f aca="false">IF(OR(B31="",D31=""),"",C31*D31)</f>
        <v/>
      </c>
      <c r="F31" s="30" t="str">
        <f aca="true">IF(B31="","",C31*IFERROR(INDEX(ProdPrecio,MATCH(B31,ListaProductos,0))*1,0))</f>
        <v/>
      </c>
    </row>
    <row r="32" customFormat="false" ht="15" hidden="false" customHeight="false" outlineLevel="0" collapsed="false">
      <c r="A32" s="15"/>
      <c r="B32" s="15"/>
      <c r="C32" s="27"/>
      <c r="D32" s="32" t="str">
        <f aca="true">IF(B32="","",IFERROR(INDEX(ProdCosto,MATCH(B32,ListaProductos,0))*1,""))</f>
        <v/>
      </c>
      <c r="E32" s="30" t="str">
        <f aca="false">IF(OR(B32="",D32=""),"",C32*D32)</f>
        <v/>
      </c>
      <c r="F32" s="30" t="str">
        <f aca="true">IF(B32="","",C32*IFERROR(INDEX(ProdPrecio,MATCH(B32,ListaProductos,0))*1,0))</f>
        <v/>
      </c>
    </row>
    <row r="33" customFormat="false" ht="15" hidden="false" customHeight="false" outlineLevel="0" collapsed="false">
      <c r="A33" s="15"/>
      <c r="B33" s="15"/>
      <c r="C33" s="27"/>
      <c r="D33" s="32" t="str">
        <f aca="true">IF(B33="","",IFERROR(INDEX(ProdCosto,MATCH(B33,ListaProductos,0))*1,""))</f>
        <v/>
      </c>
      <c r="E33" s="30" t="str">
        <f aca="false">IF(OR(B33="",D33=""),"",C33*D33)</f>
        <v/>
      </c>
      <c r="F33" s="30" t="str">
        <f aca="true">IF(B33="","",C33*IFERROR(INDEX(ProdPrecio,MATCH(B33,ListaProductos,0))*1,0))</f>
        <v/>
      </c>
    </row>
    <row r="34" customFormat="false" ht="15" hidden="false" customHeight="false" outlineLevel="0" collapsed="false">
      <c r="A34" s="15"/>
      <c r="B34" s="15"/>
      <c r="C34" s="27"/>
      <c r="D34" s="32" t="str">
        <f aca="true">IF(B34="","",IFERROR(INDEX(ProdCosto,MATCH(B34,ListaProductos,0))*1,""))</f>
        <v/>
      </c>
      <c r="E34" s="30" t="str">
        <f aca="false">IF(OR(B34="",D34=""),"",C34*D34)</f>
        <v/>
      </c>
      <c r="F34" s="30" t="str">
        <f aca="true">IF(B34="","",C34*IFERROR(INDEX(ProdPrecio,MATCH(B34,ListaProductos,0))*1,0))</f>
        <v/>
      </c>
    </row>
    <row r="35" customFormat="false" ht="15" hidden="false" customHeight="false" outlineLevel="0" collapsed="false">
      <c r="A35" s="15"/>
      <c r="B35" s="15"/>
      <c r="C35" s="27"/>
      <c r="D35" s="32" t="str">
        <f aca="true">IF(B35="","",IFERROR(INDEX(ProdCosto,MATCH(B35,ListaProductos,0))*1,""))</f>
        <v/>
      </c>
      <c r="E35" s="30" t="str">
        <f aca="false">IF(OR(B35="",D35=""),"",C35*D35)</f>
        <v/>
      </c>
      <c r="F35" s="30" t="str">
        <f aca="true">IF(B35="","",C35*IFERROR(INDEX(ProdPrecio,MATCH(B35,ListaProductos,0))*1,0))</f>
        <v/>
      </c>
    </row>
    <row r="36" customFormat="false" ht="15" hidden="false" customHeight="false" outlineLevel="0" collapsed="false">
      <c r="A36" s="15"/>
      <c r="B36" s="15"/>
      <c r="C36" s="27"/>
      <c r="D36" s="32" t="str">
        <f aca="true">IF(B36="","",IFERROR(INDEX(ProdCosto,MATCH(B36,ListaProductos,0))*1,""))</f>
        <v/>
      </c>
      <c r="E36" s="30" t="str">
        <f aca="false">IF(OR(B36="",D36=""),"",C36*D36)</f>
        <v/>
      </c>
      <c r="F36" s="30" t="str">
        <f aca="true">IF(B36="","",C36*IFERROR(INDEX(ProdPrecio,MATCH(B36,ListaProductos,0))*1,0))</f>
        <v/>
      </c>
    </row>
    <row r="37" customFormat="false" ht="15" hidden="false" customHeight="false" outlineLevel="0" collapsed="false">
      <c r="A37" s="15"/>
      <c r="B37" s="15"/>
      <c r="C37" s="27"/>
      <c r="D37" s="32" t="str">
        <f aca="true">IF(B37="","",IFERROR(INDEX(ProdCosto,MATCH(B37,ListaProductos,0))*1,""))</f>
        <v/>
      </c>
      <c r="E37" s="30" t="str">
        <f aca="false">IF(OR(B37="",D37=""),"",C37*D37)</f>
        <v/>
      </c>
      <c r="F37" s="30" t="str">
        <f aca="true">IF(B37="","",C37*IFERROR(INDEX(ProdPrecio,MATCH(B37,ListaProductos,0))*1,0))</f>
        <v/>
      </c>
    </row>
    <row r="38" customFormat="false" ht="15" hidden="false" customHeight="false" outlineLevel="0" collapsed="false">
      <c r="A38" s="15"/>
      <c r="B38" s="15"/>
      <c r="C38" s="27"/>
      <c r="D38" s="32" t="str">
        <f aca="true">IF(B38="","",IFERROR(INDEX(ProdCosto,MATCH(B38,ListaProductos,0))*1,""))</f>
        <v/>
      </c>
      <c r="E38" s="30" t="str">
        <f aca="false">IF(OR(B38="",D38=""),"",C38*D38)</f>
        <v/>
      </c>
      <c r="F38" s="30" t="str">
        <f aca="true">IF(B38="","",C38*IFERROR(INDEX(ProdPrecio,MATCH(B38,ListaProductos,0))*1,0))</f>
        <v/>
      </c>
    </row>
    <row r="39" customFormat="false" ht="15" hidden="false" customHeight="false" outlineLevel="0" collapsed="false">
      <c r="A39" s="15"/>
      <c r="B39" s="15"/>
      <c r="C39" s="27"/>
      <c r="D39" s="32" t="str">
        <f aca="true">IF(B39="","",IFERROR(INDEX(ProdCosto,MATCH(B39,ListaProductos,0))*1,""))</f>
        <v/>
      </c>
      <c r="E39" s="30" t="str">
        <f aca="false">IF(OR(B39="",D39=""),"",C39*D39)</f>
        <v/>
      </c>
      <c r="F39" s="30" t="str">
        <f aca="true">IF(B39="","",C39*IFERROR(INDEX(ProdPrecio,MATCH(B39,ListaProductos,0))*1,0))</f>
        <v/>
      </c>
    </row>
    <row r="40" customFormat="false" ht="15" hidden="false" customHeight="false" outlineLevel="0" collapsed="false">
      <c r="A40" s="15"/>
      <c r="B40" s="15"/>
      <c r="C40" s="27"/>
      <c r="D40" s="32" t="str">
        <f aca="true">IF(B40="","",IFERROR(INDEX(ProdCosto,MATCH(B40,ListaProductos,0))*1,""))</f>
        <v/>
      </c>
      <c r="E40" s="30" t="str">
        <f aca="false">IF(OR(B40="",D40=""),"",C40*D40)</f>
        <v/>
      </c>
      <c r="F40" s="30" t="str">
        <f aca="true">IF(B40="","",C40*IFERROR(INDEX(ProdPrecio,MATCH(B40,ListaProductos,0))*1,0))</f>
        <v/>
      </c>
    </row>
    <row r="41" customFormat="false" ht="15" hidden="false" customHeight="false" outlineLevel="0" collapsed="false">
      <c r="A41" s="15"/>
      <c r="B41" s="15"/>
      <c r="C41" s="27"/>
      <c r="D41" s="32" t="str">
        <f aca="true">IF(B41="","",IFERROR(INDEX(ProdCosto,MATCH(B41,ListaProductos,0))*1,""))</f>
        <v/>
      </c>
      <c r="E41" s="30" t="str">
        <f aca="false">IF(OR(B41="",D41=""),"",C41*D41)</f>
        <v/>
      </c>
      <c r="F41" s="30" t="str">
        <f aca="true">IF(B41="","",C41*IFERROR(INDEX(ProdPrecio,MATCH(B41,ListaProductos,0))*1,0))</f>
        <v/>
      </c>
    </row>
    <row r="42" customFormat="false" ht="15" hidden="false" customHeight="false" outlineLevel="0" collapsed="false">
      <c r="A42" s="15"/>
      <c r="B42" s="15"/>
      <c r="C42" s="27"/>
      <c r="D42" s="32" t="str">
        <f aca="true">IF(B42="","",IFERROR(INDEX(ProdCosto,MATCH(B42,ListaProductos,0))*1,""))</f>
        <v/>
      </c>
      <c r="E42" s="30" t="str">
        <f aca="false">IF(OR(B42="",D42=""),"",C42*D42)</f>
        <v/>
      </c>
      <c r="F42" s="30" t="str">
        <f aca="true">IF(B42="","",C42*IFERROR(INDEX(ProdPrecio,MATCH(B42,ListaProductos,0))*1,0))</f>
        <v/>
      </c>
    </row>
    <row r="43" customFormat="false" ht="15" hidden="false" customHeight="false" outlineLevel="0" collapsed="false">
      <c r="A43" s="15"/>
      <c r="B43" s="15"/>
      <c r="C43" s="27"/>
      <c r="D43" s="32" t="str">
        <f aca="true">IF(B43="","",IFERROR(INDEX(ProdCosto,MATCH(B43,ListaProductos,0))*1,""))</f>
        <v/>
      </c>
      <c r="E43" s="30" t="str">
        <f aca="false">IF(OR(B43="",D43=""),"",C43*D43)</f>
        <v/>
      </c>
      <c r="F43" s="30" t="str">
        <f aca="true">IF(B43="","",C43*IFERROR(INDEX(ProdPrecio,MATCH(B43,ListaProductos,0))*1,0))</f>
        <v/>
      </c>
    </row>
    <row r="44" customFormat="false" ht="15" hidden="false" customHeight="false" outlineLevel="0" collapsed="false">
      <c r="A44" s="15"/>
      <c r="B44" s="15"/>
      <c r="C44" s="27"/>
      <c r="D44" s="32" t="str">
        <f aca="true">IF(B44="","",IFERROR(INDEX(ProdCosto,MATCH(B44,ListaProductos,0))*1,""))</f>
        <v/>
      </c>
      <c r="E44" s="30" t="str">
        <f aca="false">IF(OR(B44="",D44=""),"",C44*D44)</f>
        <v/>
      </c>
      <c r="F44" s="30" t="str">
        <f aca="true">IF(B44="","",C44*IFERROR(INDEX(ProdPrecio,MATCH(B44,ListaProductos,0))*1,0))</f>
        <v/>
      </c>
    </row>
    <row r="45" customFormat="false" ht="15" hidden="false" customHeight="false" outlineLevel="0" collapsed="false">
      <c r="A45" s="15"/>
      <c r="B45" s="15"/>
      <c r="C45" s="27"/>
      <c r="D45" s="32" t="str">
        <f aca="true">IF(B45="","",IFERROR(INDEX(ProdCosto,MATCH(B45,ListaProductos,0))*1,""))</f>
        <v/>
      </c>
      <c r="E45" s="30" t="str">
        <f aca="false">IF(OR(B45="",D45=""),"",C45*D45)</f>
        <v/>
      </c>
      <c r="F45" s="30" t="str">
        <f aca="true">IF(B45="","",C45*IFERROR(INDEX(ProdPrecio,MATCH(B45,ListaProductos,0))*1,0))</f>
        <v/>
      </c>
    </row>
    <row r="46" customFormat="false" ht="15" hidden="false" customHeight="false" outlineLevel="0" collapsed="false">
      <c r="A46" s="15"/>
      <c r="B46" s="15"/>
      <c r="C46" s="27"/>
      <c r="D46" s="32" t="str">
        <f aca="true">IF(B46="","",IFERROR(INDEX(ProdCosto,MATCH(B46,ListaProductos,0))*1,""))</f>
        <v/>
      </c>
      <c r="E46" s="30" t="str">
        <f aca="false">IF(OR(B46="",D46=""),"",C46*D46)</f>
        <v/>
      </c>
      <c r="F46" s="30" t="str">
        <f aca="true">IF(B46="","",C46*IFERROR(INDEX(ProdPrecio,MATCH(B46,ListaProductos,0))*1,0))</f>
        <v/>
      </c>
    </row>
    <row r="47" customFormat="false" ht="15" hidden="false" customHeight="false" outlineLevel="0" collapsed="false">
      <c r="A47" s="15"/>
      <c r="B47" s="15"/>
      <c r="C47" s="27"/>
      <c r="D47" s="32" t="str">
        <f aca="true">IF(B47="","",IFERROR(INDEX(ProdCosto,MATCH(B47,ListaProductos,0))*1,""))</f>
        <v/>
      </c>
      <c r="E47" s="30" t="str">
        <f aca="false">IF(OR(B47="",D47=""),"",C47*D47)</f>
        <v/>
      </c>
      <c r="F47" s="30" t="str">
        <f aca="true">IF(B47="","",C47*IFERROR(INDEX(ProdPrecio,MATCH(B47,ListaProductos,0))*1,0))</f>
        <v/>
      </c>
    </row>
    <row r="48" customFormat="false" ht="15" hidden="false" customHeight="false" outlineLevel="0" collapsed="false">
      <c r="A48" s="15"/>
      <c r="B48" s="15"/>
      <c r="C48" s="27"/>
      <c r="D48" s="32" t="str">
        <f aca="true">IF(B48="","",IFERROR(INDEX(ProdCosto,MATCH(B48,ListaProductos,0))*1,""))</f>
        <v/>
      </c>
      <c r="E48" s="30" t="str">
        <f aca="false">IF(OR(B48="",D48=""),"",C48*D48)</f>
        <v/>
      </c>
      <c r="F48" s="30" t="str">
        <f aca="true">IF(B48="","",C48*IFERROR(INDEX(ProdPrecio,MATCH(B48,ListaProductos,0))*1,0))</f>
        <v/>
      </c>
    </row>
    <row r="49" customFormat="false" ht="15" hidden="false" customHeight="false" outlineLevel="0" collapsed="false">
      <c r="A49" s="15"/>
      <c r="B49" s="15"/>
      <c r="C49" s="27"/>
      <c r="D49" s="32" t="str">
        <f aca="true">IF(B49="","",IFERROR(INDEX(ProdCosto,MATCH(B49,ListaProductos,0))*1,""))</f>
        <v/>
      </c>
      <c r="E49" s="30" t="str">
        <f aca="false">IF(OR(B49="",D49=""),"",C49*D49)</f>
        <v/>
      </c>
      <c r="F49" s="30" t="str">
        <f aca="true">IF(B49="","",C49*IFERROR(INDEX(ProdPrecio,MATCH(B49,ListaProductos,0))*1,0))</f>
        <v/>
      </c>
    </row>
    <row r="50" customFormat="false" ht="15" hidden="false" customHeight="false" outlineLevel="0" collapsed="false">
      <c r="A50" s="15"/>
      <c r="B50" s="15"/>
      <c r="C50" s="27"/>
      <c r="D50" s="32" t="str">
        <f aca="true">IF(B50="","",IFERROR(INDEX(ProdCosto,MATCH(B50,ListaProductos,0))*1,""))</f>
        <v/>
      </c>
      <c r="E50" s="30" t="str">
        <f aca="false">IF(OR(B50="",D50=""),"",C50*D50)</f>
        <v/>
      </c>
      <c r="F50" s="30" t="str">
        <f aca="true">IF(B50="","",C50*IFERROR(INDEX(ProdPrecio,MATCH(B50,ListaProductos,0))*1,0))</f>
        <v/>
      </c>
    </row>
    <row r="51" customFormat="false" ht="15" hidden="false" customHeight="false" outlineLevel="0" collapsed="false">
      <c r="A51" s="15"/>
      <c r="B51" s="15"/>
      <c r="C51" s="27"/>
      <c r="D51" s="32" t="str">
        <f aca="true">IF(B51="","",IFERROR(INDEX(ProdCosto,MATCH(B51,ListaProductos,0))*1,""))</f>
        <v/>
      </c>
      <c r="E51" s="30" t="str">
        <f aca="false">IF(OR(B51="",D51=""),"",C51*D51)</f>
        <v/>
      </c>
      <c r="F51" s="30" t="str">
        <f aca="true">IF(B51="","",C51*IFERROR(INDEX(ProdPrecio,MATCH(B51,ListaProductos,0))*1,0))</f>
        <v/>
      </c>
    </row>
    <row r="52" customFormat="false" ht="15" hidden="false" customHeight="false" outlineLevel="0" collapsed="false">
      <c r="A52" s="15"/>
      <c r="B52" s="15"/>
      <c r="C52" s="27"/>
      <c r="D52" s="32" t="str">
        <f aca="true">IF(B52="","",IFERROR(INDEX(ProdCosto,MATCH(B52,ListaProductos,0))*1,""))</f>
        <v/>
      </c>
      <c r="E52" s="30" t="str">
        <f aca="false">IF(OR(B52="",D52=""),"",C52*D52)</f>
        <v/>
      </c>
      <c r="F52" s="30" t="str">
        <f aca="true">IF(B52="","",C52*IFERROR(INDEX(ProdPrecio,MATCH(B52,ListaProductos,0))*1,0))</f>
        <v/>
      </c>
    </row>
    <row r="53" customFormat="false" ht="15" hidden="false" customHeight="false" outlineLevel="0" collapsed="false">
      <c r="A53" s="15"/>
      <c r="B53" s="15"/>
      <c r="C53" s="27"/>
      <c r="D53" s="32" t="str">
        <f aca="true">IF(B53="","",IFERROR(INDEX(ProdCosto,MATCH(B53,ListaProductos,0))*1,""))</f>
        <v/>
      </c>
      <c r="E53" s="30" t="str">
        <f aca="false">IF(OR(B53="",D53=""),"",C53*D53)</f>
        <v/>
      </c>
      <c r="F53" s="30" t="str">
        <f aca="true">IF(B53="","",C53*IFERROR(INDEX(ProdPrecio,MATCH(B53,ListaProductos,0))*1,0))</f>
        <v/>
      </c>
    </row>
    <row r="54" customFormat="false" ht="15" hidden="false" customHeight="false" outlineLevel="0" collapsed="false">
      <c r="A54" s="15"/>
      <c r="B54" s="15"/>
      <c r="C54" s="27"/>
      <c r="D54" s="32" t="str">
        <f aca="true">IF(B54="","",IFERROR(INDEX(ProdCosto,MATCH(B54,ListaProductos,0))*1,""))</f>
        <v/>
      </c>
      <c r="E54" s="30" t="str">
        <f aca="false">IF(OR(B54="",D54=""),"",C54*D54)</f>
        <v/>
      </c>
      <c r="F54" s="30" t="str">
        <f aca="true">IF(B54="","",C54*IFERROR(INDEX(ProdPrecio,MATCH(B54,ListaProductos,0))*1,0))</f>
        <v/>
      </c>
    </row>
    <row r="55" customFormat="false" ht="15" hidden="false" customHeight="false" outlineLevel="0" collapsed="false">
      <c r="A55" s="15"/>
      <c r="B55" s="15"/>
      <c r="C55" s="27"/>
      <c r="D55" s="32" t="str">
        <f aca="true">IF(B55="","",IFERROR(INDEX(ProdCosto,MATCH(B55,ListaProductos,0))*1,""))</f>
        <v/>
      </c>
      <c r="E55" s="30" t="str">
        <f aca="false">IF(OR(B55="",D55=""),"",C55*D55)</f>
        <v/>
      </c>
      <c r="F55" s="30" t="str">
        <f aca="true">IF(B55="","",C55*IFERROR(INDEX(ProdPrecio,MATCH(B55,ListaProductos,0))*1,0))</f>
        <v/>
      </c>
    </row>
    <row r="56" customFormat="false" ht="15" hidden="false" customHeight="false" outlineLevel="0" collapsed="false">
      <c r="A56" s="15"/>
      <c r="B56" s="15"/>
      <c r="C56" s="27"/>
      <c r="D56" s="32" t="str">
        <f aca="true">IF(B56="","",IFERROR(INDEX(ProdCosto,MATCH(B56,ListaProductos,0))*1,""))</f>
        <v/>
      </c>
      <c r="E56" s="30" t="str">
        <f aca="false">IF(OR(B56="",D56=""),"",C56*D56)</f>
        <v/>
      </c>
      <c r="F56" s="30" t="str">
        <f aca="true">IF(B56="","",C56*IFERROR(INDEX(ProdPrecio,MATCH(B56,ListaProductos,0))*1,0))</f>
        <v/>
      </c>
    </row>
    <row r="57" customFormat="false" ht="15" hidden="false" customHeight="false" outlineLevel="0" collapsed="false">
      <c r="A57" s="15"/>
      <c r="B57" s="15"/>
      <c r="C57" s="27"/>
      <c r="D57" s="32" t="str">
        <f aca="true">IF(B57="","",IFERROR(INDEX(ProdCosto,MATCH(B57,ListaProductos,0))*1,""))</f>
        <v/>
      </c>
      <c r="E57" s="30" t="str">
        <f aca="false">IF(OR(B57="",D57=""),"",C57*D57)</f>
        <v/>
      </c>
      <c r="F57" s="30" t="str">
        <f aca="true">IF(B57="","",C57*IFERROR(INDEX(ProdPrecio,MATCH(B57,ListaProductos,0))*1,0))</f>
        <v/>
      </c>
    </row>
    <row r="58" customFormat="false" ht="15" hidden="false" customHeight="false" outlineLevel="0" collapsed="false">
      <c r="A58" s="15"/>
      <c r="B58" s="15"/>
      <c r="C58" s="27"/>
      <c r="D58" s="32" t="str">
        <f aca="true">IF(B58="","",IFERROR(INDEX(ProdCosto,MATCH(B58,ListaProductos,0))*1,""))</f>
        <v/>
      </c>
      <c r="E58" s="30" t="str">
        <f aca="false">IF(OR(B58="",D58=""),"",C58*D58)</f>
        <v/>
      </c>
      <c r="F58" s="30" t="str">
        <f aca="true">IF(B58="","",C58*IFERROR(INDEX(ProdPrecio,MATCH(B58,ListaProductos,0))*1,0))</f>
        <v/>
      </c>
    </row>
    <row r="59" customFormat="false" ht="15" hidden="false" customHeight="false" outlineLevel="0" collapsed="false">
      <c r="A59" s="15"/>
      <c r="B59" s="15"/>
      <c r="C59" s="27"/>
      <c r="D59" s="32" t="str">
        <f aca="true">IF(B59="","",IFERROR(INDEX(ProdCosto,MATCH(B59,ListaProductos,0))*1,""))</f>
        <v/>
      </c>
      <c r="E59" s="30" t="str">
        <f aca="false">IF(OR(B59="",D59=""),"",C59*D59)</f>
        <v/>
      </c>
      <c r="F59" s="30" t="str">
        <f aca="true">IF(B59="","",C59*IFERROR(INDEX(ProdPrecio,MATCH(B59,ListaProductos,0))*1,0))</f>
        <v/>
      </c>
    </row>
    <row r="60" customFormat="false" ht="15" hidden="false" customHeight="false" outlineLevel="0" collapsed="false">
      <c r="A60" s="15"/>
      <c r="B60" s="15"/>
      <c r="C60" s="27"/>
      <c r="D60" s="32" t="str">
        <f aca="true">IF(B60="","",IFERROR(INDEX(ProdCosto,MATCH(B60,ListaProductos,0))*1,""))</f>
        <v/>
      </c>
      <c r="E60" s="30" t="str">
        <f aca="false">IF(OR(B60="",D60=""),"",C60*D60)</f>
        <v/>
      </c>
      <c r="F60" s="30" t="str">
        <f aca="true">IF(B60="","",C60*IFERROR(INDEX(ProdPrecio,MATCH(B60,ListaProductos,0))*1,0))</f>
        <v/>
      </c>
    </row>
    <row r="61" customFormat="false" ht="15" hidden="false" customHeight="false" outlineLevel="0" collapsed="false">
      <c r="A61" s="15"/>
      <c r="B61" s="15"/>
      <c r="C61" s="27"/>
      <c r="D61" s="32" t="str">
        <f aca="true">IF(B61="","",IFERROR(INDEX(ProdCosto,MATCH(B61,ListaProductos,0))*1,""))</f>
        <v/>
      </c>
      <c r="E61" s="30" t="str">
        <f aca="false">IF(OR(B61="",D61=""),"",C61*D61)</f>
        <v/>
      </c>
      <c r="F61" s="30" t="str">
        <f aca="true">IF(B61="","",C61*IFERROR(INDEX(ProdPrecio,MATCH(B61,ListaProductos,0))*1,0))</f>
        <v/>
      </c>
    </row>
    <row r="62" customFormat="false" ht="15" hidden="false" customHeight="false" outlineLevel="0" collapsed="false">
      <c r="A62" s="15"/>
      <c r="B62" s="15"/>
      <c r="C62" s="27"/>
      <c r="D62" s="32" t="str">
        <f aca="true">IF(B62="","",IFERROR(INDEX(ProdCosto,MATCH(B62,ListaProductos,0))*1,""))</f>
        <v/>
      </c>
      <c r="E62" s="30" t="str">
        <f aca="false">IF(OR(B62="",D62=""),"",C62*D62)</f>
        <v/>
      </c>
      <c r="F62" s="30" t="str">
        <f aca="true">IF(B62="","",C62*IFERROR(INDEX(ProdPrecio,MATCH(B62,ListaProductos,0))*1,0))</f>
        <v/>
      </c>
    </row>
    <row r="63" customFormat="false" ht="15" hidden="false" customHeight="false" outlineLevel="0" collapsed="false">
      <c r="A63" s="15"/>
      <c r="B63" s="15"/>
      <c r="C63" s="27"/>
      <c r="D63" s="32" t="str">
        <f aca="true">IF(B63="","",IFERROR(INDEX(ProdCosto,MATCH(B63,ListaProductos,0))*1,""))</f>
        <v/>
      </c>
      <c r="E63" s="30" t="str">
        <f aca="false">IF(OR(B63="",D63=""),"",C63*D63)</f>
        <v/>
      </c>
      <c r="F63" s="30" t="str">
        <f aca="true">IF(B63="","",C63*IFERROR(INDEX(ProdPrecio,MATCH(B63,ListaProductos,0))*1,0))</f>
        <v/>
      </c>
    </row>
    <row r="64" customFormat="false" ht="15" hidden="false" customHeight="false" outlineLevel="0" collapsed="false">
      <c r="A64" s="15"/>
      <c r="B64" s="15"/>
      <c r="C64" s="27"/>
      <c r="D64" s="32" t="str">
        <f aca="true">IF(B64="","",IFERROR(INDEX(ProdCosto,MATCH(B64,ListaProductos,0))*1,""))</f>
        <v/>
      </c>
      <c r="E64" s="30" t="str">
        <f aca="false">IF(OR(B64="",D64=""),"",C64*D64)</f>
        <v/>
      </c>
      <c r="F64" s="30" t="str">
        <f aca="true">IF(B64="","",C64*IFERROR(INDEX(ProdPrecio,MATCH(B64,ListaProductos,0))*1,0))</f>
        <v/>
      </c>
    </row>
    <row r="65" customFormat="false" ht="15" hidden="false" customHeight="false" outlineLevel="0" collapsed="false">
      <c r="A65" s="15"/>
      <c r="B65" s="15"/>
      <c r="C65" s="27"/>
      <c r="D65" s="32" t="str">
        <f aca="true">IF(B65="","",IFERROR(INDEX(ProdCosto,MATCH(B65,ListaProductos,0))*1,""))</f>
        <v/>
      </c>
      <c r="E65" s="30" t="str">
        <f aca="false">IF(OR(B65="",D65=""),"",C65*D65)</f>
        <v/>
      </c>
      <c r="F65" s="30" t="str">
        <f aca="true">IF(B65="","",C65*IFERROR(INDEX(ProdPrecio,MATCH(B65,ListaProductos,0))*1,0))</f>
        <v/>
      </c>
    </row>
    <row r="66" customFormat="false" ht="15" hidden="false" customHeight="false" outlineLevel="0" collapsed="false">
      <c r="A66" s="15"/>
      <c r="B66" s="15"/>
      <c r="C66" s="27"/>
      <c r="D66" s="32" t="str">
        <f aca="true">IF(B66="","",IFERROR(INDEX(ProdCosto,MATCH(B66,ListaProductos,0))*1,""))</f>
        <v/>
      </c>
      <c r="E66" s="30" t="str">
        <f aca="false">IF(OR(B66="",D66=""),"",C66*D66)</f>
        <v/>
      </c>
      <c r="F66" s="30" t="str">
        <f aca="true">IF(B66="","",C66*IFERROR(INDEX(ProdPrecio,MATCH(B66,ListaProductos,0))*1,0))</f>
        <v/>
      </c>
    </row>
    <row r="67" customFormat="false" ht="15" hidden="false" customHeight="false" outlineLevel="0" collapsed="false">
      <c r="A67" s="15"/>
      <c r="B67" s="15"/>
      <c r="C67" s="27"/>
      <c r="D67" s="32" t="str">
        <f aca="true">IF(B67="","",IFERROR(INDEX(ProdCosto,MATCH(B67,ListaProductos,0))*1,""))</f>
        <v/>
      </c>
      <c r="E67" s="30" t="str">
        <f aca="false">IF(OR(B67="",D67=""),"",C67*D67)</f>
        <v/>
      </c>
      <c r="F67" s="30" t="str">
        <f aca="true">IF(B67="","",C67*IFERROR(INDEX(ProdPrecio,MATCH(B67,ListaProductos,0))*1,0))</f>
        <v/>
      </c>
    </row>
    <row r="68" customFormat="false" ht="15" hidden="false" customHeight="false" outlineLevel="0" collapsed="false">
      <c r="A68" s="15"/>
      <c r="B68" s="15"/>
      <c r="C68" s="27"/>
      <c r="D68" s="32" t="str">
        <f aca="true">IF(B68="","",IFERROR(INDEX(ProdCosto,MATCH(B68,ListaProductos,0))*1,""))</f>
        <v/>
      </c>
      <c r="E68" s="30" t="str">
        <f aca="false">IF(OR(B68="",D68=""),"",C68*D68)</f>
        <v/>
      </c>
      <c r="F68" s="30" t="str">
        <f aca="true">IF(B68="","",C68*IFERROR(INDEX(ProdPrecio,MATCH(B68,ListaProductos,0))*1,0))</f>
        <v/>
      </c>
    </row>
    <row r="69" customFormat="false" ht="15" hidden="false" customHeight="false" outlineLevel="0" collapsed="false">
      <c r="A69" s="15"/>
      <c r="B69" s="15"/>
      <c r="C69" s="27"/>
      <c r="D69" s="32" t="str">
        <f aca="true">IF(B69="","",IFERROR(INDEX(ProdCosto,MATCH(B69,ListaProductos,0))*1,""))</f>
        <v/>
      </c>
      <c r="E69" s="30" t="str">
        <f aca="false">IF(OR(B69="",D69=""),"",C69*D69)</f>
        <v/>
      </c>
      <c r="F69" s="30" t="str">
        <f aca="true">IF(B69="","",C69*IFERROR(INDEX(ProdPrecio,MATCH(B69,ListaProductos,0))*1,0))</f>
        <v/>
      </c>
    </row>
    <row r="70" customFormat="false" ht="15" hidden="false" customHeight="false" outlineLevel="0" collapsed="false">
      <c r="A70" s="15"/>
      <c r="B70" s="15"/>
      <c r="C70" s="27"/>
      <c r="D70" s="32" t="str">
        <f aca="true">IF(B70="","",IFERROR(INDEX(ProdCosto,MATCH(B70,ListaProductos,0))*1,""))</f>
        <v/>
      </c>
      <c r="E70" s="30" t="str">
        <f aca="false">IF(OR(B70="",D70=""),"",C70*D70)</f>
        <v/>
      </c>
      <c r="F70" s="30" t="str">
        <f aca="true">IF(B70="","",C70*IFERROR(INDEX(ProdPrecio,MATCH(B70,ListaProductos,0))*1,0))</f>
        <v/>
      </c>
    </row>
    <row r="71" customFormat="false" ht="15" hidden="false" customHeight="false" outlineLevel="0" collapsed="false">
      <c r="A71" s="15"/>
      <c r="B71" s="15"/>
      <c r="C71" s="27"/>
      <c r="D71" s="32" t="str">
        <f aca="true">IF(B71="","",IFERROR(INDEX(ProdCosto,MATCH(B71,ListaProductos,0))*1,""))</f>
        <v/>
      </c>
      <c r="E71" s="30" t="str">
        <f aca="false">IF(OR(B71="",D71=""),"",C71*D71)</f>
        <v/>
      </c>
      <c r="F71" s="30" t="str">
        <f aca="true">IF(B71="","",C71*IFERROR(INDEX(ProdPrecio,MATCH(B71,ListaProductos,0))*1,0))</f>
        <v/>
      </c>
    </row>
    <row r="72" customFormat="false" ht="15" hidden="false" customHeight="false" outlineLevel="0" collapsed="false">
      <c r="A72" s="15"/>
      <c r="B72" s="15"/>
      <c r="C72" s="27"/>
      <c r="D72" s="32" t="str">
        <f aca="true">IF(B72="","",IFERROR(INDEX(ProdCosto,MATCH(B72,ListaProductos,0))*1,""))</f>
        <v/>
      </c>
      <c r="E72" s="30" t="str">
        <f aca="false">IF(OR(B72="",D72=""),"",C72*D72)</f>
        <v/>
      </c>
      <c r="F72" s="30" t="str">
        <f aca="true">IF(B72="","",C72*IFERROR(INDEX(ProdPrecio,MATCH(B72,ListaProductos,0))*1,0))</f>
        <v/>
      </c>
    </row>
    <row r="73" customFormat="false" ht="15" hidden="false" customHeight="false" outlineLevel="0" collapsed="false">
      <c r="A73" s="15"/>
      <c r="B73" s="15"/>
      <c r="C73" s="27"/>
      <c r="D73" s="32" t="str">
        <f aca="true">IF(B73="","",IFERROR(INDEX(ProdCosto,MATCH(B73,ListaProductos,0))*1,""))</f>
        <v/>
      </c>
      <c r="E73" s="30" t="str">
        <f aca="false">IF(OR(B73="",D73=""),"",C73*D73)</f>
        <v/>
      </c>
      <c r="F73" s="30" t="str">
        <f aca="true">IF(B73="","",C73*IFERROR(INDEX(ProdPrecio,MATCH(B73,ListaProductos,0))*1,0))</f>
        <v/>
      </c>
    </row>
    <row r="74" customFormat="false" ht="15" hidden="false" customHeight="false" outlineLevel="0" collapsed="false">
      <c r="A74" s="15"/>
      <c r="B74" s="15"/>
      <c r="C74" s="27"/>
      <c r="D74" s="32" t="str">
        <f aca="true">IF(B74="","",IFERROR(INDEX(ProdCosto,MATCH(B74,ListaProductos,0))*1,""))</f>
        <v/>
      </c>
      <c r="E74" s="30" t="str">
        <f aca="false">IF(OR(B74="",D74=""),"",C74*D74)</f>
        <v/>
      </c>
      <c r="F74" s="30" t="str">
        <f aca="true">IF(B74="","",C74*IFERROR(INDEX(ProdPrecio,MATCH(B74,ListaProductos,0))*1,0))</f>
        <v/>
      </c>
    </row>
    <row r="75" customFormat="false" ht="15" hidden="false" customHeight="false" outlineLevel="0" collapsed="false">
      <c r="A75" s="15"/>
      <c r="B75" s="15"/>
      <c r="C75" s="27"/>
      <c r="D75" s="32" t="str">
        <f aca="true">IF(B75="","",IFERROR(INDEX(ProdCosto,MATCH(B75,ListaProductos,0))*1,""))</f>
        <v/>
      </c>
      <c r="E75" s="30" t="str">
        <f aca="false">IF(OR(B75="",D75=""),"",C75*D75)</f>
        <v/>
      </c>
      <c r="F75" s="30" t="str">
        <f aca="true">IF(B75="","",C75*IFERROR(INDEX(ProdPrecio,MATCH(B75,ListaProductos,0))*1,0))</f>
        <v/>
      </c>
    </row>
    <row r="76" customFormat="false" ht="15" hidden="false" customHeight="false" outlineLevel="0" collapsed="false">
      <c r="A76" s="15"/>
      <c r="B76" s="15"/>
      <c r="C76" s="27"/>
      <c r="D76" s="32" t="str">
        <f aca="true">IF(B76="","",IFERROR(INDEX(ProdCosto,MATCH(B76,ListaProductos,0))*1,""))</f>
        <v/>
      </c>
      <c r="E76" s="30" t="str">
        <f aca="false">IF(OR(B76="",D76=""),"",C76*D76)</f>
        <v/>
      </c>
      <c r="F76" s="30" t="str">
        <f aca="true">IF(B76="","",C76*IFERROR(INDEX(ProdPrecio,MATCH(B76,ListaProductos,0))*1,0))</f>
        <v/>
      </c>
    </row>
    <row r="77" customFormat="false" ht="15" hidden="false" customHeight="false" outlineLevel="0" collapsed="false">
      <c r="A77" s="15"/>
      <c r="B77" s="15"/>
      <c r="C77" s="27"/>
      <c r="D77" s="32" t="str">
        <f aca="true">IF(B77="","",IFERROR(INDEX(ProdCosto,MATCH(B77,ListaProductos,0))*1,""))</f>
        <v/>
      </c>
      <c r="E77" s="30" t="str">
        <f aca="false">IF(OR(B77="",D77=""),"",C77*D77)</f>
        <v/>
      </c>
      <c r="F77" s="30" t="str">
        <f aca="true">IF(B77="","",C77*IFERROR(INDEX(ProdPrecio,MATCH(B77,ListaProductos,0))*1,0))</f>
        <v/>
      </c>
    </row>
    <row r="78" customFormat="false" ht="15" hidden="false" customHeight="false" outlineLevel="0" collapsed="false">
      <c r="A78" s="15"/>
      <c r="B78" s="15"/>
      <c r="C78" s="27"/>
      <c r="D78" s="32" t="str">
        <f aca="true">IF(B78="","",IFERROR(INDEX(ProdCosto,MATCH(B78,ListaProductos,0))*1,""))</f>
        <v/>
      </c>
      <c r="E78" s="30" t="str">
        <f aca="false">IF(OR(B78="",D78=""),"",C78*D78)</f>
        <v/>
      </c>
      <c r="F78" s="30" t="str">
        <f aca="true">IF(B78="","",C78*IFERROR(INDEX(ProdPrecio,MATCH(B78,ListaProductos,0))*1,0))</f>
        <v/>
      </c>
    </row>
    <row r="79" customFormat="false" ht="15" hidden="false" customHeight="false" outlineLevel="0" collapsed="false">
      <c r="A79" s="15"/>
      <c r="B79" s="15"/>
      <c r="C79" s="27"/>
      <c r="D79" s="32" t="str">
        <f aca="true">IF(B79="","",IFERROR(INDEX(ProdCosto,MATCH(B79,ListaProductos,0))*1,""))</f>
        <v/>
      </c>
      <c r="E79" s="30" t="str">
        <f aca="false">IF(OR(B79="",D79=""),"",C79*D79)</f>
        <v/>
      </c>
      <c r="F79" s="30" t="str">
        <f aca="true">IF(B79="","",C79*IFERROR(INDEX(ProdPrecio,MATCH(B79,ListaProductos,0))*1,0))</f>
        <v/>
      </c>
    </row>
    <row r="80" customFormat="false" ht="15" hidden="false" customHeight="false" outlineLevel="0" collapsed="false">
      <c r="A80" s="15"/>
      <c r="B80" s="15"/>
      <c r="C80" s="27"/>
      <c r="D80" s="32" t="str">
        <f aca="true">IF(B80="","",IFERROR(INDEX(ProdCosto,MATCH(B80,ListaProductos,0))*1,""))</f>
        <v/>
      </c>
      <c r="E80" s="30" t="str">
        <f aca="false">IF(OR(B80="",D80=""),"",C80*D80)</f>
        <v/>
      </c>
      <c r="F80" s="30" t="str">
        <f aca="true">IF(B80="","",C80*IFERROR(INDEX(ProdPrecio,MATCH(B80,ListaProductos,0))*1,0))</f>
        <v/>
      </c>
    </row>
    <row r="81" customFormat="false" ht="15" hidden="false" customHeight="false" outlineLevel="0" collapsed="false">
      <c r="A81" s="15"/>
      <c r="B81" s="15"/>
      <c r="C81" s="27"/>
      <c r="D81" s="32" t="str">
        <f aca="true">IF(B81="","",IFERROR(INDEX(ProdCosto,MATCH(B81,ListaProductos,0))*1,""))</f>
        <v/>
      </c>
      <c r="E81" s="30" t="str">
        <f aca="false">IF(OR(B81="",D81=""),"",C81*D81)</f>
        <v/>
      </c>
      <c r="F81" s="30" t="str">
        <f aca="true">IF(B81="","",C81*IFERROR(INDEX(ProdPrecio,MATCH(B81,ListaProductos,0))*1,0))</f>
        <v/>
      </c>
    </row>
    <row r="82" customFormat="false" ht="15" hidden="false" customHeight="false" outlineLevel="0" collapsed="false">
      <c r="A82" s="15"/>
      <c r="B82" s="15"/>
      <c r="C82" s="27"/>
      <c r="D82" s="32" t="str">
        <f aca="true">IF(B82="","",IFERROR(INDEX(ProdCosto,MATCH(B82,ListaProductos,0))*1,""))</f>
        <v/>
      </c>
      <c r="E82" s="30" t="str">
        <f aca="false">IF(OR(B82="",D82=""),"",C82*D82)</f>
        <v/>
      </c>
      <c r="F82" s="30" t="str">
        <f aca="true">IF(B82="","",C82*IFERROR(INDEX(ProdPrecio,MATCH(B82,ListaProductos,0))*1,0))</f>
        <v/>
      </c>
    </row>
    <row r="83" customFormat="false" ht="15" hidden="false" customHeight="false" outlineLevel="0" collapsed="false">
      <c r="A83" s="15"/>
      <c r="B83" s="15"/>
      <c r="C83" s="27"/>
      <c r="D83" s="32" t="str">
        <f aca="true">IF(B83="","",IFERROR(INDEX(ProdCosto,MATCH(B83,ListaProductos,0))*1,""))</f>
        <v/>
      </c>
      <c r="E83" s="30" t="str">
        <f aca="false">IF(OR(B83="",D83=""),"",C83*D83)</f>
        <v/>
      </c>
      <c r="F83" s="30" t="str">
        <f aca="true">IF(B83="","",C83*IFERROR(INDEX(ProdPrecio,MATCH(B83,ListaProductos,0))*1,0))</f>
        <v/>
      </c>
    </row>
    <row r="84" customFormat="false" ht="15" hidden="false" customHeight="false" outlineLevel="0" collapsed="false">
      <c r="A84" s="15"/>
      <c r="B84" s="15"/>
      <c r="C84" s="27"/>
      <c r="D84" s="32" t="str">
        <f aca="true">IF(B84="","",IFERROR(INDEX(ProdCosto,MATCH(B84,ListaProductos,0))*1,""))</f>
        <v/>
      </c>
      <c r="E84" s="30" t="str">
        <f aca="false">IF(OR(B84="",D84=""),"",C84*D84)</f>
        <v/>
      </c>
      <c r="F84" s="30" t="str">
        <f aca="true">IF(B84="","",C84*IFERROR(INDEX(ProdPrecio,MATCH(B84,ListaProductos,0))*1,0))</f>
        <v/>
      </c>
    </row>
    <row r="85" customFormat="false" ht="15" hidden="false" customHeight="false" outlineLevel="0" collapsed="false">
      <c r="A85" s="15"/>
      <c r="B85" s="15"/>
      <c r="C85" s="27"/>
      <c r="D85" s="32" t="str">
        <f aca="true">IF(B85="","",IFERROR(INDEX(ProdCosto,MATCH(B85,ListaProductos,0))*1,""))</f>
        <v/>
      </c>
      <c r="E85" s="30" t="str">
        <f aca="false">IF(OR(B85="",D85=""),"",C85*D85)</f>
        <v/>
      </c>
      <c r="F85" s="30" t="str">
        <f aca="true">IF(B85="","",C85*IFERROR(INDEX(ProdPrecio,MATCH(B85,ListaProductos,0))*1,0))</f>
        <v/>
      </c>
    </row>
    <row r="86" customFormat="false" ht="15" hidden="false" customHeight="false" outlineLevel="0" collapsed="false">
      <c r="A86" s="15"/>
      <c r="B86" s="15"/>
      <c r="C86" s="27"/>
      <c r="D86" s="32" t="str">
        <f aca="true">IF(B86="","",IFERROR(INDEX(ProdCosto,MATCH(B86,ListaProductos,0))*1,""))</f>
        <v/>
      </c>
      <c r="E86" s="30" t="str">
        <f aca="false">IF(OR(B86="",D86=""),"",C86*D86)</f>
        <v/>
      </c>
      <c r="F86" s="30" t="str">
        <f aca="true">IF(B86="","",C86*IFERROR(INDEX(ProdPrecio,MATCH(B86,ListaProductos,0))*1,0))</f>
        <v/>
      </c>
    </row>
    <row r="87" customFormat="false" ht="15" hidden="false" customHeight="false" outlineLevel="0" collapsed="false">
      <c r="A87" s="15"/>
      <c r="B87" s="15"/>
      <c r="C87" s="27"/>
      <c r="D87" s="32" t="str">
        <f aca="true">IF(B87="","",IFERROR(INDEX(ProdCosto,MATCH(B87,ListaProductos,0))*1,""))</f>
        <v/>
      </c>
      <c r="E87" s="30" t="str">
        <f aca="false">IF(OR(B87="",D87=""),"",C87*D87)</f>
        <v/>
      </c>
      <c r="F87" s="30" t="str">
        <f aca="true">IF(B87="","",C87*IFERROR(INDEX(ProdPrecio,MATCH(B87,ListaProductos,0))*1,0))</f>
        <v/>
      </c>
    </row>
    <row r="88" customFormat="false" ht="15" hidden="false" customHeight="false" outlineLevel="0" collapsed="false">
      <c r="A88" s="15"/>
      <c r="B88" s="15"/>
      <c r="C88" s="27"/>
      <c r="D88" s="32" t="str">
        <f aca="true">IF(B88="","",IFERROR(INDEX(ProdCosto,MATCH(B88,ListaProductos,0))*1,""))</f>
        <v/>
      </c>
      <c r="E88" s="30" t="str">
        <f aca="false">IF(OR(B88="",D88=""),"",C88*D88)</f>
        <v/>
      </c>
      <c r="F88" s="30" t="str">
        <f aca="true">IF(B88="","",C88*IFERROR(INDEX(ProdPrecio,MATCH(B88,ListaProductos,0))*1,0))</f>
        <v/>
      </c>
    </row>
    <row r="89" customFormat="false" ht="15" hidden="false" customHeight="false" outlineLevel="0" collapsed="false">
      <c r="A89" s="15"/>
      <c r="B89" s="15"/>
      <c r="C89" s="27"/>
      <c r="D89" s="32" t="str">
        <f aca="true">IF(B89="","",IFERROR(INDEX(ProdCosto,MATCH(B89,ListaProductos,0))*1,""))</f>
        <v/>
      </c>
      <c r="E89" s="30" t="str">
        <f aca="false">IF(OR(B89="",D89=""),"",C89*D89)</f>
        <v/>
      </c>
      <c r="F89" s="30" t="str">
        <f aca="true">IF(B89="","",C89*IFERROR(INDEX(ProdPrecio,MATCH(B89,ListaProductos,0))*1,0))</f>
        <v/>
      </c>
    </row>
    <row r="90" customFormat="false" ht="15" hidden="false" customHeight="false" outlineLevel="0" collapsed="false">
      <c r="A90" s="15"/>
      <c r="B90" s="15"/>
      <c r="C90" s="27"/>
      <c r="D90" s="32" t="str">
        <f aca="true">IF(B90="","",IFERROR(INDEX(ProdCosto,MATCH(B90,ListaProductos,0))*1,""))</f>
        <v/>
      </c>
      <c r="E90" s="30" t="str">
        <f aca="false">IF(OR(B90="",D90=""),"",C90*D90)</f>
        <v/>
      </c>
      <c r="F90" s="30" t="str">
        <f aca="true">IF(B90="","",C90*IFERROR(INDEX(ProdPrecio,MATCH(B90,ListaProductos,0))*1,0))</f>
        <v/>
      </c>
    </row>
    <row r="91" customFormat="false" ht="15" hidden="false" customHeight="false" outlineLevel="0" collapsed="false">
      <c r="A91" s="15"/>
      <c r="B91" s="15"/>
      <c r="C91" s="27"/>
      <c r="D91" s="32" t="str">
        <f aca="true">IF(B91="","",IFERROR(INDEX(ProdCosto,MATCH(B91,ListaProductos,0))*1,""))</f>
        <v/>
      </c>
      <c r="E91" s="30" t="str">
        <f aca="false">IF(OR(B91="",D91=""),"",C91*D91)</f>
        <v/>
      </c>
      <c r="F91" s="30" t="str">
        <f aca="true">IF(B91="","",C91*IFERROR(INDEX(ProdPrecio,MATCH(B91,ListaProductos,0))*1,0))</f>
        <v/>
      </c>
    </row>
    <row r="92" customFormat="false" ht="15" hidden="false" customHeight="false" outlineLevel="0" collapsed="false">
      <c r="A92" s="15"/>
      <c r="B92" s="15"/>
      <c r="C92" s="27"/>
      <c r="D92" s="32" t="str">
        <f aca="true">IF(B92="","",IFERROR(INDEX(ProdCosto,MATCH(B92,ListaProductos,0))*1,""))</f>
        <v/>
      </c>
      <c r="E92" s="30" t="str">
        <f aca="false">IF(OR(B92="",D92=""),"",C92*D92)</f>
        <v/>
      </c>
      <c r="F92" s="30" t="str">
        <f aca="true">IF(B92="","",C92*IFERROR(INDEX(ProdPrecio,MATCH(B92,ListaProductos,0))*1,0))</f>
        <v/>
      </c>
    </row>
    <row r="93" customFormat="false" ht="15" hidden="false" customHeight="false" outlineLevel="0" collapsed="false">
      <c r="A93" s="15"/>
      <c r="B93" s="15"/>
      <c r="C93" s="27"/>
      <c r="D93" s="32" t="str">
        <f aca="true">IF(B93="","",IFERROR(INDEX(ProdCosto,MATCH(B93,ListaProductos,0))*1,""))</f>
        <v/>
      </c>
      <c r="E93" s="30" t="str">
        <f aca="false">IF(OR(B93="",D93=""),"",C93*D93)</f>
        <v/>
      </c>
      <c r="F93" s="30" t="str">
        <f aca="true">IF(B93="","",C93*IFERROR(INDEX(ProdPrecio,MATCH(B93,ListaProductos,0))*1,0))</f>
        <v/>
      </c>
    </row>
    <row r="94" customFormat="false" ht="15" hidden="false" customHeight="false" outlineLevel="0" collapsed="false">
      <c r="A94" s="15"/>
      <c r="B94" s="15"/>
      <c r="C94" s="27"/>
      <c r="D94" s="32" t="str">
        <f aca="true">IF(B94="","",IFERROR(INDEX(ProdCosto,MATCH(B94,ListaProductos,0))*1,""))</f>
        <v/>
      </c>
      <c r="E94" s="30" t="str">
        <f aca="false">IF(OR(B94="",D94=""),"",C94*D94)</f>
        <v/>
      </c>
      <c r="F94" s="30" t="str">
        <f aca="true">IF(B94="","",C94*IFERROR(INDEX(ProdPrecio,MATCH(B94,ListaProductos,0))*1,0))</f>
        <v/>
      </c>
    </row>
    <row r="95" customFormat="false" ht="15" hidden="false" customHeight="false" outlineLevel="0" collapsed="false">
      <c r="A95" s="15"/>
      <c r="B95" s="15"/>
      <c r="C95" s="27"/>
      <c r="D95" s="32" t="str">
        <f aca="true">IF(B95="","",IFERROR(INDEX(ProdCosto,MATCH(B95,ListaProductos,0))*1,""))</f>
        <v/>
      </c>
      <c r="E95" s="30" t="str">
        <f aca="false">IF(OR(B95="",D95=""),"",C95*D95)</f>
        <v/>
      </c>
      <c r="F95" s="30" t="str">
        <f aca="true">IF(B95="","",C95*IFERROR(INDEX(ProdPrecio,MATCH(B95,ListaProductos,0))*1,0))</f>
        <v/>
      </c>
    </row>
    <row r="96" customFormat="false" ht="15" hidden="false" customHeight="false" outlineLevel="0" collapsed="false">
      <c r="A96" s="15"/>
      <c r="B96" s="15"/>
      <c r="C96" s="27"/>
      <c r="D96" s="32" t="str">
        <f aca="true">IF(B96="","",IFERROR(INDEX(ProdCosto,MATCH(B96,ListaProductos,0))*1,""))</f>
        <v/>
      </c>
      <c r="E96" s="30" t="str">
        <f aca="false">IF(OR(B96="",D96=""),"",C96*D96)</f>
        <v/>
      </c>
      <c r="F96" s="30" t="str">
        <f aca="true">IF(B96="","",C96*IFERROR(INDEX(ProdPrecio,MATCH(B96,ListaProductos,0))*1,0))</f>
        <v/>
      </c>
    </row>
    <row r="97" customFormat="false" ht="15" hidden="false" customHeight="false" outlineLevel="0" collapsed="false">
      <c r="A97" s="15"/>
      <c r="B97" s="15"/>
      <c r="C97" s="27"/>
      <c r="D97" s="32" t="str">
        <f aca="true">IF(B97="","",IFERROR(INDEX(ProdCosto,MATCH(B97,ListaProductos,0))*1,""))</f>
        <v/>
      </c>
      <c r="E97" s="30" t="str">
        <f aca="false">IF(OR(B97="",D97=""),"",C97*D97)</f>
        <v/>
      </c>
      <c r="F97" s="30" t="str">
        <f aca="true">IF(B97="","",C97*IFERROR(INDEX(ProdPrecio,MATCH(B97,ListaProductos,0))*1,0))</f>
        <v/>
      </c>
    </row>
    <row r="98" customFormat="false" ht="15" hidden="false" customHeight="false" outlineLevel="0" collapsed="false">
      <c r="A98" s="15"/>
      <c r="B98" s="15"/>
      <c r="C98" s="27"/>
      <c r="D98" s="32" t="str">
        <f aca="true">IF(B98="","",IFERROR(INDEX(ProdCosto,MATCH(B98,ListaProductos,0))*1,""))</f>
        <v/>
      </c>
      <c r="E98" s="30" t="str">
        <f aca="false">IF(OR(B98="",D98=""),"",C98*D98)</f>
        <v/>
      </c>
      <c r="F98" s="30" t="str">
        <f aca="true">IF(B98="","",C98*IFERROR(INDEX(ProdPrecio,MATCH(B98,ListaProductos,0))*1,0))</f>
        <v/>
      </c>
    </row>
    <row r="99" customFormat="false" ht="15" hidden="false" customHeight="false" outlineLevel="0" collapsed="false">
      <c r="A99" s="15"/>
      <c r="B99" s="15"/>
      <c r="C99" s="27"/>
      <c r="D99" s="32" t="str">
        <f aca="true">IF(B99="","",IFERROR(INDEX(ProdCosto,MATCH(B99,ListaProductos,0))*1,""))</f>
        <v/>
      </c>
      <c r="E99" s="30" t="str">
        <f aca="false">IF(OR(B99="",D99=""),"",C99*D99)</f>
        <v/>
      </c>
      <c r="F99" s="30" t="str">
        <f aca="true">IF(B99="","",C99*IFERROR(INDEX(ProdPrecio,MATCH(B99,ListaProductos,0))*1,0))</f>
        <v/>
      </c>
    </row>
    <row r="100" customFormat="false" ht="15" hidden="false" customHeight="false" outlineLevel="0" collapsed="false">
      <c r="A100" s="15"/>
      <c r="B100" s="15"/>
      <c r="C100" s="27"/>
      <c r="D100" s="32" t="str">
        <f aca="true">IF(B100="","",IFERROR(INDEX(ProdCosto,MATCH(B100,ListaProductos,0))*1,""))</f>
        <v/>
      </c>
      <c r="E100" s="30" t="str">
        <f aca="false">IF(OR(B100="",D100=""),"",C100*D100)</f>
        <v/>
      </c>
      <c r="F100" s="30" t="str">
        <f aca="true">IF(B100="","",C100*IFERROR(INDEX(ProdPrecio,MATCH(B100,ListaProductos,0))*1,0))</f>
        <v/>
      </c>
    </row>
    <row r="101" customFormat="false" ht="15" hidden="false" customHeight="false" outlineLevel="0" collapsed="false">
      <c r="A101" s="15"/>
      <c r="B101" s="15"/>
      <c r="C101" s="27"/>
      <c r="D101" s="32" t="str">
        <f aca="true">IF(B101="","",IFERROR(INDEX(ProdCosto,MATCH(B101,ListaProductos,0))*1,""))</f>
        <v/>
      </c>
      <c r="E101" s="30" t="str">
        <f aca="false">IF(OR(B101="",D101=""),"",C101*D101)</f>
        <v/>
      </c>
      <c r="F101" s="30" t="str">
        <f aca="true">IF(B101="","",C101*IFERROR(INDEX(ProdPrecio,MATCH(B101,ListaProductos,0))*1,0))</f>
        <v/>
      </c>
    </row>
    <row r="102" customFormat="false" ht="15" hidden="false" customHeight="false" outlineLevel="0" collapsed="false">
      <c r="A102" s="15"/>
      <c r="B102" s="15"/>
      <c r="C102" s="27"/>
      <c r="D102" s="32" t="str">
        <f aca="true">IF(B102="","",IFERROR(INDEX(ProdCosto,MATCH(B102,ListaProductos,0))*1,""))</f>
        <v/>
      </c>
      <c r="E102" s="30" t="str">
        <f aca="false">IF(OR(B102="",D102=""),"",C102*D102)</f>
        <v/>
      </c>
      <c r="F102" s="30" t="str">
        <f aca="true">IF(B102="","",C102*IFERROR(INDEX(ProdPrecio,MATCH(B102,ListaProductos,0))*1,0))</f>
        <v/>
      </c>
    </row>
    <row r="103" customFormat="false" ht="15" hidden="false" customHeight="false" outlineLevel="0" collapsed="false">
      <c r="A103" s="15"/>
      <c r="B103" s="15"/>
      <c r="C103" s="27"/>
      <c r="D103" s="32" t="str">
        <f aca="true">IF(B103="","",IFERROR(INDEX(ProdCosto,MATCH(B103,ListaProductos,0))*1,""))</f>
        <v/>
      </c>
      <c r="E103" s="30" t="str">
        <f aca="false">IF(OR(B103="",D103=""),"",C103*D103)</f>
        <v/>
      </c>
      <c r="F103" s="30" t="str">
        <f aca="true">IF(B103="","",C103*IFERROR(INDEX(ProdPrecio,MATCH(B103,ListaProductos,0))*1,0))</f>
        <v/>
      </c>
    </row>
    <row r="104" customFormat="false" ht="15" hidden="false" customHeight="false" outlineLevel="0" collapsed="false">
      <c r="A104" s="15"/>
      <c r="B104" s="15"/>
      <c r="C104" s="27"/>
      <c r="D104" s="32" t="str">
        <f aca="true">IF(B104="","",IFERROR(INDEX(ProdCosto,MATCH(B104,ListaProductos,0))*1,""))</f>
        <v/>
      </c>
      <c r="E104" s="30" t="str">
        <f aca="false">IF(OR(B104="",D104=""),"",C104*D104)</f>
        <v/>
      </c>
      <c r="F104" s="30" t="str">
        <f aca="true">IF(B104="","",C104*IFERROR(INDEX(ProdPrecio,MATCH(B104,ListaProductos,0))*1,0))</f>
        <v/>
      </c>
    </row>
    <row r="105" customFormat="false" ht="15" hidden="false" customHeight="false" outlineLevel="0" collapsed="false">
      <c r="A105" s="15"/>
      <c r="B105" s="15"/>
      <c r="C105" s="27"/>
      <c r="D105" s="32" t="str">
        <f aca="true">IF(B105="","",IFERROR(INDEX(ProdCosto,MATCH(B105,ListaProductos,0))*1,""))</f>
        <v/>
      </c>
      <c r="E105" s="30" t="str">
        <f aca="false">IF(OR(B105="",D105=""),"",C105*D105)</f>
        <v/>
      </c>
      <c r="F105" s="30" t="str">
        <f aca="true">IF(B105="","",C105*IFERROR(INDEX(ProdPrecio,MATCH(B105,ListaProductos,0))*1,0))</f>
        <v/>
      </c>
    </row>
    <row r="106" customFormat="false" ht="15" hidden="false" customHeight="false" outlineLevel="0" collapsed="false">
      <c r="A106" s="15"/>
      <c r="B106" s="15"/>
      <c r="C106" s="27"/>
      <c r="D106" s="32" t="str">
        <f aca="true">IF(B106="","",IFERROR(INDEX(ProdCosto,MATCH(B106,ListaProductos,0))*1,""))</f>
        <v/>
      </c>
      <c r="E106" s="30" t="str">
        <f aca="false">IF(OR(B106="",D106=""),"",C106*D106)</f>
        <v/>
      </c>
      <c r="F106" s="30" t="str">
        <f aca="true">IF(B106="","",C106*IFERROR(INDEX(ProdPrecio,MATCH(B106,ListaProductos,0))*1,0))</f>
        <v/>
      </c>
    </row>
    <row r="107" customFormat="false" ht="15" hidden="false" customHeight="false" outlineLevel="0" collapsed="false">
      <c r="A107" s="15"/>
      <c r="B107" s="15"/>
      <c r="C107" s="27"/>
      <c r="D107" s="32" t="str">
        <f aca="true">IF(B107="","",IFERROR(INDEX(ProdCosto,MATCH(B107,ListaProductos,0))*1,""))</f>
        <v/>
      </c>
      <c r="E107" s="30" t="str">
        <f aca="false">IF(OR(B107="",D107=""),"",C107*D107)</f>
        <v/>
      </c>
      <c r="F107" s="30" t="str">
        <f aca="true">IF(B107="","",C107*IFERROR(INDEX(ProdPrecio,MATCH(B107,ListaProductos,0))*1,0))</f>
        <v/>
      </c>
    </row>
    <row r="108" customFormat="false" ht="15" hidden="false" customHeight="false" outlineLevel="0" collapsed="false">
      <c r="A108" s="15"/>
      <c r="B108" s="15"/>
      <c r="C108" s="27"/>
      <c r="D108" s="32" t="str">
        <f aca="true">IF(B108="","",IFERROR(INDEX(ProdCosto,MATCH(B108,ListaProductos,0))*1,""))</f>
        <v/>
      </c>
      <c r="E108" s="30" t="str">
        <f aca="false">IF(OR(B108="",D108=""),"",C108*D108)</f>
        <v/>
      </c>
      <c r="F108" s="30" t="str">
        <f aca="true">IF(B108="","",C108*IFERROR(INDEX(ProdPrecio,MATCH(B108,ListaProductos,0))*1,0))</f>
        <v/>
      </c>
    </row>
    <row r="109" customFormat="false" ht="15" hidden="false" customHeight="false" outlineLevel="0" collapsed="false">
      <c r="A109" s="15"/>
      <c r="B109" s="15"/>
      <c r="C109" s="27"/>
      <c r="D109" s="32" t="str">
        <f aca="true">IF(B109="","",IFERROR(INDEX(ProdCosto,MATCH(B109,ListaProductos,0))*1,""))</f>
        <v/>
      </c>
      <c r="E109" s="30" t="str">
        <f aca="false">IF(OR(B109="",D109=""),"",C109*D109)</f>
        <v/>
      </c>
      <c r="F109" s="30" t="str">
        <f aca="true">IF(B109="","",C109*IFERROR(INDEX(ProdPrecio,MATCH(B109,ListaProductos,0))*1,0))</f>
        <v/>
      </c>
    </row>
    <row r="110" customFormat="false" ht="15" hidden="false" customHeight="false" outlineLevel="0" collapsed="false">
      <c r="A110" s="15"/>
      <c r="B110" s="15"/>
      <c r="C110" s="27"/>
      <c r="D110" s="32" t="str">
        <f aca="true">IF(B110="","",IFERROR(INDEX(ProdCosto,MATCH(B110,ListaProductos,0))*1,""))</f>
        <v/>
      </c>
      <c r="E110" s="30" t="str">
        <f aca="false">IF(OR(B110="",D110=""),"",C110*D110)</f>
        <v/>
      </c>
      <c r="F110" s="30" t="str">
        <f aca="true">IF(B110="","",C110*IFERROR(INDEX(ProdPrecio,MATCH(B110,ListaProductos,0))*1,0))</f>
        <v/>
      </c>
    </row>
    <row r="111" customFormat="false" ht="15" hidden="false" customHeight="false" outlineLevel="0" collapsed="false">
      <c r="A111" s="15"/>
      <c r="B111" s="15"/>
      <c r="C111" s="27"/>
      <c r="D111" s="32" t="str">
        <f aca="true">IF(B111="","",IFERROR(INDEX(ProdCosto,MATCH(B111,ListaProductos,0))*1,""))</f>
        <v/>
      </c>
      <c r="E111" s="30" t="str">
        <f aca="false">IF(OR(B111="",D111=""),"",C111*D111)</f>
        <v/>
      </c>
      <c r="F111" s="30" t="str">
        <f aca="true">IF(B111="","",C111*IFERROR(INDEX(ProdPrecio,MATCH(B111,ListaProductos,0))*1,0))</f>
        <v/>
      </c>
    </row>
    <row r="112" customFormat="false" ht="15" hidden="false" customHeight="false" outlineLevel="0" collapsed="false">
      <c r="A112" s="15"/>
      <c r="B112" s="15"/>
      <c r="C112" s="27"/>
      <c r="D112" s="32" t="str">
        <f aca="true">IF(B112="","",IFERROR(INDEX(ProdCosto,MATCH(B112,ListaProductos,0))*1,""))</f>
        <v/>
      </c>
      <c r="E112" s="30" t="str">
        <f aca="false">IF(OR(B112="",D112=""),"",C112*D112)</f>
        <v/>
      </c>
      <c r="F112" s="30" t="str">
        <f aca="true">IF(B112="","",C112*IFERROR(INDEX(ProdPrecio,MATCH(B112,ListaProductos,0))*1,0))</f>
        <v/>
      </c>
    </row>
    <row r="113" customFormat="false" ht="15" hidden="false" customHeight="false" outlineLevel="0" collapsed="false">
      <c r="A113" s="15"/>
      <c r="B113" s="15"/>
      <c r="C113" s="27"/>
      <c r="D113" s="32" t="str">
        <f aca="true">IF(B113="","",IFERROR(INDEX(ProdCosto,MATCH(B113,ListaProductos,0))*1,""))</f>
        <v/>
      </c>
      <c r="E113" s="30" t="str">
        <f aca="false">IF(OR(B113="",D113=""),"",C113*D113)</f>
        <v/>
      </c>
      <c r="F113" s="30" t="str">
        <f aca="true">IF(B113="","",C113*IFERROR(INDEX(ProdPrecio,MATCH(B113,ListaProductos,0))*1,0))</f>
        <v/>
      </c>
    </row>
    <row r="114" customFormat="false" ht="15" hidden="false" customHeight="false" outlineLevel="0" collapsed="false">
      <c r="A114" s="15"/>
      <c r="B114" s="15"/>
      <c r="C114" s="27"/>
      <c r="D114" s="32" t="str">
        <f aca="true">IF(B114="","",IFERROR(INDEX(ProdCosto,MATCH(B114,ListaProductos,0))*1,""))</f>
        <v/>
      </c>
      <c r="E114" s="30" t="str">
        <f aca="false">IF(OR(B114="",D114=""),"",C114*D114)</f>
        <v/>
      </c>
      <c r="F114" s="30" t="str">
        <f aca="true">IF(B114="","",C114*IFERROR(INDEX(ProdPrecio,MATCH(B114,ListaProductos,0))*1,0))</f>
        <v/>
      </c>
    </row>
    <row r="115" customFormat="false" ht="15" hidden="false" customHeight="false" outlineLevel="0" collapsed="false">
      <c r="A115" s="15"/>
      <c r="B115" s="15"/>
      <c r="C115" s="27"/>
      <c r="D115" s="32" t="str">
        <f aca="true">IF(B115="","",IFERROR(INDEX(ProdCosto,MATCH(B115,ListaProductos,0))*1,""))</f>
        <v/>
      </c>
      <c r="E115" s="30" t="str">
        <f aca="false">IF(OR(B115="",D115=""),"",C115*D115)</f>
        <v/>
      </c>
      <c r="F115" s="30" t="str">
        <f aca="true">IF(B115="","",C115*IFERROR(INDEX(ProdPrecio,MATCH(B115,ListaProductos,0))*1,0))</f>
        <v/>
      </c>
    </row>
    <row r="116" customFormat="false" ht="15" hidden="false" customHeight="false" outlineLevel="0" collapsed="false">
      <c r="A116" s="15"/>
      <c r="B116" s="15"/>
      <c r="C116" s="27"/>
      <c r="D116" s="32" t="str">
        <f aca="true">IF(B116="","",IFERROR(INDEX(ProdCosto,MATCH(B116,ListaProductos,0))*1,""))</f>
        <v/>
      </c>
      <c r="E116" s="30" t="str">
        <f aca="false">IF(OR(B116="",D116=""),"",C116*D116)</f>
        <v/>
      </c>
      <c r="F116" s="30" t="str">
        <f aca="true">IF(B116="","",C116*IFERROR(INDEX(ProdPrecio,MATCH(B116,ListaProductos,0))*1,0))</f>
        <v/>
      </c>
    </row>
    <row r="117" customFormat="false" ht="15" hidden="false" customHeight="false" outlineLevel="0" collapsed="false">
      <c r="A117" s="15"/>
      <c r="B117" s="15"/>
      <c r="C117" s="27"/>
      <c r="D117" s="32" t="str">
        <f aca="true">IF(B117="","",IFERROR(INDEX(ProdCosto,MATCH(B117,ListaProductos,0))*1,""))</f>
        <v/>
      </c>
      <c r="E117" s="30" t="str">
        <f aca="false">IF(OR(B117="",D117=""),"",C117*D117)</f>
        <v/>
      </c>
      <c r="F117" s="30" t="str">
        <f aca="true">IF(B117="","",C117*IFERROR(INDEX(ProdPrecio,MATCH(B117,ListaProductos,0))*1,0))</f>
        <v/>
      </c>
    </row>
    <row r="118" customFormat="false" ht="15" hidden="false" customHeight="false" outlineLevel="0" collapsed="false">
      <c r="A118" s="15"/>
      <c r="B118" s="15"/>
      <c r="C118" s="27"/>
      <c r="D118" s="32" t="str">
        <f aca="true">IF(B118="","",IFERROR(INDEX(ProdCosto,MATCH(B118,ListaProductos,0))*1,""))</f>
        <v/>
      </c>
      <c r="E118" s="30" t="str">
        <f aca="false">IF(OR(B118="",D118=""),"",C118*D118)</f>
        <v/>
      </c>
      <c r="F118" s="30" t="str">
        <f aca="true">IF(B118="","",C118*IFERROR(INDEX(ProdPrecio,MATCH(B118,ListaProductos,0))*1,0))</f>
        <v/>
      </c>
    </row>
    <row r="119" customFormat="false" ht="15" hidden="false" customHeight="false" outlineLevel="0" collapsed="false">
      <c r="A119" s="15"/>
      <c r="B119" s="15"/>
      <c r="C119" s="27"/>
      <c r="D119" s="32" t="str">
        <f aca="true">IF(B119="","",IFERROR(INDEX(ProdCosto,MATCH(B119,ListaProductos,0))*1,""))</f>
        <v/>
      </c>
      <c r="E119" s="30" t="str">
        <f aca="false">IF(OR(B119="",D119=""),"",C119*D119)</f>
        <v/>
      </c>
      <c r="F119" s="30" t="str">
        <f aca="true">IF(B119="","",C119*IFERROR(INDEX(ProdPrecio,MATCH(B119,ListaProductos,0))*1,0))</f>
        <v/>
      </c>
    </row>
    <row r="120" customFormat="false" ht="15" hidden="false" customHeight="false" outlineLevel="0" collapsed="false">
      <c r="A120" s="15"/>
      <c r="B120" s="15"/>
      <c r="C120" s="27"/>
      <c r="D120" s="32" t="str">
        <f aca="true">IF(B120="","",IFERROR(INDEX(ProdCosto,MATCH(B120,ListaProductos,0))*1,""))</f>
        <v/>
      </c>
      <c r="E120" s="30" t="str">
        <f aca="false">IF(OR(B120="",D120=""),"",C120*D120)</f>
        <v/>
      </c>
      <c r="F120" s="30" t="str">
        <f aca="true">IF(B120="","",C120*IFERROR(INDEX(ProdPrecio,MATCH(B120,ListaProductos,0))*1,0))</f>
        <v/>
      </c>
    </row>
    <row r="121" customFormat="false" ht="15" hidden="false" customHeight="false" outlineLevel="0" collapsed="false">
      <c r="A121" s="15"/>
      <c r="B121" s="15"/>
      <c r="C121" s="27"/>
      <c r="D121" s="32" t="str">
        <f aca="true">IF(B121="","",IFERROR(INDEX(ProdCosto,MATCH(B121,ListaProductos,0))*1,""))</f>
        <v/>
      </c>
      <c r="E121" s="30" t="str">
        <f aca="false">IF(OR(B121="",D121=""),"",C121*D121)</f>
        <v/>
      </c>
      <c r="F121" s="30" t="str">
        <f aca="true">IF(B121="","",C121*IFERROR(INDEX(ProdPrecio,MATCH(B121,ListaProductos,0))*1,0))</f>
        <v/>
      </c>
    </row>
    <row r="122" customFormat="false" ht="15" hidden="false" customHeight="false" outlineLevel="0" collapsed="false">
      <c r="A122" s="15"/>
      <c r="B122" s="15"/>
      <c r="C122" s="27"/>
      <c r="D122" s="32" t="str">
        <f aca="true">IF(B122="","",IFERROR(INDEX(ProdCosto,MATCH(B122,ListaProductos,0))*1,""))</f>
        <v/>
      </c>
      <c r="E122" s="30" t="str">
        <f aca="false">IF(OR(B122="",D122=""),"",C122*D122)</f>
        <v/>
      </c>
      <c r="F122" s="30" t="str">
        <f aca="true">IF(B122="","",C122*IFERROR(INDEX(ProdPrecio,MATCH(B122,ListaProductos,0))*1,0))</f>
        <v/>
      </c>
    </row>
    <row r="123" customFormat="false" ht="15" hidden="false" customHeight="false" outlineLevel="0" collapsed="false">
      <c r="A123" s="15"/>
      <c r="B123" s="15"/>
      <c r="C123" s="27"/>
      <c r="D123" s="32" t="str">
        <f aca="true">IF(B123="","",IFERROR(INDEX(ProdCosto,MATCH(B123,ListaProductos,0))*1,""))</f>
        <v/>
      </c>
      <c r="E123" s="30" t="str">
        <f aca="false">IF(OR(B123="",D123=""),"",C123*D123)</f>
        <v/>
      </c>
      <c r="F123" s="30" t="str">
        <f aca="true">IF(B123="","",C123*IFERROR(INDEX(ProdPrecio,MATCH(B123,ListaProductos,0))*1,0))</f>
        <v/>
      </c>
    </row>
    <row r="124" customFormat="false" ht="15" hidden="false" customHeight="false" outlineLevel="0" collapsed="false">
      <c r="A124" s="15"/>
      <c r="B124" s="15"/>
      <c r="C124" s="27"/>
      <c r="D124" s="32" t="str">
        <f aca="true">IF(B124="","",IFERROR(INDEX(ProdCosto,MATCH(B124,ListaProductos,0))*1,""))</f>
        <v/>
      </c>
      <c r="E124" s="30" t="str">
        <f aca="false">IF(OR(B124="",D124=""),"",C124*D124)</f>
        <v/>
      </c>
      <c r="F124" s="30" t="str">
        <f aca="true">IF(B124="","",C124*IFERROR(INDEX(ProdPrecio,MATCH(B124,ListaProductos,0))*1,0))</f>
        <v/>
      </c>
    </row>
    <row r="125" customFormat="false" ht="15" hidden="false" customHeight="false" outlineLevel="0" collapsed="false">
      <c r="A125" s="15"/>
      <c r="B125" s="15"/>
      <c r="C125" s="27"/>
      <c r="D125" s="32" t="str">
        <f aca="true">IF(B125="","",IFERROR(INDEX(ProdCosto,MATCH(B125,ListaProductos,0))*1,""))</f>
        <v/>
      </c>
      <c r="E125" s="30" t="str">
        <f aca="false">IF(OR(B125="",D125=""),"",C125*D125)</f>
        <v/>
      </c>
      <c r="F125" s="30" t="str">
        <f aca="true">IF(B125="","",C125*IFERROR(INDEX(ProdPrecio,MATCH(B125,ListaProductos,0))*1,0))</f>
        <v/>
      </c>
    </row>
    <row r="126" customFormat="false" ht="15" hidden="false" customHeight="false" outlineLevel="0" collapsed="false">
      <c r="A126" s="15"/>
      <c r="B126" s="15"/>
      <c r="C126" s="27"/>
      <c r="D126" s="32" t="str">
        <f aca="true">IF(B126="","",IFERROR(INDEX(ProdCosto,MATCH(B126,ListaProductos,0))*1,""))</f>
        <v/>
      </c>
      <c r="E126" s="30" t="str">
        <f aca="false">IF(OR(B126="",D126=""),"",C126*D126)</f>
        <v/>
      </c>
      <c r="F126" s="30" t="str">
        <f aca="true">IF(B126="","",C126*IFERROR(INDEX(ProdPrecio,MATCH(B126,ListaProductos,0))*1,0))</f>
        <v/>
      </c>
    </row>
    <row r="127" customFormat="false" ht="15" hidden="false" customHeight="false" outlineLevel="0" collapsed="false">
      <c r="A127" s="15"/>
      <c r="B127" s="15"/>
      <c r="C127" s="27"/>
      <c r="D127" s="32" t="str">
        <f aca="true">IF(B127="","",IFERROR(INDEX(ProdCosto,MATCH(B127,ListaProductos,0))*1,""))</f>
        <v/>
      </c>
      <c r="E127" s="30" t="str">
        <f aca="false">IF(OR(B127="",D127=""),"",C127*D127)</f>
        <v/>
      </c>
      <c r="F127" s="30" t="str">
        <f aca="true">IF(B127="","",C127*IFERROR(INDEX(ProdPrecio,MATCH(B127,ListaProductos,0))*1,0))</f>
        <v/>
      </c>
    </row>
    <row r="128" customFormat="false" ht="15" hidden="false" customHeight="false" outlineLevel="0" collapsed="false">
      <c r="A128" s="15"/>
      <c r="B128" s="15"/>
      <c r="C128" s="27"/>
      <c r="D128" s="32" t="str">
        <f aca="true">IF(B128="","",IFERROR(INDEX(ProdCosto,MATCH(B128,ListaProductos,0))*1,""))</f>
        <v/>
      </c>
      <c r="E128" s="30" t="str">
        <f aca="false">IF(OR(B128="",D128=""),"",C128*D128)</f>
        <v/>
      </c>
      <c r="F128" s="30" t="str">
        <f aca="true">IF(B128="","",C128*IFERROR(INDEX(ProdPrecio,MATCH(B128,ListaProductos,0))*1,0))</f>
        <v/>
      </c>
    </row>
    <row r="129" customFormat="false" ht="15" hidden="false" customHeight="false" outlineLevel="0" collapsed="false">
      <c r="A129" s="15"/>
      <c r="B129" s="15"/>
      <c r="C129" s="27"/>
      <c r="D129" s="32" t="str">
        <f aca="true">IF(B129="","",IFERROR(INDEX(ProdCosto,MATCH(B129,ListaProductos,0))*1,""))</f>
        <v/>
      </c>
      <c r="E129" s="30" t="str">
        <f aca="false">IF(OR(B129="",D129=""),"",C129*D129)</f>
        <v/>
      </c>
      <c r="F129" s="30" t="str">
        <f aca="true">IF(B129="","",C129*IFERROR(INDEX(ProdPrecio,MATCH(B129,ListaProductos,0))*1,0))</f>
        <v/>
      </c>
    </row>
    <row r="130" customFormat="false" ht="15" hidden="false" customHeight="false" outlineLevel="0" collapsed="false">
      <c r="A130" s="15"/>
      <c r="B130" s="15"/>
      <c r="C130" s="27"/>
      <c r="D130" s="32" t="str">
        <f aca="true">IF(B130="","",IFERROR(INDEX(ProdCosto,MATCH(B130,ListaProductos,0))*1,""))</f>
        <v/>
      </c>
      <c r="E130" s="30" t="str">
        <f aca="false">IF(OR(B130="",D130=""),"",C130*D130)</f>
        <v/>
      </c>
      <c r="F130" s="30" t="str">
        <f aca="true">IF(B130="","",C130*IFERROR(INDEX(ProdPrecio,MATCH(B130,ListaProductos,0))*1,0))</f>
        <v/>
      </c>
    </row>
    <row r="131" customFormat="false" ht="15" hidden="false" customHeight="false" outlineLevel="0" collapsed="false">
      <c r="A131" s="15"/>
      <c r="B131" s="15"/>
      <c r="C131" s="27"/>
      <c r="D131" s="32" t="str">
        <f aca="true">IF(B131="","",IFERROR(INDEX(ProdCosto,MATCH(B131,ListaProductos,0))*1,""))</f>
        <v/>
      </c>
      <c r="E131" s="30" t="str">
        <f aca="false">IF(OR(B131="",D131=""),"",C131*D131)</f>
        <v/>
      </c>
      <c r="F131" s="30" t="str">
        <f aca="true">IF(B131="","",C131*IFERROR(INDEX(ProdPrecio,MATCH(B131,ListaProductos,0))*1,0))</f>
        <v/>
      </c>
    </row>
    <row r="132" customFormat="false" ht="15" hidden="false" customHeight="false" outlineLevel="0" collapsed="false">
      <c r="A132" s="15"/>
      <c r="B132" s="15"/>
      <c r="C132" s="27"/>
      <c r="D132" s="32" t="str">
        <f aca="true">IF(B132="","",IFERROR(INDEX(ProdCosto,MATCH(B132,ListaProductos,0))*1,""))</f>
        <v/>
      </c>
      <c r="E132" s="30" t="str">
        <f aca="false">IF(OR(B132="",D132=""),"",C132*D132)</f>
        <v/>
      </c>
      <c r="F132" s="30" t="str">
        <f aca="true">IF(B132="","",C132*IFERROR(INDEX(ProdPrecio,MATCH(B132,ListaProductos,0))*1,0))</f>
        <v/>
      </c>
    </row>
    <row r="133" customFormat="false" ht="15" hidden="false" customHeight="false" outlineLevel="0" collapsed="false">
      <c r="A133" s="15"/>
      <c r="B133" s="15"/>
      <c r="C133" s="27"/>
      <c r="D133" s="32" t="str">
        <f aca="true">IF(B133="","",IFERROR(INDEX(ProdCosto,MATCH(B133,ListaProductos,0))*1,""))</f>
        <v/>
      </c>
      <c r="E133" s="30" t="str">
        <f aca="false">IF(OR(B133="",D133=""),"",C133*D133)</f>
        <v/>
      </c>
      <c r="F133" s="30" t="str">
        <f aca="true">IF(B133="","",C133*IFERROR(INDEX(ProdPrecio,MATCH(B133,ListaProductos,0))*1,0))</f>
        <v/>
      </c>
    </row>
    <row r="134" customFormat="false" ht="15" hidden="false" customHeight="false" outlineLevel="0" collapsed="false">
      <c r="A134" s="15"/>
      <c r="B134" s="15"/>
      <c r="C134" s="27"/>
      <c r="D134" s="32" t="str">
        <f aca="true">IF(B134="","",IFERROR(INDEX(ProdCosto,MATCH(B134,ListaProductos,0))*1,""))</f>
        <v/>
      </c>
      <c r="E134" s="30" t="str">
        <f aca="false">IF(OR(B134="",D134=""),"",C134*D134)</f>
        <v/>
      </c>
      <c r="F134" s="30" t="str">
        <f aca="true">IF(B134="","",C134*IFERROR(INDEX(ProdPrecio,MATCH(B134,ListaProductos,0))*1,0))</f>
        <v/>
      </c>
    </row>
    <row r="135" customFormat="false" ht="15" hidden="false" customHeight="false" outlineLevel="0" collapsed="false">
      <c r="A135" s="15"/>
      <c r="B135" s="15"/>
      <c r="C135" s="27"/>
      <c r="D135" s="32" t="str">
        <f aca="true">IF(B135="","",IFERROR(INDEX(ProdCosto,MATCH(B135,ListaProductos,0))*1,""))</f>
        <v/>
      </c>
      <c r="E135" s="30" t="str">
        <f aca="false">IF(OR(B135="",D135=""),"",C135*D135)</f>
        <v/>
      </c>
      <c r="F135" s="30" t="str">
        <f aca="true">IF(B135="","",C135*IFERROR(INDEX(ProdPrecio,MATCH(B135,ListaProductos,0))*1,0))</f>
        <v/>
      </c>
    </row>
    <row r="136" customFormat="false" ht="15" hidden="false" customHeight="false" outlineLevel="0" collapsed="false">
      <c r="A136" s="15"/>
      <c r="B136" s="15"/>
      <c r="C136" s="27"/>
      <c r="D136" s="32" t="str">
        <f aca="true">IF(B136="","",IFERROR(INDEX(ProdCosto,MATCH(B136,ListaProductos,0))*1,""))</f>
        <v/>
      </c>
      <c r="E136" s="30" t="str">
        <f aca="false">IF(OR(B136="",D136=""),"",C136*D136)</f>
        <v/>
      </c>
      <c r="F136" s="30" t="str">
        <f aca="true">IF(B136="","",C136*IFERROR(INDEX(ProdPrecio,MATCH(B136,ListaProductos,0))*1,0))</f>
        <v/>
      </c>
    </row>
    <row r="137" customFormat="false" ht="15" hidden="false" customHeight="false" outlineLevel="0" collapsed="false">
      <c r="A137" s="15"/>
      <c r="B137" s="15"/>
      <c r="C137" s="27"/>
      <c r="D137" s="32" t="str">
        <f aca="true">IF(B137="","",IFERROR(INDEX(ProdCosto,MATCH(B137,ListaProductos,0))*1,""))</f>
        <v/>
      </c>
      <c r="E137" s="30" t="str">
        <f aca="false">IF(OR(B137="",D137=""),"",C137*D137)</f>
        <v/>
      </c>
      <c r="F137" s="30" t="str">
        <f aca="true">IF(B137="","",C137*IFERROR(INDEX(ProdPrecio,MATCH(B137,ListaProductos,0))*1,0))</f>
        <v/>
      </c>
    </row>
    <row r="138" customFormat="false" ht="15" hidden="false" customHeight="false" outlineLevel="0" collapsed="false">
      <c r="A138" s="15"/>
      <c r="B138" s="15"/>
      <c r="C138" s="27"/>
      <c r="D138" s="32" t="str">
        <f aca="true">IF(B138="","",IFERROR(INDEX(ProdCosto,MATCH(B138,ListaProductos,0))*1,""))</f>
        <v/>
      </c>
      <c r="E138" s="30" t="str">
        <f aca="false">IF(OR(B138="",D138=""),"",C138*D138)</f>
        <v/>
      </c>
      <c r="F138" s="30" t="str">
        <f aca="true">IF(B138="","",C138*IFERROR(INDEX(ProdPrecio,MATCH(B138,ListaProductos,0))*1,0))</f>
        <v/>
      </c>
    </row>
    <row r="139" customFormat="false" ht="15" hidden="false" customHeight="false" outlineLevel="0" collapsed="false">
      <c r="A139" s="15"/>
      <c r="B139" s="15"/>
      <c r="C139" s="27"/>
      <c r="D139" s="32" t="str">
        <f aca="true">IF(B139="","",IFERROR(INDEX(ProdCosto,MATCH(B139,ListaProductos,0))*1,""))</f>
        <v/>
      </c>
      <c r="E139" s="30" t="str">
        <f aca="false">IF(OR(B139="",D139=""),"",C139*D139)</f>
        <v/>
      </c>
      <c r="F139" s="30" t="str">
        <f aca="true">IF(B139="","",C139*IFERROR(INDEX(ProdPrecio,MATCH(B139,ListaProductos,0))*1,0))</f>
        <v/>
      </c>
    </row>
    <row r="140" customFormat="false" ht="15" hidden="false" customHeight="false" outlineLevel="0" collapsed="false">
      <c r="A140" s="15"/>
      <c r="B140" s="15"/>
      <c r="C140" s="27"/>
      <c r="D140" s="32" t="str">
        <f aca="true">IF(B140="","",IFERROR(INDEX(ProdCosto,MATCH(B140,ListaProductos,0))*1,""))</f>
        <v/>
      </c>
      <c r="E140" s="30" t="str">
        <f aca="false">IF(OR(B140="",D140=""),"",C140*D140)</f>
        <v/>
      </c>
      <c r="F140" s="30" t="str">
        <f aca="true">IF(B140="","",C140*IFERROR(INDEX(ProdPrecio,MATCH(B140,ListaProductos,0))*1,0))</f>
        <v/>
      </c>
    </row>
    <row r="141" customFormat="false" ht="15" hidden="false" customHeight="false" outlineLevel="0" collapsed="false">
      <c r="A141" s="15"/>
      <c r="B141" s="15"/>
      <c r="C141" s="27"/>
      <c r="D141" s="32" t="str">
        <f aca="true">IF(B141="","",IFERROR(INDEX(ProdCosto,MATCH(B141,ListaProductos,0))*1,""))</f>
        <v/>
      </c>
      <c r="E141" s="30" t="str">
        <f aca="false">IF(OR(B141="",D141=""),"",C141*D141)</f>
        <v/>
      </c>
      <c r="F141" s="30" t="str">
        <f aca="true">IF(B141="","",C141*IFERROR(INDEX(ProdPrecio,MATCH(B141,ListaProductos,0))*1,0))</f>
        <v/>
      </c>
    </row>
    <row r="142" customFormat="false" ht="15" hidden="false" customHeight="false" outlineLevel="0" collapsed="false">
      <c r="A142" s="15"/>
      <c r="B142" s="15"/>
      <c r="C142" s="27"/>
      <c r="D142" s="32" t="str">
        <f aca="true">IF(B142="","",IFERROR(INDEX(ProdCosto,MATCH(B142,ListaProductos,0))*1,""))</f>
        <v/>
      </c>
      <c r="E142" s="30" t="str">
        <f aca="false">IF(OR(B142="",D142=""),"",C142*D142)</f>
        <v/>
      </c>
      <c r="F142" s="30" t="str">
        <f aca="true">IF(B142="","",C142*IFERROR(INDEX(ProdPrecio,MATCH(B142,ListaProductos,0))*1,0))</f>
        <v/>
      </c>
    </row>
    <row r="143" customFormat="false" ht="15" hidden="false" customHeight="false" outlineLevel="0" collapsed="false">
      <c r="A143" s="15"/>
      <c r="B143" s="15"/>
      <c r="C143" s="27"/>
      <c r="D143" s="32" t="str">
        <f aca="true">IF(B143="","",IFERROR(INDEX(ProdCosto,MATCH(B143,ListaProductos,0))*1,""))</f>
        <v/>
      </c>
      <c r="E143" s="30" t="str">
        <f aca="false">IF(OR(B143="",D143=""),"",C143*D143)</f>
        <v/>
      </c>
      <c r="F143" s="30" t="str">
        <f aca="true">IF(B143="","",C143*IFERROR(INDEX(ProdPrecio,MATCH(B143,ListaProductos,0))*1,0))</f>
        <v/>
      </c>
    </row>
    <row r="144" customFormat="false" ht="15" hidden="false" customHeight="false" outlineLevel="0" collapsed="false">
      <c r="A144" s="15"/>
      <c r="B144" s="15"/>
      <c r="C144" s="27"/>
      <c r="D144" s="32" t="str">
        <f aca="true">IF(B144="","",IFERROR(INDEX(ProdCosto,MATCH(B144,ListaProductos,0))*1,""))</f>
        <v/>
      </c>
      <c r="E144" s="30" t="str">
        <f aca="false">IF(OR(B144="",D144=""),"",C144*D144)</f>
        <v/>
      </c>
      <c r="F144" s="30" t="str">
        <f aca="true">IF(B144="","",C144*IFERROR(INDEX(ProdPrecio,MATCH(B144,ListaProductos,0))*1,0))</f>
        <v/>
      </c>
    </row>
    <row r="145" customFormat="false" ht="15" hidden="false" customHeight="false" outlineLevel="0" collapsed="false">
      <c r="A145" s="15"/>
      <c r="B145" s="15"/>
      <c r="C145" s="27"/>
      <c r="D145" s="32" t="str">
        <f aca="true">IF(B145="","",IFERROR(INDEX(ProdCosto,MATCH(B145,ListaProductos,0))*1,""))</f>
        <v/>
      </c>
      <c r="E145" s="30" t="str">
        <f aca="false">IF(OR(B145="",D145=""),"",C145*D145)</f>
        <v/>
      </c>
      <c r="F145" s="30" t="str">
        <f aca="true">IF(B145="","",C145*IFERROR(INDEX(ProdPrecio,MATCH(B145,ListaProductos,0))*1,0))</f>
        <v/>
      </c>
    </row>
    <row r="146" customFormat="false" ht="15" hidden="false" customHeight="false" outlineLevel="0" collapsed="false">
      <c r="A146" s="15"/>
      <c r="B146" s="15"/>
      <c r="C146" s="27"/>
      <c r="D146" s="32" t="str">
        <f aca="true">IF(B146="","",IFERROR(INDEX(ProdCosto,MATCH(B146,ListaProductos,0))*1,""))</f>
        <v/>
      </c>
      <c r="E146" s="30" t="str">
        <f aca="false">IF(OR(B146="",D146=""),"",C146*D146)</f>
        <v/>
      </c>
      <c r="F146" s="30" t="str">
        <f aca="true">IF(B146="","",C146*IFERROR(INDEX(ProdPrecio,MATCH(B146,ListaProductos,0))*1,0))</f>
        <v/>
      </c>
    </row>
    <row r="147" customFormat="false" ht="15" hidden="false" customHeight="false" outlineLevel="0" collapsed="false">
      <c r="A147" s="15"/>
      <c r="B147" s="15"/>
      <c r="C147" s="27"/>
      <c r="D147" s="32" t="str">
        <f aca="true">IF(B147="","",IFERROR(INDEX(ProdCosto,MATCH(B147,ListaProductos,0))*1,""))</f>
        <v/>
      </c>
      <c r="E147" s="30" t="str">
        <f aca="false">IF(OR(B147="",D147=""),"",C147*D147)</f>
        <v/>
      </c>
      <c r="F147" s="30" t="str">
        <f aca="true">IF(B147="","",C147*IFERROR(INDEX(ProdPrecio,MATCH(B147,ListaProductos,0))*1,0))</f>
        <v/>
      </c>
    </row>
    <row r="148" customFormat="false" ht="15" hidden="false" customHeight="false" outlineLevel="0" collapsed="false">
      <c r="A148" s="15"/>
      <c r="B148" s="15"/>
      <c r="C148" s="27"/>
      <c r="D148" s="32" t="str">
        <f aca="true">IF(B148="","",IFERROR(INDEX(ProdCosto,MATCH(B148,ListaProductos,0))*1,""))</f>
        <v/>
      </c>
      <c r="E148" s="30" t="str">
        <f aca="false">IF(OR(B148="",D148=""),"",C148*D148)</f>
        <v/>
      </c>
      <c r="F148" s="30" t="str">
        <f aca="true">IF(B148="","",C148*IFERROR(INDEX(ProdPrecio,MATCH(B148,ListaProductos,0))*1,0))</f>
        <v/>
      </c>
    </row>
    <row r="149" customFormat="false" ht="15" hidden="false" customHeight="false" outlineLevel="0" collapsed="false">
      <c r="A149" s="15"/>
      <c r="B149" s="15"/>
      <c r="C149" s="27"/>
      <c r="D149" s="32" t="str">
        <f aca="true">IF(B149="","",IFERROR(INDEX(ProdCosto,MATCH(B149,ListaProductos,0))*1,""))</f>
        <v/>
      </c>
      <c r="E149" s="30" t="str">
        <f aca="false">IF(OR(B149="",D149=""),"",C149*D149)</f>
        <v/>
      </c>
      <c r="F149" s="30" t="str">
        <f aca="true">IF(B149="","",C149*IFERROR(INDEX(ProdPrecio,MATCH(B149,ListaProductos,0))*1,0))</f>
        <v/>
      </c>
    </row>
    <row r="150" customFormat="false" ht="15" hidden="false" customHeight="false" outlineLevel="0" collapsed="false">
      <c r="A150" s="15"/>
      <c r="B150" s="15"/>
      <c r="C150" s="27"/>
      <c r="D150" s="32" t="str">
        <f aca="true">IF(B150="","",IFERROR(INDEX(ProdCosto,MATCH(B150,ListaProductos,0))*1,""))</f>
        <v/>
      </c>
      <c r="E150" s="30" t="str">
        <f aca="false">IF(OR(B150="",D150=""),"",C150*D150)</f>
        <v/>
      </c>
      <c r="F150" s="30" t="str">
        <f aca="true">IF(B150="","",C150*IFERROR(INDEX(ProdPrecio,MATCH(B150,ListaProductos,0))*1,0))</f>
        <v/>
      </c>
    </row>
    <row r="151" customFormat="false" ht="15" hidden="false" customHeight="false" outlineLevel="0" collapsed="false">
      <c r="A151" s="15"/>
      <c r="B151" s="15"/>
      <c r="C151" s="27"/>
      <c r="D151" s="32" t="str">
        <f aca="true">IF(B151="","",IFERROR(INDEX(ProdCosto,MATCH(B151,ListaProductos,0))*1,""))</f>
        <v/>
      </c>
      <c r="E151" s="30" t="str">
        <f aca="false">IF(OR(B151="",D151=""),"",C151*D151)</f>
        <v/>
      </c>
      <c r="F151" s="30" t="str">
        <f aca="true">IF(B151="","",C151*IFERROR(INDEX(ProdPrecio,MATCH(B151,ListaProductos,0))*1,0))</f>
        <v/>
      </c>
    </row>
    <row r="152" customFormat="false" ht="15" hidden="false" customHeight="false" outlineLevel="0" collapsed="false">
      <c r="A152" s="15"/>
      <c r="B152" s="15"/>
      <c r="C152" s="27"/>
      <c r="D152" s="32" t="str">
        <f aca="true">IF(B152="","",IFERROR(INDEX(ProdCosto,MATCH(B152,ListaProductos,0))*1,""))</f>
        <v/>
      </c>
      <c r="E152" s="30" t="str">
        <f aca="false">IF(OR(B152="",D152=""),"",C152*D152)</f>
        <v/>
      </c>
      <c r="F152" s="30" t="str">
        <f aca="true">IF(B152="","",C152*IFERROR(INDEX(ProdPrecio,MATCH(B152,ListaProductos,0))*1,0))</f>
        <v/>
      </c>
    </row>
    <row r="153" customFormat="false" ht="15" hidden="false" customHeight="false" outlineLevel="0" collapsed="false">
      <c r="A153" s="15"/>
      <c r="B153" s="15"/>
      <c r="C153" s="27"/>
      <c r="D153" s="32" t="str">
        <f aca="true">IF(B153="","",IFERROR(INDEX(ProdCosto,MATCH(B153,ListaProductos,0))*1,""))</f>
        <v/>
      </c>
      <c r="E153" s="30" t="str">
        <f aca="false">IF(OR(B153="",D153=""),"",C153*D153)</f>
        <v/>
      </c>
      <c r="F153" s="30" t="str">
        <f aca="true">IF(B153="","",C153*IFERROR(INDEX(ProdPrecio,MATCH(B153,ListaProductos,0))*1,0))</f>
        <v/>
      </c>
    </row>
    <row r="154" customFormat="false" ht="15" hidden="false" customHeight="false" outlineLevel="0" collapsed="false">
      <c r="A154" s="15"/>
      <c r="B154" s="15"/>
      <c r="C154" s="27"/>
      <c r="D154" s="32" t="str">
        <f aca="true">IF(B154="","",IFERROR(INDEX(ProdCosto,MATCH(B154,ListaProductos,0))*1,""))</f>
        <v/>
      </c>
      <c r="E154" s="30" t="str">
        <f aca="false">IF(OR(B154="",D154=""),"",C154*D154)</f>
        <v/>
      </c>
      <c r="F154" s="30" t="str">
        <f aca="true">IF(B154="","",C154*IFERROR(INDEX(ProdPrecio,MATCH(B154,ListaProductos,0))*1,0))</f>
        <v/>
      </c>
    </row>
    <row r="155" customFormat="false" ht="15" hidden="false" customHeight="false" outlineLevel="0" collapsed="false">
      <c r="A155" s="15"/>
      <c r="B155" s="15"/>
      <c r="C155" s="27"/>
      <c r="D155" s="32" t="str">
        <f aca="true">IF(B155="","",IFERROR(INDEX(ProdCosto,MATCH(B155,ListaProductos,0))*1,""))</f>
        <v/>
      </c>
      <c r="E155" s="30" t="str">
        <f aca="false">IF(OR(B155="",D155=""),"",C155*D155)</f>
        <v/>
      </c>
      <c r="F155" s="30" t="str">
        <f aca="true">IF(B155="","",C155*IFERROR(INDEX(ProdPrecio,MATCH(B155,ListaProductos,0))*1,0))</f>
        <v/>
      </c>
    </row>
    <row r="156" customFormat="false" ht="15" hidden="false" customHeight="false" outlineLevel="0" collapsed="false">
      <c r="A156" s="15"/>
      <c r="B156" s="15"/>
      <c r="C156" s="27"/>
      <c r="D156" s="32" t="str">
        <f aca="true">IF(B156="","",IFERROR(INDEX(ProdCosto,MATCH(B156,ListaProductos,0))*1,""))</f>
        <v/>
      </c>
      <c r="E156" s="30" t="str">
        <f aca="false">IF(OR(B156="",D156=""),"",C156*D156)</f>
        <v/>
      </c>
      <c r="F156" s="30" t="str">
        <f aca="true">IF(B156="","",C156*IFERROR(INDEX(ProdPrecio,MATCH(B156,ListaProductos,0))*1,0))</f>
        <v/>
      </c>
    </row>
    <row r="157" customFormat="false" ht="15" hidden="false" customHeight="false" outlineLevel="0" collapsed="false">
      <c r="A157" s="15"/>
      <c r="B157" s="15"/>
      <c r="C157" s="27"/>
      <c r="D157" s="32" t="str">
        <f aca="true">IF(B157="","",IFERROR(INDEX(ProdCosto,MATCH(B157,ListaProductos,0))*1,""))</f>
        <v/>
      </c>
      <c r="E157" s="30" t="str">
        <f aca="false">IF(OR(B157="",D157=""),"",C157*D157)</f>
        <v/>
      </c>
      <c r="F157" s="30" t="str">
        <f aca="true">IF(B157="","",C157*IFERROR(INDEX(ProdPrecio,MATCH(B157,ListaProductos,0))*1,0))</f>
        <v/>
      </c>
    </row>
    <row r="158" customFormat="false" ht="15" hidden="false" customHeight="false" outlineLevel="0" collapsed="false">
      <c r="A158" s="15"/>
      <c r="B158" s="15"/>
      <c r="C158" s="27"/>
      <c r="D158" s="32" t="str">
        <f aca="true">IF(B158="","",IFERROR(INDEX(ProdCosto,MATCH(B158,ListaProductos,0))*1,""))</f>
        <v/>
      </c>
      <c r="E158" s="30" t="str">
        <f aca="false">IF(OR(B158="",D158=""),"",C158*D158)</f>
        <v/>
      </c>
      <c r="F158" s="30" t="str">
        <f aca="true">IF(B158="","",C158*IFERROR(INDEX(ProdPrecio,MATCH(B158,ListaProductos,0))*1,0))</f>
        <v/>
      </c>
    </row>
    <row r="159" customFormat="false" ht="15" hidden="false" customHeight="false" outlineLevel="0" collapsed="false">
      <c r="A159" s="15"/>
      <c r="B159" s="15"/>
      <c r="C159" s="27"/>
      <c r="D159" s="32" t="str">
        <f aca="true">IF(B159="","",IFERROR(INDEX(ProdCosto,MATCH(B159,ListaProductos,0))*1,""))</f>
        <v/>
      </c>
      <c r="E159" s="30" t="str">
        <f aca="false">IF(OR(B159="",D159=""),"",C159*D159)</f>
        <v/>
      </c>
      <c r="F159" s="30" t="str">
        <f aca="true">IF(B159="","",C159*IFERROR(INDEX(ProdPrecio,MATCH(B159,ListaProductos,0))*1,0))</f>
        <v/>
      </c>
    </row>
    <row r="160" customFormat="false" ht="15" hidden="false" customHeight="false" outlineLevel="0" collapsed="false">
      <c r="A160" s="15"/>
      <c r="B160" s="15"/>
      <c r="C160" s="27"/>
      <c r="D160" s="32" t="str">
        <f aca="true">IF(B160="","",IFERROR(INDEX(ProdCosto,MATCH(B160,ListaProductos,0))*1,""))</f>
        <v/>
      </c>
      <c r="E160" s="30" t="str">
        <f aca="false">IF(OR(B160="",D160=""),"",C160*D160)</f>
        <v/>
      </c>
      <c r="F160" s="30" t="str">
        <f aca="true">IF(B160="","",C160*IFERROR(INDEX(ProdPrecio,MATCH(B160,ListaProductos,0))*1,0))</f>
        <v/>
      </c>
    </row>
    <row r="161" customFormat="false" ht="15" hidden="false" customHeight="false" outlineLevel="0" collapsed="false">
      <c r="A161" s="15"/>
      <c r="B161" s="15"/>
      <c r="C161" s="27"/>
      <c r="D161" s="32" t="str">
        <f aca="true">IF(B161="","",IFERROR(INDEX(ProdCosto,MATCH(B161,ListaProductos,0))*1,""))</f>
        <v/>
      </c>
      <c r="E161" s="30" t="str">
        <f aca="false">IF(OR(B161="",D161=""),"",C161*D161)</f>
        <v/>
      </c>
      <c r="F161" s="30" t="str">
        <f aca="true">IF(B161="","",C161*IFERROR(INDEX(ProdPrecio,MATCH(B161,ListaProductos,0))*1,0))</f>
        <v/>
      </c>
    </row>
    <row r="162" customFormat="false" ht="15" hidden="false" customHeight="false" outlineLevel="0" collapsed="false">
      <c r="A162" s="15"/>
      <c r="B162" s="15"/>
      <c r="C162" s="27"/>
      <c r="D162" s="32" t="str">
        <f aca="true">IF(B162="","",IFERROR(INDEX(ProdCosto,MATCH(B162,ListaProductos,0))*1,""))</f>
        <v/>
      </c>
      <c r="E162" s="30" t="str">
        <f aca="false">IF(OR(B162="",D162=""),"",C162*D162)</f>
        <v/>
      </c>
      <c r="F162" s="30" t="str">
        <f aca="true">IF(B162="","",C162*IFERROR(INDEX(ProdPrecio,MATCH(B162,ListaProductos,0))*1,0))</f>
        <v/>
      </c>
    </row>
    <row r="163" customFormat="false" ht="15" hidden="false" customHeight="false" outlineLevel="0" collapsed="false">
      <c r="A163" s="15"/>
      <c r="B163" s="15"/>
      <c r="C163" s="27"/>
      <c r="D163" s="32" t="str">
        <f aca="true">IF(B163="","",IFERROR(INDEX(ProdCosto,MATCH(B163,ListaProductos,0))*1,""))</f>
        <v/>
      </c>
      <c r="E163" s="30" t="str">
        <f aca="false">IF(OR(B163="",D163=""),"",C163*D163)</f>
        <v/>
      </c>
      <c r="F163" s="30" t="str">
        <f aca="true">IF(B163="","",C163*IFERROR(INDEX(ProdPrecio,MATCH(B163,ListaProductos,0))*1,0))</f>
        <v/>
      </c>
    </row>
    <row r="164" customFormat="false" ht="15" hidden="false" customHeight="false" outlineLevel="0" collapsed="false">
      <c r="A164" s="15"/>
      <c r="B164" s="15"/>
      <c r="C164" s="27"/>
      <c r="D164" s="32" t="str">
        <f aca="true">IF(B164="","",IFERROR(INDEX(ProdCosto,MATCH(B164,ListaProductos,0))*1,""))</f>
        <v/>
      </c>
      <c r="E164" s="30" t="str">
        <f aca="false">IF(OR(B164="",D164=""),"",C164*D164)</f>
        <v/>
      </c>
      <c r="F164" s="30" t="str">
        <f aca="true">IF(B164="","",C164*IFERROR(INDEX(ProdPrecio,MATCH(B164,ListaProductos,0))*1,0))</f>
        <v/>
      </c>
    </row>
    <row r="165" customFormat="false" ht="15" hidden="false" customHeight="false" outlineLevel="0" collapsed="false">
      <c r="A165" s="15"/>
      <c r="B165" s="15"/>
      <c r="C165" s="27"/>
      <c r="D165" s="32" t="str">
        <f aca="true">IF(B165="","",IFERROR(INDEX(ProdCosto,MATCH(B165,ListaProductos,0))*1,""))</f>
        <v/>
      </c>
      <c r="E165" s="30" t="str">
        <f aca="false">IF(OR(B165="",D165=""),"",C165*D165)</f>
        <v/>
      </c>
      <c r="F165" s="30" t="str">
        <f aca="true">IF(B165="","",C165*IFERROR(INDEX(ProdPrecio,MATCH(B165,ListaProductos,0))*1,0))</f>
        <v/>
      </c>
    </row>
    <row r="166" customFormat="false" ht="15" hidden="false" customHeight="false" outlineLevel="0" collapsed="false">
      <c r="A166" s="15"/>
      <c r="B166" s="15"/>
      <c r="C166" s="27"/>
      <c r="D166" s="32" t="str">
        <f aca="true">IF(B166="","",IFERROR(INDEX(ProdCosto,MATCH(B166,ListaProductos,0))*1,""))</f>
        <v/>
      </c>
      <c r="E166" s="30" t="str">
        <f aca="false">IF(OR(B166="",D166=""),"",C166*D166)</f>
        <v/>
      </c>
      <c r="F166" s="30" t="str">
        <f aca="true">IF(B166="","",C166*IFERROR(INDEX(ProdPrecio,MATCH(B166,ListaProductos,0))*1,0))</f>
        <v/>
      </c>
    </row>
    <row r="167" customFormat="false" ht="15" hidden="false" customHeight="false" outlineLevel="0" collapsed="false">
      <c r="A167" s="15"/>
      <c r="B167" s="15"/>
      <c r="C167" s="27"/>
      <c r="D167" s="32" t="str">
        <f aca="true">IF(B167="","",IFERROR(INDEX(ProdCosto,MATCH(B167,ListaProductos,0))*1,""))</f>
        <v/>
      </c>
      <c r="E167" s="30" t="str">
        <f aca="false">IF(OR(B167="",D167=""),"",C167*D167)</f>
        <v/>
      </c>
      <c r="F167" s="30" t="str">
        <f aca="true">IF(B167="","",C167*IFERROR(INDEX(ProdPrecio,MATCH(B167,ListaProductos,0))*1,0))</f>
        <v/>
      </c>
    </row>
    <row r="168" customFormat="false" ht="15" hidden="false" customHeight="false" outlineLevel="0" collapsed="false">
      <c r="A168" s="15"/>
      <c r="B168" s="15"/>
      <c r="C168" s="27"/>
      <c r="D168" s="32" t="str">
        <f aca="true">IF(B168="","",IFERROR(INDEX(ProdCosto,MATCH(B168,ListaProductos,0))*1,""))</f>
        <v/>
      </c>
      <c r="E168" s="30" t="str">
        <f aca="false">IF(OR(B168="",D168=""),"",C168*D168)</f>
        <v/>
      </c>
      <c r="F168" s="30" t="str">
        <f aca="true">IF(B168="","",C168*IFERROR(INDEX(ProdPrecio,MATCH(B168,ListaProductos,0))*1,0))</f>
        <v/>
      </c>
    </row>
    <row r="169" customFormat="false" ht="15" hidden="false" customHeight="false" outlineLevel="0" collapsed="false">
      <c r="A169" s="15"/>
      <c r="B169" s="15"/>
      <c r="C169" s="27"/>
      <c r="D169" s="32" t="str">
        <f aca="true">IF(B169="","",IFERROR(INDEX(ProdCosto,MATCH(B169,ListaProductos,0))*1,""))</f>
        <v/>
      </c>
      <c r="E169" s="30" t="str">
        <f aca="false">IF(OR(B169="",D169=""),"",C169*D169)</f>
        <v/>
      </c>
      <c r="F169" s="30" t="str">
        <f aca="true">IF(B169="","",C169*IFERROR(INDEX(ProdPrecio,MATCH(B169,ListaProductos,0))*1,0))</f>
        <v/>
      </c>
    </row>
    <row r="170" customFormat="false" ht="15" hidden="false" customHeight="false" outlineLevel="0" collapsed="false">
      <c r="A170" s="15"/>
      <c r="B170" s="15"/>
      <c r="C170" s="27"/>
      <c r="D170" s="32" t="str">
        <f aca="true">IF(B170="","",IFERROR(INDEX(ProdCosto,MATCH(B170,ListaProductos,0))*1,""))</f>
        <v/>
      </c>
      <c r="E170" s="30" t="str">
        <f aca="false">IF(OR(B170="",D170=""),"",C170*D170)</f>
        <v/>
      </c>
      <c r="F170" s="30" t="str">
        <f aca="true">IF(B170="","",C170*IFERROR(INDEX(ProdPrecio,MATCH(B170,ListaProductos,0))*1,0))</f>
        <v/>
      </c>
    </row>
    <row r="171" customFormat="false" ht="15" hidden="false" customHeight="false" outlineLevel="0" collapsed="false">
      <c r="A171" s="15"/>
      <c r="B171" s="15"/>
      <c r="C171" s="27"/>
      <c r="D171" s="32" t="str">
        <f aca="true">IF(B171="","",IFERROR(INDEX(ProdCosto,MATCH(B171,ListaProductos,0))*1,""))</f>
        <v/>
      </c>
      <c r="E171" s="30" t="str">
        <f aca="false">IF(OR(B171="",D171=""),"",C171*D171)</f>
        <v/>
      </c>
      <c r="F171" s="30" t="str">
        <f aca="true">IF(B171="","",C171*IFERROR(INDEX(ProdPrecio,MATCH(B171,ListaProductos,0))*1,0))</f>
        <v/>
      </c>
    </row>
    <row r="172" customFormat="false" ht="15" hidden="false" customHeight="false" outlineLevel="0" collapsed="false">
      <c r="A172" s="15"/>
      <c r="B172" s="15"/>
      <c r="C172" s="27"/>
      <c r="D172" s="32" t="str">
        <f aca="true">IF(B172="","",IFERROR(INDEX(ProdCosto,MATCH(B172,ListaProductos,0))*1,""))</f>
        <v/>
      </c>
      <c r="E172" s="30" t="str">
        <f aca="false">IF(OR(B172="",D172=""),"",C172*D172)</f>
        <v/>
      </c>
      <c r="F172" s="30" t="str">
        <f aca="true">IF(B172="","",C172*IFERROR(INDEX(ProdPrecio,MATCH(B172,ListaProductos,0))*1,0))</f>
        <v/>
      </c>
    </row>
    <row r="173" customFormat="false" ht="15" hidden="false" customHeight="false" outlineLevel="0" collapsed="false">
      <c r="A173" s="15"/>
      <c r="B173" s="15"/>
      <c r="C173" s="27"/>
      <c r="D173" s="32" t="str">
        <f aca="true">IF(B173="","",IFERROR(INDEX(ProdCosto,MATCH(B173,ListaProductos,0))*1,""))</f>
        <v/>
      </c>
      <c r="E173" s="30" t="str">
        <f aca="false">IF(OR(B173="",D173=""),"",C173*D173)</f>
        <v/>
      </c>
      <c r="F173" s="30" t="str">
        <f aca="true">IF(B173="","",C173*IFERROR(INDEX(ProdPrecio,MATCH(B173,ListaProductos,0))*1,0))</f>
        <v/>
      </c>
    </row>
    <row r="174" customFormat="false" ht="15" hidden="false" customHeight="false" outlineLevel="0" collapsed="false">
      <c r="A174" s="15"/>
      <c r="B174" s="15"/>
      <c r="C174" s="27"/>
      <c r="D174" s="32" t="str">
        <f aca="true">IF(B174="","",IFERROR(INDEX(ProdCosto,MATCH(B174,ListaProductos,0))*1,""))</f>
        <v/>
      </c>
      <c r="E174" s="30" t="str">
        <f aca="false">IF(OR(B174="",D174=""),"",C174*D174)</f>
        <v/>
      </c>
      <c r="F174" s="30" t="str">
        <f aca="true">IF(B174="","",C174*IFERROR(INDEX(ProdPrecio,MATCH(B174,ListaProductos,0))*1,0))</f>
        <v/>
      </c>
    </row>
    <row r="175" customFormat="false" ht="15" hidden="false" customHeight="false" outlineLevel="0" collapsed="false">
      <c r="A175" s="15"/>
      <c r="B175" s="15"/>
      <c r="C175" s="27"/>
      <c r="D175" s="32" t="str">
        <f aca="true">IF(B175="","",IFERROR(INDEX(ProdCosto,MATCH(B175,ListaProductos,0))*1,""))</f>
        <v/>
      </c>
      <c r="E175" s="30" t="str">
        <f aca="false">IF(OR(B175="",D175=""),"",C175*D175)</f>
        <v/>
      </c>
      <c r="F175" s="30" t="str">
        <f aca="true">IF(B175="","",C175*IFERROR(INDEX(ProdPrecio,MATCH(B175,ListaProductos,0))*1,0))</f>
        <v/>
      </c>
    </row>
    <row r="176" customFormat="false" ht="15" hidden="false" customHeight="false" outlineLevel="0" collapsed="false">
      <c r="A176" s="15"/>
      <c r="B176" s="15"/>
      <c r="C176" s="27"/>
      <c r="D176" s="32" t="str">
        <f aca="true">IF(B176="","",IFERROR(INDEX(ProdCosto,MATCH(B176,ListaProductos,0))*1,""))</f>
        <v/>
      </c>
      <c r="E176" s="30" t="str">
        <f aca="false">IF(OR(B176="",D176=""),"",C176*D176)</f>
        <v/>
      </c>
      <c r="F176" s="30" t="str">
        <f aca="true">IF(B176="","",C176*IFERROR(INDEX(ProdPrecio,MATCH(B176,ListaProductos,0))*1,0))</f>
        <v/>
      </c>
    </row>
    <row r="177" customFormat="false" ht="15" hidden="false" customHeight="false" outlineLevel="0" collapsed="false">
      <c r="A177" s="15"/>
      <c r="B177" s="15"/>
      <c r="C177" s="27"/>
      <c r="D177" s="32" t="str">
        <f aca="true">IF(B177="","",IFERROR(INDEX(ProdCosto,MATCH(B177,ListaProductos,0))*1,""))</f>
        <v/>
      </c>
      <c r="E177" s="30" t="str">
        <f aca="false">IF(OR(B177="",D177=""),"",C177*D177)</f>
        <v/>
      </c>
      <c r="F177" s="30" t="str">
        <f aca="true">IF(B177="","",C177*IFERROR(INDEX(ProdPrecio,MATCH(B177,ListaProductos,0))*1,0))</f>
        <v/>
      </c>
    </row>
    <row r="178" customFormat="false" ht="15" hidden="false" customHeight="false" outlineLevel="0" collapsed="false">
      <c r="A178" s="15"/>
      <c r="B178" s="15"/>
      <c r="C178" s="27"/>
      <c r="D178" s="32" t="str">
        <f aca="true">IF(B178="","",IFERROR(INDEX(ProdCosto,MATCH(B178,ListaProductos,0))*1,""))</f>
        <v/>
      </c>
      <c r="E178" s="30" t="str">
        <f aca="false">IF(OR(B178="",D178=""),"",C178*D178)</f>
        <v/>
      </c>
      <c r="F178" s="30" t="str">
        <f aca="true">IF(B178="","",C178*IFERROR(INDEX(ProdPrecio,MATCH(B178,ListaProductos,0))*1,0))</f>
        <v/>
      </c>
    </row>
    <row r="179" customFormat="false" ht="15" hidden="false" customHeight="false" outlineLevel="0" collapsed="false">
      <c r="A179" s="15"/>
      <c r="B179" s="15"/>
      <c r="C179" s="27"/>
      <c r="D179" s="32" t="str">
        <f aca="true">IF(B179="","",IFERROR(INDEX(ProdCosto,MATCH(B179,ListaProductos,0))*1,""))</f>
        <v/>
      </c>
      <c r="E179" s="30" t="str">
        <f aca="false">IF(OR(B179="",D179=""),"",C179*D179)</f>
        <v/>
      </c>
      <c r="F179" s="30" t="str">
        <f aca="true">IF(B179="","",C179*IFERROR(INDEX(ProdPrecio,MATCH(B179,ListaProductos,0))*1,0))</f>
        <v/>
      </c>
    </row>
    <row r="180" customFormat="false" ht="15" hidden="false" customHeight="false" outlineLevel="0" collapsed="false">
      <c r="A180" s="15"/>
      <c r="B180" s="15"/>
      <c r="C180" s="27"/>
      <c r="D180" s="32" t="str">
        <f aca="true">IF(B180="","",IFERROR(INDEX(ProdCosto,MATCH(B180,ListaProductos,0))*1,""))</f>
        <v/>
      </c>
      <c r="E180" s="30" t="str">
        <f aca="false">IF(OR(B180="",D180=""),"",C180*D180)</f>
        <v/>
      </c>
      <c r="F180" s="30" t="str">
        <f aca="true">IF(B180="","",C180*IFERROR(INDEX(ProdPrecio,MATCH(B180,ListaProductos,0))*1,0))</f>
        <v/>
      </c>
    </row>
    <row r="181" customFormat="false" ht="15" hidden="false" customHeight="false" outlineLevel="0" collapsed="false">
      <c r="A181" s="15"/>
      <c r="B181" s="15"/>
      <c r="C181" s="27"/>
      <c r="D181" s="32" t="str">
        <f aca="true">IF(B181="","",IFERROR(INDEX(ProdCosto,MATCH(B181,ListaProductos,0))*1,""))</f>
        <v/>
      </c>
      <c r="E181" s="30" t="str">
        <f aca="false">IF(OR(B181="",D181=""),"",C181*D181)</f>
        <v/>
      </c>
      <c r="F181" s="30" t="str">
        <f aca="true">IF(B181="","",C181*IFERROR(INDEX(ProdPrecio,MATCH(B181,ListaProductos,0))*1,0))</f>
        <v/>
      </c>
    </row>
    <row r="182" customFormat="false" ht="15" hidden="false" customHeight="false" outlineLevel="0" collapsed="false">
      <c r="A182" s="15"/>
      <c r="B182" s="15"/>
      <c r="C182" s="27"/>
      <c r="D182" s="32" t="str">
        <f aca="true">IF(B182="","",IFERROR(INDEX(ProdCosto,MATCH(B182,ListaProductos,0))*1,""))</f>
        <v/>
      </c>
      <c r="E182" s="30" t="str">
        <f aca="false">IF(OR(B182="",D182=""),"",C182*D182)</f>
        <v/>
      </c>
      <c r="F182" s="30" t="str">
        <f aca="true">IF(B182="","",C182*IFERROR(INDEX(ProdPrecio,MATCH(B182,ListaProductos,0))*1,0))</f>
        <v/>
      </c>
    </row>
    <row r="183" customFormat="false" ht="15" hidden="false" customHeight="false" outlineLevel="0" collapsed="false">
      <c r="A183" s="15"/>
      <c r="B183" s="15"/>
      <c r="C183" s="27"/>
      <c r="D183" s="32" t="str">
        <f aca="true">IF(B183="","",IFERROR(INDEX(ProdCosto,MATCH(B183,ListaProductos,0))*1,""))</f>
        <v/>
      </c>
      <c r="E183" s="30" t="str">
        <f aca="false">IF(OR(B183="",D183=""),"",C183*D183)</f>
        <v/>
      </c>
      <c r="F183" s="30" t="str">
        <f aca="true">IF(B183="","",C183*IFERROR(INDEX(ProdPrecio,MATCH(B183,ListaProductos,0))*1,0))</f>
        <v/>
      </c>
    </row>
    <row r="184" customFormat="false" ht="15" hidden="false" customHeight="false" outlineLevel="0" collapsed="false">
      <c r="A184" s="15"/>
      <c r="B184" s="15"/>
      <c r="C184" s="27"/>
      <c r="D184" s="32" t="str">
        <f aca="true">IF(B184="","",IFERROR(INDEX(ProdCosto,MATCH(B184,ListaProductos,0))*1,""))</f>
        <v/>
      </c>
      <c r="E184" s="30" t="str">
        <f aca="false">IF(OR(B184="",D184=""),"",C184*D184)</f>
        <v/>
      </c>
      <c r="F184" s="30" t="str">
        <f aca="true">IF(B184="","",C184*IFERROR(INDEX(ProdPrecio,MATCH(B184,ListaProductos,0))*1,0))</f>
        <v/>
      </c>
    </row>
    <row r="185" customFormat="false" ht="15" hidden="false" customHeight="false" outlineLevel="0" collapsed="false">
      <c r="A185" s="15"/>
      <c r="B185" s="15"/>
      <c r="C185" s="27"/>
      <c r="D185" s="32" t="str">
        <f aca="true">IF(B185="","",IFERROR(INDEX(ProdCosto,MATCH(B185,ListaProductos,0))*1,""))</f>
        <v/>
      </c>
      <c r="E185" s="30" t="str">
        <f aca="false">IF(OR(B185="",D185=""),"",C185*D185)</f>
        <v/>
      </c>
      <c r="F185" s="30" t="str">
        <f aca="true">IF(B185="","",C185*IFERROR(INDEX(ProdPrecio,MATCH(B185,ListaProductos,0))*1,0))</f>
        <v/>
      </c>
    </row>
    <row r="186" customFormat="false" ht="15" hidden="false" customHeight="false" outlineLevel="0" collapsed="false">
      <c r="A186" s="15"/>
      <c r="B186" s="15"/>
      <c r="C186" s="27"/>
      <c r="D186" s="32" t="str">
        <f aca="true">IF(B186="","",IFERROR(INDEX(ProdCosto,MATCH(B186,ListaProductos,0))*1,""))</f>
        <v/>
      </c>
      <c r="E186" s="30" t="str">
        <f aca="false">IF(OR(B186="",D186=""),"",C186*D186)</f>
        <v/>
      </c>
      <c r="F186" s="30" t="str">
        <f aca="true">IF(B186="","",C186*IFERROR(INDEX(ProdPrecio,MATCH(B186,ListaProductos,0))*1,0))</f>
        <v/>
      </c>
    </row>
    <row r="187" customFormat="false" ht="15" hidden="false" customHeight="false" outlineLevel="0" collapsed="false">
      <c r="A187" s="15"/>
      <c r="B187" s="15"/>
      <c r="C187" s="27"/>
      <c r="D187" s="32" t="str">
        <f aca="true">IF(B187="","",IFERROR(INDEX(ProdCosto,MATCH(B187,ListaProductos,0))*1,""))</f>
        <v/>
      </c>
      <c r="E187" s="30" t="str">
        <f aca="false">IF(OR(B187="",D187=""),"",C187*D187)</f>
        <v/>
      </c>
      <c r="F187" s="30" t="str">
        <f aca="true">IF(B187="","",C187*IFERROR(INDEX(ProdPrecio,MATCH(B187,ListaProductos,0))*1,0))</f>
        <v/>
      </c>
    </row>
    <row r="188" customFormat="false" ht="15" hidden="false" customHeight="false" outlineLevel="0" collapsed="false">
      <c r="A188" s="15"/>
      <c r="B188" s="15"/>
      <c r="C188" s="27"/>
      <c r="D188" s="32" t="str">
        <f aca="true">IF(B188="","",IFERROR(INDEX(ProdCosto,MATCH(B188,ListaProductos,0))*1,""))</f>
        <v/>
      </c>
      <c r="E188" s="30" t="str">
        <f aca="false">IF(OR(B188="",D188=""),"",C188*D188)</f>
        <v/>
      </c>
      <c r="F188" s="30" t="str">
        <f aca="true">IF(B188="","",C188*IFERROR(INDEX(ProdPrecio,MATCH(B188,ListaProductos,0))*1,0))</f>
        <v/>
      </c>
    </row>
    <row r="189" customFormat="false" ht="15" hidden="false" customHeight="false" outlineLevel="0" collapsed="false">
      <c r="A189" s="15"/>
      <c r="B189" s="15"/>
      <c r="C189" s="27"/>
      <c r="D189" s="32" t="str">
        <f aca="true">IF(B189="","",IFERROR(INDEX(ProdCosto,MATCH(B189,ListaProductos,0))*1,""))</f>
        <v/>
      </c>
      <c r="E189" s="30" t="str">
        <f aca="false">IF(OR(B189="",D189=""),"",C189*D189)</f>
        <v/>
      </c>
      <c r="F189" s="30" t="str">
        <f aca="true">IF(B189="","",C189*IFERROR(INDEX(ProdPrecio,MATCH(B189,ListaProductos,0))*1,0))</f>
        <v/>
      </c>
    </row>
    <row r="190" customFormat="false" ht="15" hidden="false" customHeight="false" outlineLevel="0" collapsed="false">
      <c r="A190" s="15"/>
      <c r="B190" s="15"/>
      <c r="C190" s="27"/>
      <c r="D190" s="32" t="str">
        <f aca="true">IF(B190="","",IFERROR(INDEX(ProdCosto,MATCH(B190,ListaProductos,0))*1,""))</f>
        <v/>
      </c>
      <c r="E190" s="30" t="str">
        <f aca="false">IF(OR(B190="",D190=""),"",C190*D190)</f>
        <v/>
      </c>
      <c r="F190" s="30" t="str">
        <f aca="true">IF(B190="","",C190*IFERROR(INDEX(ProdPrecio,MATCH(B190,ListaProductos,0))*1,0))</f>
        <v/>
      </c>
    </row>
    <row r="191" customFormat="false" ht="15" hidden="false" customHeight="false" outlineLevel="0" collapsed="false">
      <c r="A191" s="15"/>
      <c r="B191" s="15"/>
      <c r="C191" s="27"/>
      <c r="D191" s="32" t="str">
        <f aca="true">IF(B191="","",IFERROR(INDEX(ProdCosto,MATCH(B191,ListaProductos,0))*1,""))</f>
        <v/>
      </c>
      <c r="E191" s="30" t="str">
        <f aca="false">IF(OR(B191="",D191=""),"",C191*D191)</f>
        <v/>
      </c>
      <c r="F191" s="30" t="str">
        <f aca="true">IF(B191="","",C191*IFERROR(INDEX(ProdPrecio,MATCH(B191,ListaProductos,0))*1,0))</f>
        <v/>
      </c>
    </row>
    <row r="192" customFormat="false" ht="15" hidden="false" customHeight="false" outlineLevel="0" collapsed="false">
      <c r="A192" s="15"/>
      <c r="B192" s="15"/>
      <c r="C192" s="27"/>
      <c r="D192" s="32" t="str">
        <f aca="true">IF(B192="","",IFERROR(INDEX(ProdCosto,MATCH(B192,ListaProductos,0))*1,""))</f>
        <v/>
      </c>
      <c r="E192" s="30" t="str">
        <f aca="false">IF(OR(B192="",D192=""),"",C192*D192)</f>
        <v/>
      </c>
      <c r="F192" s="30" t="str">
        <f aca="true">IF(B192="","",C192*IFERROR(INDEX(ProdPrecio,MATCH(B192,ListaProductos,0))*1,0))</f>
        <v/>
      </c>
    </row>
    <row r="193" customFormat="false" ht="15" hidden="false" customHeight="false" outlineLevel="0" collapsed="false">
      <c r="A193" s="15"/>
      <c r="B193" s="15"/>
      <c r="C193" s="27"/>
      <c r="D193" s="32" t="str">
        <f aca="true">IF(B193="","",IFERROR(INDEX(ProdCosto,MATCH(B193,ListaProductos,0))*1,""))</f>
        <v/>
      </c>
      <c r="E193" s="30" t="str">
        <f aca="false">IF(OR(B193="",D193=""),"",C193*D193)</f>
        <v/>
      </c>
      <c r="F193" s="30" t="str">
        <f aca="true">IF(B193="","",C193*IFERROR(INDEX(ProdPrecio,MATCH(B193,ListaProductos,0))*1,0))</f>
        <v/>
      </c>
    </row>
    <row r="194" customFormat="false" ht="15" hidden="false" customHeight="false" outlineLevel="0" collapsed="false">
      <c r="A194" s="15"/>
      <c r="B194" s="15"/>
      <c r="C194" s="27"/>
      <c r="D194" s="32" t="str">
        <f aca="true">IF(B194="","",IFERROR(INDEX(ProdCosto,MATCH(B194,ListaProductos,0))*1,""))</f>
        <v/>
      </c>
      <c r="E194" s="30" t="str">
        <f aca="false">IF(OR(B194="",D194=""),"",C194*D194)</f>
        <v/>
      </c>
      <c r="F194" s="30" t="str">
        <f aca="true">IF(B194="","",C194*IFERROR(INDEX(ProdPrecio,MATCH(B194,ListaProductos,0))*1,0))</f>
        <v/>
      </c>
    </row>
    <row r="195" customFormat="false" ht="15" hidden="false" customHeight="false" outlineLevel="0" collapsed="false">
      <c r="A195" s="15"/>
      <c r="B195" s="15"/>
      <c r="C195" s="27"/>
      <c r="D195" s="32" t="str">
        <f aca="true">IF(B195="","",IFERROR(INDEX(ProdCosto,MATCH(B195,ListaProductos,0))*1,""))</f>
        <v/>
      </c>
      <c r="E195" s="30" t="str">
        <f aca="false">IF(OR(B195="",D195=""),"",C195*D195)</f>
        <v/>
      </c>
      <c r="F195" s="30" t="str">
        <f aca="true">IF(B195="","",C195*IFERROR(INDEX(ProdPrecio,MATCH(B195,ListaProductos,0))*1,0))</f>
        <v/>
      </c>
    </row>
    <row r="196" customFormat="false" ht="15" hidden="false" customHeight="false" outlineLevel="0" collapsed="false">
      <c r="A196" s="15"/>
      <c r="B196" s="15"/>
      <c r="C196" s="27"/>
      <c r="D196" s="32" t="str">
        <f aca="true">IF(B196="","",IFERROR(INDEX(ProdCosto,MATCH(B196,ListaProductos,0))*1,""))</f>
        <v/>
      </c>
      <c r="E196" s="30" t="str">
        <f aca="false">IF(OR(B196="",D196=""),"",C196*D196)</f>
        <v/>
      </c>
      <c r="F196" s="30" t="str">
        <f aca="true">IF(B196="","",C196*IFERROR(INDEX(ProdPrecio,MATCH(B196,ListaProductos,0))*1,0))</f>
        <v/>
      </c>
    </row>
    <row r="197" customFormat="false" ht="15" hidden="false" customHeight="false" outlineLevel="0" collapsed="false">
      <c r="A197" s="15"/>
      <c r="B197" s="15"/>
      <c r="C197" s="27"/>
      <c r="D197" s="32" t="str">
        <f aca="true">IF(B197="","",IFERROR(INDEX(ProdCosto,MATCH(B197,ListaProductos,0))*1,""))</f>
        <v/>
      </c>
      <c r="E197" s="30" t="str">
        <f aca="false">IF(OR(B197="",D197=""),"",C197*D197)</f>
        <v/>
      </c>
      <c r="F197" s="30" t="str">
        <f aca="true">IF(B197="","",C197*IFERROR(INDEX(ProdPrecio,MATCH(B197,ListaProductos,0))*1,0))</f>
        <v/>
      </c>
    </row>
    <row r="198" customFormat="false" ht="15" hidden="false" customHeight="false" outlineLevel="0" collapsed="false">
      <c r="A198" s="15"/>
      <c r="B198" s="15"/>
      <c r="C198" s="27"/>
      <c r="D198" s="32" t="str">
        <f aca="true">IF(B198="","",IFERROR(INDEX(ProdCosto,MATCH(B198,ListaProductos,0))*1,""))</f>
        <v/>
      </c>
      <c r="E198" s="30" t="str">
        <f aca="false">IF(OR(B198="",D198=""),"",C198*D198)</f>
        <v/>
      </c>
      <c r="F198" s="30" t="str">
        <f aca="true">IF(B198="","",C198*IFERROR(INDEX(ProdPrecio,MATCH(B198,ListaProductos,0))*1,0))</f>
        <v/>
      </c>
    </row>
    <row r="199" customFormat="false" ht="15" hidden="false" customHeight="false" outlineLevel="0" collapsed="false">
      <c r="A199" s="15"/>
      <c r="B199" s="15"/>
      <c r="C199" s="27"/>
      <c r="D199" s="32" t="str">
        <f aca="true">IF(B199="","",IFERROR(INDEX(ProdCosto,MATCH(B199,ListaProductos,0))*1,""))</f>
        <v/>
      </c>
      <c r="E199" s="30" t="str">
        <f aca="false">IF(OR(B199="",D199=""),"",C199*D199)</f>
        <v/>
      </c>
      <c r="F199" s="30" t="str">
        <f aca="true">IF(B199="","",C199*IFERROR(INDEX(ProdPrecio,MATCH(B199,ListaProductos,0))*1,0))</f>
        <v/>
      </c>
    </row>
    <row r="200" customFormat="false" ht="15" hidden="false" customHeight="false" outlineLevel="0" collapsed="false">
      <c r="A200" s="15"/>
      <c r="B200" s="15"/>
      <c r="C200" s="27"/>
      <c r="D200" s="32" t="str">
        <f aca="true">IF(B200="","",IFERROR(INDEX(ProdCosto,MATCH(B200,ListaProductos,0))*1,""))</f>
        <v/>
      </c>
      <c r="E200" s="30" t="str">
        <f aca="false">IF(OR(B200="",D200=""),"",C200*D200)</f>
        <v/>
      </c>
      <c r="F200" s="30" t="str">
        <f aca="true">IF(B200="","",C200*IFERROR(INDEX(ProdPrecio,MATCH(B200,ListaProductos,0))*1,0))</f>
        <v/>
      </c>
    </row>
  </sheetData>
  <conditionalFormatting sqref="N5:N19">
    <cfRule type="expression" priority="2" aboveAverage="0" equalAverage="0" bottom="0" percent="0" rank="0" text="" dxfId="0">
      <formula>AND(ISNUMBER(N5),N5&lt;CFG_Margen)</formula>
    </cfRule>
    <cfRule type="expression" priority="3" aboveAverage="0" equalAverage="0" bottom="0" percent="0" rank="0" text="" dxfId="1">
      <formula>AND(ISNUMBER(N5),N5&gt;=CFG_Margen)</formula>
    </cfRule>
  </conditionalFormatting>
  <dataValidations count="1">
    <dataValidation allowBlank="true" error="Elegí un valor de la lista desplegable." errorStyle="stop" errorTitle="Valor no válido" operator="between" showDropDown="false" showErrorMessage="false" showInputMessage="false" sqref="B5:B200" type="list">
      <formula1>ListaProductos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E6D"/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2" t="s">
        <v>209</v>
      </c>
    </row>
    <row r="2" customFormat="false" ht="15" hidden="false" customHeight="false" outlineLevel="0" collapsed="false">
      <c r="A2" s="13" t="s">
        <v>210</v>
      </c>
    </row>
    <row r="4" customFormat="false" ht="15" hidden="false" customHeight="false" outlineLevel="0" collapsed="false">
      <c r="A4" s="14" t="s">
        <v>211</v>
      </c>
      <c r="B4" s="14" t="s">
        <v>212</v>
      </c>
      <c r="C4" s="14" t="s">
        <v>213</v>
      </c>
    </row>
    <row r="5" customFormat="false" ht="31.5" hidden="false" customHeight="true" outlineLevel="0" collapsed="false">
      <c r="A5" s="43" t="s">
        <v>214</v>
      </c>
      <c r="B5" s="44" t="s">
        <v>215</v>
      </c>
      <c r="C5" s="45" t="s">
        <v>216</v>
      </c>
    </row>
    <row r="6" customFormat="false" ht="31.5" hidden="false" customHeight="true" outlineLevel="0" collapsed="false">
      <c r="A6" s="46" t="s">
        <v>217</v>
      </c>
      <c r="B6" s="47" t="n">
        <v>0.6</v>
      </c>
      <c r="C6" s="45" t="s">
        <v>218</v>
      </c>
    </row>
    <row r="7" customFormat="false" ht="31.5" hidden="false" customHeight="true" outlineLevel="0" collapsed="false">
      <c r="A7" s="46" t="s">
        <v>219</v>
      </c>
      <c r="B7" s="47" t="n">
        <v>0.25</v>
      </c>
      <c r="C7" s="45" t="s">
        <v>220</v>
      </c>
    </row>
    <row r="8" customFormat="false" ht="31.5" hidden="false" customHeight="true" outlineLevel="0" collapsed="false">
      <c r="A8" s="46" t="s">
        <v>221</v>
      </c>
      <c r="B8" s="48" t="n">
        <v>100</v>
      </c>
      <c r="C8" s="45" t="s">
        <v>222</v>
      </c>
    </row>
    <row r="11" customFormat="false" ht="15" hidden="false" customHeight="false" outlineLevel="0" collapsed="false">
      <c r="A11" s="3" t="s">
        <v>223</v>
      </c>
    </row>
    <row r="12" customFormat="false" ht="15" hidden="false" customHeight="false" outlineLevel="0" collapsed="false">
      <c r="A12" s="13" t="s">
        <v>224</v>
      </c>
    </row>
    <row r="13" customFormat="false" ht="15" hidden="false" customHeight="false" outlineLevel="0" collapsed="false">
      <c r="A13" s="14" t="s">
        <v>109</v>
      </c>
      <c r="B13" s="14" t="s">
        <v>225</v>
      </c>
      <c r="C13" s="14" t="s">
        <v>45</v>
      </c>
    </row>
    <row r="14" customFormat="false" ht="15" hidden="false" customHeight="false" outlineLevel="0" collapsed="false">
      <c r="A14" s="49" t="s">
        <v>56</v>
      </c>
      <c r="B14" s="49" t="n">
        <v>1</v>
      </c>
      <c r="C14" s="49" t="s">
        <v>56</v>
      </c>
    </row>
    <row r="15" customFormat="false" ht="15" hidden="false" customHeight="false" outlineLevel="0" collapsed="false">
      <c r="A15" s="49" t="s">
        <v>116</v>
      </c>
      <c r="B15" s="49" t="n">
        <v>1000</v>
      </c>
      <c r="C15" s="49" t="s">
        <v>56</v>
      </c>
    </row>
    <row r="16" customFormat="false" ht="15" hidden="false" customHeight="false" outlineLevel="0" collapsed="false">
      <c r="A16" s="49" t="s">
        <v>54</v>
      </c>
      <c r="B16" s="49" t="n">
        <v>1</v>
      </c>
      <c r="C16" s="49" t="s">
        <v>54</v>
      </c>
    </row>
    <row r="17" customFormat="false" ht="15" hidden="false" customHeight="false" outlineLevel="0" collapsed="false">
      <c r="A17" s="49" t="s">
        <v>226</v>
      </c>
      <c r="B17" s="49" t="n">
        <v>1</v>
      </c>
      <c r="C17" s="49" t="s">
        <v>54</v>
      </c>
    </row>
    <row r="18" customFormat="false" ht="15" hidden="false" customHeight="false" outlineLevel="0" collapsed="false">
      <c r="A18" s="49" t="s">
        <v>119</v>
      </c>
      <c r="B18" s="49" t="n">
        <v>1000</v>
      </c>
      <c r="C18" s="49" t="s">
        <v>54</v>
      </c>
    </row>
    <row r="19" customFormat="false" ht="15" hidden="false" customHeight="false" outlineLevel="0" collapsed="false">
      <c r="A19" s="49" t="s">
        <v>93</v>
      </c>
      <c r="B19" s="49" t="n">
        <v>1</v>
      </c>
      <c r="C19" s="49" t="s">
        <v>93</v>
      </c>
    </row>
    <row r="20" customFormat="false" ht="15" hidden="false" customHeight="false" outlineLevel="0" collapsed="false">
      <c r="A20" s="49" t="s">
        <v>227</v>
      </c>
      <c r="B20" s="49" t="n">
        <v>12</v>
      </c>
      <c r="C20" s="49" t="s">
        <v>93</v>
      </c>
    </row>
    <row r="21" customFormat="false" ht="15" hidden="false" customHeight="false" outlineLevel="0" collapsed="false">
      <c r="A21" s="49"/>
      <c r="B21" s="49"/>
      <c r="C21" s="49"/>
    </row>
    <row r="22" customFormat="false" ht="15" hidden="false" customHeight="false" outlineLevel="0" collapsed="false">
      <c r="A22" s="49"/>
      <c r="B22" s="49"/>
      <c r="C22" s="49"/>
    </row>
    <row r="23" customFormat="false" ht="15" hidden="false" customHeight="false" outlineLevel="0" collapsed="false">
      <c r="A23" s="49"/>
      <c r="B23" s="49"/>
      <c r="C23" s="49"/>
    </row>
    <row r="24" customFormat="false" ht="15" hidden="false" customHeight="false" outlineLevel="0" collapsed="false">
      <c r="A24" s="49"/>
      <c r="B24" s="49"/>
      <c r="C24" s="49"/>
    </row>
    <row r="25" customFormat="false" ht="15" hidden="false" customHeight="false" outlineLevel="0" collapsed="false">
      <c r="A25" s="49"/>
      <c r="B25" s="49"/>
      <c r="C25" s="49"/>
    </row>
    <row r="26" customFormat="false" ht="15" hidden="false" customHeight="false" outlineLevel="0" collapsed="false">
      <c r="A26" s="49"/>
      <c r="B26" s="49"/>
      <c r="C26" s="49"/>
    </row>
    <row r="27" customFormat="false" ht="15" hidden="false" customHeight="false" outlineLevel="0" collapsed="false">
      <c r="A27" s="49"/>
      <c r="B27" s="49"/>
      <c r="C27" s="49"/>
    </row>
    <row r="28" customFormat="false" ht="15" hidden="false" customHeight="false" outlineLevel="0" collapsed="false">
      <c r="A28" s="49"/>
      <c r="B28" s="49"/>
      <c r="C28" s="49"/>
    </row>
    <row r="29" customFormat="false" ht="15" hidden="false" customHeight="false" outlineLevel="0" collapsed="false">
      <c r="A29" s="49"/>
      <c r="B29" s="49"/>
      <c r="C29" s="49"/>
    </row>
    <row r="30" customFormat="false" ht="15" hidden="false" customHeight="false" outlineLevel="0" collapsed="false">
      <c r="A30" s="49"/>
      <c r="B30" s="49"/>
      <c r="C30" s="49"/>
    </row>
  </sheetData>
  <dataValidations count="2">
    <dataValidation allowBlank="true" error="Elegí un valor de la lista desplegable." errorStyle="stop" errorTitle="Valor no válido" operator="between" showDropDown="false" showErrorMessage="false" showInputMessage="false" sqref="B5" type="list">
      <formula1>"Último precio,Promedio"</formula1>
      <formula2>0</formula2>
    </dataValidation>
    <dataValidation allowBlank="true" error="Elegí un valor de la lista desplegable." errorStyle="stop" errorTitle="Valor no válido" operator="between" showDropDown="false" showErrorMessage="false" showInputMessage="false" sqref="C14:C30" type="list">
      <formula1>"g,ml,unidad"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2026-10-04T04:42:19Z</dcterms:created>
  <dc:creator>openpyxl</dc:creator>
  <dc:description/>
  <dc:language>en-US</dc:language>
  <cp:lastModifiedBy/>
  <dcterms:modified xsi:type="dcterms:W3CDTF">2026-10-04T04:42:20Z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